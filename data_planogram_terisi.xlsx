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DATA" sheetId="2" state="visible" r:id="rId2"/>
    <sheet name="DIMENSI" sheetId="3" state="visible" r:id="rId3"/>
    <sheet name="SAMBUNG" sheetId="4" state="visible" r:id="rId4"/>
    <sheet name="DAFTAR_FIXTURE" sheetId="5" state="visible" r:id="rId5"/>
    <sheet name="LAYOUT" sheetId="6" state="visible" r:id="rId6"/>
  </sheets>
  <definedNames>
    <definedName name="FIXTURE_IDS">OFFSET(DAFTAR_FIXTURE!$A$2,0,0,MAX(1,COUNTA(DAFTAR_FIXTURE!$A$2:$A$51)),1)</definedName>
    <definedName name="_xlnm._FilterDatabase" localSheetId="1" hidden="1">'DATA'!$A$1:$Z$500</definedName>
    <definedName name="_xlnm._FilterDatabase" localSheetId="2" hidden="1">'DIMENSI'!$A$1:$K$500</definedName>
    <definedName name="_xlnm._FilterDatabase" localSheetId="3" hidden="1">'SAMBUNG'!$A$1:$I$200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7F7F7F"/>
      <sz val="10"/>
    </font>
    <font>
      <name val="Arial"/>
      <i val="1"/>
      <color rgb="007F7F7F"/>
      <sz val="10"/>
    </font>
    <font>
      <name val="Arial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D2E9"/>
      </patternFill>
    </fill>
    <fill>
      <patternFill patternType="solid">
        <fgColor rgb="00C6E0B4"/>
      </patternFill>
    </fill>
    <fill>
      <patternFill patternType="solid">
        <fgColor rgb="00BFBFBF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6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9C0006"/>
        <sz val="10"/>
      </font>
      <fill>
        <patternFill patternType="solid">
          <bgColor rgb="00FFC7CE"/>
        </patternFill>
      </fill>
    </dxf>
    <dxf>
      <font>
        <name val="Arial"/>
        <b val="1"/>
        <color rgb="00006100"/>
        <sz val="10"/>
      </font>
      <fill>
        <patternFill patternType="solid">
          <bgColor rgb="00C6EFCE"/>
        </patternFill>
      </fill>
    </dxf>
    <dxf>
      <font>
        <name val="Arial"/>
        <color rgb="00666666"/>
        <sz val="10"/>
      </font>
      <fill>
        <patternFill patternType="solid">
          <bgColor rgb="00EDEDED"/>
        </patternFill>
      </fill>
    </dxf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TEMPLATE DATA PLANOGRAM</t>
        </is>
      </c>
    </row>
    <row r="2">
      <c r="A2" s="2" t="inlineStr">
        <is>
          <t>Isi sheet DATA dari kiri ke kanan. Satu baris = satu SKU. Kolom A–K = template wajib internal. Kolom L ke kanan = penempatan fixture khusus untuk HTML planogram.</t>
        </is>
      </c>
    </row>
    <row r="3">
      <c r="A3" s="2" t="n"/>
      <c r="B3" s="2" t="n"/>
    </row>
    <row r="4">
      <c r="A4" s="3" t="inlineStr">
        <is>
          <t>LANGKAH 1 — TEMPLATE WAJIB INTERNAL (kolom A–K)</t>
        </is>
      </c>
      <c r="B4" s="4" t="n"/>
    </row>
    <row r="5">
      <c r="A5" s="5" t="inlineStr">
        <is>
          <t>DEPT, COMM, CLASS</t>
        </is>
      </c>
      <c r="B5" s="6" t="inlineStr">
        <is>
          <t>Hirarki produk dari data master. Dipakai sebagai filter di aplikasi.</t>
        </is>
      </c>
    </row>
    <row r="6">
      <c r="A6" s="5" t="inlineStr">
        <is>
          <t>SKU *</t>
        </is>
      </c>
      <c r="B6" s="6" t="inlineStr">
        <is>
          <t>Kode artikel. Wajib. Dipakai juga untuk membentuk link gambar.</t>
        </is>
      </c>
    </row>
    <row r="7">
      <c r="A7" s="5" t="inlineStr">
        <is>
          <t>SKU DESCRIPTION *</t>
        </is>
      </c>
      <c r="B7" s="6" t="inlineStr">
        <is>
          <t>Nama item. Wajib. Tampil di kartu produk.</t>
        </is>
      </c>
    </row>
    <row r="8">
      <c r="A8" s="5" t="inlineStr">
        <is>
          <t>STOCK</t>
        </is>
      </c>
      <c r="B8" s="6" t="inlineStr">
        <is>
          <t>Informasi stok SKU (dari data master).</t>
        </is>
      </c>
    </row>
    <row r="9">
      <c r="A9" s="5" t="inlineStr">
        <is>
          <t>GRUP DISPLAY</t>
        </is>
      </c>
      <c r="B9" s="6" t="inlineStr">
        <is>
          <t>Contoh: PENYIMPANAN, MAKAN, MASAK. Dipakai sebagai filter. Isi "X" dianggap kosong.</t>
        </is>
      </c>
    </row>
    <row r="10">
      <c r="A10" s="5" t="inlineStr">
        <is>
          <t>GRUP ADJACENCY</t>
        </is>
      </c>
      <c r="B10" s="6" t="inlineStr">
        <is>
          <t>Contoh: E4. CANISTER, A2. SERVINGWARE. Dipakai sebagai filter.</t>
        </is>
      </c>
    </row>
    <row r="11">
      <c r="A11" s="5" t="inlineStr">
        <is>
          <t>SERIES / SUB SERIES</t>
        </is>
      </c>
      <c r="B11" s="6" t="inlineStr">
        <is>
          <t>Contoh: GLASS FANCY, POLLA. Dipakai sebagai filter.</t>
        </is>
      </c>
    </row>
    <row r="12">
      <c r="A12" s="5" t="inlineStr">
        <is>
          <t>LINK IMAGE</t>
        </is>
      </c>
      <c r="B12" s="6" t="inlineStr">
        <is>
          <t>Opsional. Kosong = otomatis: https://cdn.ruparupa.io/fit-in/850x850/ruparupa-com/image/upload/Products/[SKU]_1.jpg</t>
        </is>
      </c>
    </row>
    <row r="13">
      <c r="A13" s="2" t="n"/>
      <c r="B13" s="2" t="n"/>
    </row>
    <row r="14">
      <c r="A14" s="3" t="inlineStr">
        <is>
          <t>LANGKAH 2 — PENEMPATAN KE FIXTURE, SAMPAI 3 FIXTURE PER SKU (header hijau)</t>
        </is>
      </c>
      <c r="B14" s="4" t="n"/>
    </row>
    <row r="15">
      <c r="A15" s="5" t="inlineStr">
        <is>
          <t>FIXTURE 1 (kolom L–N)</t>
        </is>
      </c>
      <c r="B15" s="6" t="inlineStr">
        <is>
          <t>ID FIXTURE 1 (dropdown dari sheet DAFTAR_FIXTURE), ZONA NO 1 (dari atas, mulai 1; lihat sheet LAYOUT), JENIS ZONA 1 (Rak / Gantungan).</t>
        </is>
      </c>
    </row>
    <row r="16">
      <c r="A16" s="5" t="inlineStr">
        <is>
          <t>FIXTURE 2 (kolom Q–S)</t>
        </is>
      </c>
      <c r="B16" s="6" t="inlineStr">
        <is>
          <t>Isi jika SKU yang sama juga ditampilkan di fixture lain (mis. Wall dan Gondola). Kosongkan jika tidak dipakai.</t>
        </is>
      </c>
    </row>
    <row r="17">
      <c r="A17" s="5" t="inlineStr">
        <is>
          <t>FIXTURE 3 (kolom V–X)</t>
        </is>
      </c>
      <c r="B17" s="6" t="inlineStr">
        <is>
          <t>Cadangan untuk fixture ketiga. Kosongkan jika tidak dipakai.</t>
        </is>
      </c>
    </row>
    <row r="18">
      <c r="A18" s="2" t="n"/>
      <c r="B18" s="2" t="n"/>
    </row>
    <row r="19">
      <c r="A19" s="3" t="inlineStr">
        <is>
          <t>LANGKAH 3 — OTOMATIS (header abu-abu, jangan diisi / dihapus)</t>
        </is>
      </c>
      <c r="B19" s="4" t="n"/>
    </row>
    <row r="20">
      <c r="A20" s="5" t="inlineStr">
        <is>
          <t>JENIS FIXTURE 1 / 2 / 3</t>
        </is>
      </c>
      <c r="B20" s="6" t="inlineStr">
        <is>
          <t>Dibaca dari ID FIXTURE (sheet DAFTAR_FIXTURE).</t>
        </is>
      </c>
    </row>
    <row r="21">
      <c r="A21" s="5" t="inlineStr">
        <is>
          <t>STATUS 1 / 2 / 3</t>
        </is>
      </c>
      <c r="B21" s="6" t="inlineStr">
        <is>
          <t>OK / Zona STOCK / Belum ditempatkan / CEK + penyebab. Semua penempatan harus OK sebelum diimpor.</t>
        </is>
      </c>
    </row>
    <row r="22">
      <c r="A22" s="2" t="n"/>
      <c r="B22" s="2" t="n"/>
    </row>
    <row r="23">
      <c r="A23" s="3" t="inlineStr">
        <is>
          <t>ATURAN PENEMPATAN</t>
        </is>
      </c>
      <c r="B23" s="4" t="n"/>
    </row>
    <row r="24">
      <c r="A24" s="2" t="inlineStr">
        <is>
          <t>1. Satu baris = satu SKU. SKU yang sama tidak perlu ditulis lagi untuk fixture kedua / ketiga: isi kolom Fixture 2 / Fixture 3 pada baris yang sama.</t>
        </is>
      </c>
      <c r="B24" s="2" t="n"/>
    </row>
    <row r="25">
      <c r="A25" s="2" t="inlineStr">
        <is>
          <t>2. Jika satu SKU perlu lebih dari 3 penempatan (mis. di banyak zona), tulis SKU itu lagi di baris baru.</t>
        </is>
      </c>
      <c r="B25" s="2" t="n"/>
    </row>
    <row r="26">
      <c r="A26" s="2" t="inlineStr">
        <is>
          <t>3. Urutan item dari kiri ke kanan dalam satu zona mengikuti urutan baris di Excel (baris atas lebih dulu).</t>
        </is>
      </c>
      <c r="B26" s="2" t="n"/>
    </row>
    <row r="27">
      <c r="A27" s="2" t="inlineStr">
        <is>
          <t>4. Jumlah item yang tampil = jumlah penempatan. Tidak ada facing, susun, ukuran, brand, atau prioritas.</t>
        </is>
      </c>
      <c r="B27" s="2" t="n"/>
    </row>
    <row r="28">
      <c r="A28" s="2" t="inlineStr">
        <is>
          <t>5. Zona yang tidak berisi item (baris ID FIXTURE 1 + ZONA NO 1 tanpa SKU, atau zona yang tidak ditulis sama sekali) dianggap tempat STOCK dan ditulis STOCK di planogram.</t>
        </is>
      </c>
      <c r="B28" s="2" t="n"/>
    </row>
    <row r="29">
      <c r="A29" s="2" t="inlineStr">
        <is>
          <t>6. Baris yang hanya berisi data SKU (tanpa ID FIXTURE) = masuk daftar SKU saja, belum ditempatkan.</t>
        </is>
      </c>
      <c r="B29" s="2" t="n"/>
    </row>
    <row r="30">
      <c r="A30" s="2" t="inlineStr">
        <is>
          <t>7. Isi GRUP DISPLAY, GRUP ADJACENCY, SERIES dengan ejaan konsisten agar pilihan filter di aplikasi tidak terpecah.</t>
        </is>
      </c>
      <c r="B30" s="2" t="n"/>
    </row>
    <row r="31">
      <c r="A31" s="2" t="inlineStr">
        <is>
          <t>Buka dulu di Excel lalu simpan agar kolom otomatis terhitung sebelum diimpor.</t>
        </is>
      </c>
      <c r="B31" s="2" t="n"/>
    </row>
    <row r="32">
      <c r="A32" s="2" t="n"/>
      <c r="B32" s="2" t="n"/>
    </row>
    <row r="33">
      <c r="A33" s="3" t="inlineStr">
        <is>
          <t>SHEET DIMENSI (OPSIONAL) — ukuran kemasan untuk menghitung muat berapa pcs</t>
        </is>
      </c>
      <c r="B33" s="4" t="n"/>
    </row>
    <row r="34">
      <c r="A34" s="5" t="inlineStr">
        <is>
          <t>Kapan dipakai</t>
        </is>
      </c>
      <c r="B34" s="6" t="inlineStr">
        <is>
          <t>Hanya jika sheet DIMENSI berisi data DAN pengguna meminta di aplikasi. Kosong = aplikasi berjalan seperti biasa.</t>
        </is>
      </c>
    </row>
    <row r="35">
      <c r="A35" s="5" t="inlineStr">
        <is>
          <t>SKU *</t>
        </is>
      </c>
      <c r="B35" s="6" t="inlineStr">
        <is>
          <t>Harus sama dengan kolom SKU di sheet DATA. Satu SKU satu baris.</t>
        </is>
      </c>
    </row>
    <row r="36">
      <c r="A36" s="5" t="inlineStr">
        <is>
          <t>LEBAR / TINGGI / KEDALAMAN (cm) *</t>
        </is>
      </c>
      <c r="B36" s="6" t="inlineStr">
        <is>
          <t>Ukuran kemasan saat dipajang. LEBAR = sisi yang menghadap depan (kiri-kanan); TINGGI = atas-bawah; KEDALAMAN = depan-belakang. Untuk kemasan gantung, kedalaman = tebal kemasan.</t>
        </is>
      </c>
    </row>
    <row r="37">
      <c r="A37" s="5" t="inlineStr">
        <is>
          <t>FACING</t>
        </is>
      </c>
      <c r="B37" s="6" t="inlineStr">
        <is>
          <t>Jumlah deretan produk berdampingan di depan. Kosong = 1.</t>
        </is>
      </c>
    </row>
    <row r="38">
      <c r="A38" s="5" t="inlineStr">
        <is>
          <t>MAKS SUSUN</t>
        </is>
      </c>
      <c r="B38" s="6" t="inlineStr">
        <is>
          <t>Boleh ditumpuk berapa tingkat. Kosong atau 1 = tidak ditumpuk.</t>
        </is>
      </c>
    </row>
    <row r="39">
      <c r="A39" s="5" t="inlineStr">
        <is>
          <t>BOLEH DIPUTAR</t>
        </is>
      </c>
      <c r="B39" s="6" t="inlineStr">
        <is>
          <t>Ya = lebar dan kedalaman boleh ditukar bila itu membuat lebih banyak yang muat. Kosong = Tidak.</t>
        </is>
      </c>
    </row>
    <row r="40">
      <c r="A40" s="5" t="inlineStr">
        <is>
          <t>Kolom otomatis</t>
        </is>
      </c>
      <c r="B40" s="6" t="inlineStr">
        <is>
          <t>Deskripsi, estimasi pcs per facing (gambaran cepat rak Gondola), dan STATUS. Jangan diisi atau dihapus.</t>
        </is>
      </c>
    </row>
    <row r="41">
      <c r="A41" s="2" t="n"/>
      <c r="B41" s="2" t="n"/>
    </row>
    <row r="42">
      <c r="A42" s="3" t="inlineStr">
        <is>
          <t>SHEET SAMBUNG (OPSIONAL) — template urutan fixture yang disambung, per kategori</t>
        </is>
      </c>
      <c r="B42" s="4" t="n"/>
    </row>
    <row r="43">
      <c r="A43" s="5" t="inlineStr">
        <is>
          <t>Fungsi</t>
        </is>
      </c>
      <c r="B43" s="6" t="inlineStr">
        <is>
          <t>Menyimpan urutan fixture yang tampil menempel (Sambung visual) di aplikasi. Muncul sebagai pilihan "Template sambungan dari Excel". Kosong = tidak ada template.</t>
        </is>
      </c>
    </row>
    <row r="44">
      <c r="A44" s="5" t="inlineStr">
        <is>
          <t>SAMBUNGAN *</t>
        </is>
      </c>
      <c r="B44" s="6" t="inlineStr">
        <is>
          <t>Nama rangkaian, bebas (mis. WALL-RUN-1). Baris dengan nama sama = satu rangkaian.</t>
        </is>
      </c>
    </row>
    <row r="45">
      <c r="A45" s="5" t="inlineStr">
        <is>
          <t>KATEGORI *</t>
        </is>
      </c>
      <c r="B45" s="6" t="inlineStr">
        <is>
          <t>Wall, Gondola, atau Pallet. Satu rangkaian satu kategori. Endcap tidak ikut sambung.</t>
        </is>
      </c>
    </row>
    <row r="46">
      <c r="A46" s="5" t="inlineStr">
        <is>
          <t>URUTAN *</t>
        </is>
      </c>
      <c r="B46" s="6" t="inlineStr">
        <is>
          <t>Nomor urut dari kiri ke kanan, mulai 1.</t>
        </is>
      </c>
    </row>
    <row r="47">
      <c r="A47" s="5" t="inlineStr">
        <is>
          <t>ID FIXTURE *</t>
        </is>
      </c>
      <c r="B47" s="6" t="inlineStr">
        <is>
          <t>Pilih dari dropdown (sheet DAFTAR_FIXTURE). Jenis fixture harus sesuai KATEGORI.</t>
        </is>
      </c>
    </row>
    <row r="48">
      <c r="A48" s="5" t="inlineStr">
        <is>
          <t>SERIES</t>
        </is>
      </c>
      <c r="B48" s="6" t="inlineStr">
        <is>
          <t>Opsional. Kosong = semua isi fixture tampil. Diisi = hanya produk series itu yang tampil di fixture tersebut.</t>
        </is>
      </c>
    </row>
    <row r="49">
      <c r="A49" s="5" t="inlineStr">
        <is>
          <t>Kolom otomatis</t>
        </is>
      </c>
      <c r="B49" s="6" t="inlineStr">
        <is>
          <t>Jenis fixture, kategori fixture, dan STATUS (OK atau CEK + penyebab). Jangan diisi atau dihapus.</t>
        </is>
      </c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42" customWidth="1" min="5" max="5"/>
    <col width="10" customWidth="1" min="6" max="6"/>
    <col width="18" customWidth="1" min="7" max="7"/>
    <col width="26" customWidth="1" min="8" max="8"/>
    <col width="22" customWidth="1" min="9" max="9"/>
    <col width="16" customWidth="1" min="10" max="10"/>
    <col width="50" customWidth="1" min="11" max="11"/>
    <col width="12" customWidth="1" min="12" max="12"/>
    <col width="9" customWidth="1" min="13" max="13"/>
    <col width="13" customWidth="1" min="14" max="14"/>
    <col width="26" customWidth="1" min="15" max="15"/>
    <col width="22" customWidth="1" min="16" max="16"/>
    <col width="12" customWidth="1" min="17" max="17"/>
    <col width="9" customWidth="1" min="18" max="18"/>
    <col width="13" customWidth="1" min="19" max="19"/>
    <col width="26" customWidth="1" min="20" max="20"/>
    <col width="22" customWidth="1" min="21" max="21"/>
    <col width="12" customWidth="1" min="22" max="22"/>
    <col width="9" customWidth="1" min="23" max="23"/>
    <col width="13" customWidth="1" min="24" max="24"/>
    <col width="26" customWidth="1" min="25" max="25"/>
    <col width="22" customWidth="1" min="26" max="26"/>
  </cols>
  <sheetData>
    <row r="1" ht="36" customHeight="1">
      <c r="A1" s="7" t="inlineStr">
        <is>
          <t>DEPT</t>
        </is>
      </c>
      <c r="B1" s="7" t="inlineStr">
        <is>
          <t>COMM</t>
        </is>
      </c>
      <c r="C1" s="7" t="inlineStr">
        <is>
          <t>CLASS</t>
        </is>
      </c>
      <c r="D1" s="7" t="inlineStr">
        <is>
          <t>SKU</t>
        </is>
      </c>
      <c r="E1" s="7" t="inlineStr">
        <is>
          <t>SKU DESCRIPTION</t>
        </is>
      </c>
      <c r="F1" s="7" t="inlineStr">
        <is>
          <t>STOCK</t>
        </is>
      </c>
      <c r="G1" s="7" t="inlineStr">
        <is>
          <t>GRUP DISPLAY</t>
        </is>
      </c>
      <c r="H1" s="7" t="inlineStr">
        <is>
          <t>GRUP ADJACENCY</t>
        </is>
      </c>
      <c r="I1" s="7" t="inlineStr">
        <is>
          <t>SERIES</t>
        </is>
      </c>
      <c r="J1" s="7" t="inlineStr">
        <is>
          <t>SUB SERIES*</t>
        </is>
      </c>
      <c r="K1" s="19" t="inlineStr">
        <is>
          <t>LINK IMAGE (opsional)</t>
        </is>
      </c>
      <c r="L1" s="8" t="inlineStr">
        <is>
          <t>ID FIXTURE 1</t>
        </is>
      </c>
      <c r="M1" s="8" t="inlineStr">
        <is>
          <t>ZONA NO 1</t>
        </is>
      </c>
      <c r="N1" s="8" t="inlineStr">
        <is>
          <t>JENIS ZONA 1</t>
        </is>
      </c>
      <c r="O1" s="9" t="inlineStr">
        <is>
          <t>JENIS FIXTURE 1 (otomatis)</t>
        </is>
      </c>
      <c r="P1" s="9" t="inlineStr">
        <is>
          <t>STATUS 1 (otomatis)</t>
        </is>
      </c>
      <c r="Q1" s="8" t="inlineStr">
        <is>
          <t>ID FIXTURE 2</t>
        </is>
      </c>
      <c r="R1" s="8" t="inlineStr">
        <is>
          <t>ZONA NO 2</t>
        </is>
      </c>
      <c r="S1" s="8" t="inlineStr">
        <is>
          <t>JENIS ZONA 2</t>
        </is>
      </c>
      <c r="T1" s="9" t="inlineStr">
        <is>
          <t>JENIS FIXTURE 2 (otomatis)</t>
        </is>
      </c>
      <c r="U1" s="9" t="inlineStr">
        <is>
          <t>STATUS 2 (otomatis)</t>
        </is>
      </c>
      <c r="V1" s="8" t="inlineStr">
        <is>
          <t>ID FIXTURE 3</t>
        </is>
      </c>
      <c r="W1" s="8" t="inlineStr">
        <is>
          <t>ZONA NO 3</t>
        </is>
      </c>
      <c r="X1" s="8" t="inlineStr">
        <is>
          <t>JENIS ZONA 3</t>
        </is>
      </c>
      <c r="Y1" s="9" t="inlineStr">
        <is>
          <t>JENIS FIXTURE 3 (otomatis)</t>
        </is>
      </c>
      <c r="Z1" s="9" t="inlineStr">
        <is>
          <t>STATUS 3 (otomatis)</t>
        </is>
      </c>
    </row>
    <row r="2">
      <c r="A2" s="10" t="inlineStr">
        <is>
          <t>Homeware</t>
        </is>
      </c>
      <c r="B2" s="10" t="inlineStr">
        <is>
          <t>Tableware</t>
        </is>
      </c>
      <c r="C2" s="10" t="inlineStr">
        <is>
          <t>Plates &amp; Bowls</t>
        </is>
      </c>
      <c r="D2" s="10" t="inlineStr">
        <is>
          <t>238181</t>
        </is>
      </c>
      <c r="E2" s="10" t="inlineStr">
        <is>
          <t>COUPE PLATE 16 CM SIMPLE PLUS</t>
        </is>
      </c>
      <c r="F2" s="10" t="n"/>
      <c r="G2" s="10" t="n"/>
      <c r="H2" s="10" t="n"/>
      <c r="I2" s="10" t="n"/>
      <c r="J2" s="10" t="n"/>
      <c r="K2" s="10" t="n"/>
      <c r="L2" s="11" t="inlineStr">
        <is>
          <t>WLL-01</t>
        </is>
      </c>
      <c r="M2" s="11" t="n">
        <v>1</v>
      </c>
      <c r="N2" s="11" t="inlineStr">
        <is>
          <t>Rak</t>
        </is>
      </c>
      <c r="O2" s="12">
        <f>IF(L2="","",IFERROR(INDEX(DAFTAR_FIXTURE!$B$2:$B$51,MATCH(L2,DAFTAR_FIXTURE!$A$2:$A$51,0)),""))</f>
        <v/>
      </c>
      <c r="P2" s="12">
        <f>IF(AND($D2="",L2=""),"",IF(L2="",IF(AND(Q2="",V2=""),"Belum ditempatkan",""),IF(O2="","CEK ID FIXTURE tidak ada di DAFTAR_FIXTURE",IF(M2="","CEK ZONA NO kosong",IF(ISNA(MATCH(O2&amp;"|"&amp;M2,LAYOUT!$E$2:$E$80,0)),"CEK ZONA NO di luar layout",IF(N2&lt;&gt;INDEX(LAYOUT!$D$2:$D$80,MATCH(O2&amp;"|"&amp;M2,LAYOUT!$E$2:$E$80,0)),"CEK JENIS ZONA",IF($D2="","Zona STOCK",IF($E2="","CEK SKU DESCRIPTION kosong","OK"))))))))</f>
        <v/>
      </c>
      <c r="Q2" s="11" t="n"/>
      <c r="R2" s="11" t="n"/>
      <c r="S2" s="11" t="n"/>
      <c r="T2" s="12">
        <f>IF(Q2="","",IFERROR(INDEX(DAFTAR_FIXTURE!$B$2:$B$51,MATCH(Q2,DAFTAR_FIXTURE!$A$2:$A$51,0)),""))</f>
        <v/>
      </c>
      <c r="U2" s="12">
        <f>IF(Q2="","",IF(T2="","CEK ID FIXTURE tidak ada di DAFTAR_FIXTURE",IF(R2="","CEK ZONA NO kosong",IF(ISNA(MATCH(T2&amp;"|"&amp;R2,LAYOUT!$E$2:$E$80,0)),"CEK ZONA NO di luar layout",IF(S2&lt;&gt;INDEX(LAYOUT!$D$2:$D$80,MATCH(T2&amp;"|"&amp;R2,LAYOUT!$E$2:$E$80,0)),"CEK JENIS ZONA",IF($D2="","Zona STOCK",IF($E2="","CEK SKU DESCRIPTION kosong","OK")))))))</f>
        <v/>
      </c>
      <c r="V2" s="11" t="n"/>
      <c r="W2" s="11" t="n"/>
      <c r="X2" s="11" t="n"/>
      <c r="Y2" s="12">
        <f>IF(V2="","",IFERROR(INDEX(DAFTAR_FIXTURE!$B$2:$B$51,MATCH(V2,DAFTAR_FIXTURE!$A$2:$A$51,0)),""))</f>
        <v/>
      </c>
      <c r="Z2" s="12">
        <f>IF(V2="","",IF(Y2="","CEK ID FIXTURE tidak ada di DAFTAR_FIXTURE",IF(W2="","CEK ZONA NO kosong",IF(ISNA(MATCH(Y2&amp;"|"&amp;W2,LAYOUT!$E$2:$E$80,0)),"CEK ZONA NO di luar layout",IF(X2&lt;&gt;INDEX(LAYOUT!$D$2:$D$80,MATCH(Y2&amp;"|"&amp;W2,LAYOUT!$E$2:$E$80,0)),"CEK JENIS ZONA",IF($D2="","Zona STOCK",IF($E2="","CEK SKU DESCRIPTION kosong","OK")))))))</f>
        <v/>
      </c>
    </row>
    <row r="3">
      <c r="A3" s="10" t="inlineStr">
        <is>
          <t>Homeware</t>
        </is>
      </c>
      <c r="B3" s="10" t="inlineStr">
        <is>
          <t>Cookware</t>
        </is>
      </c>
      <c r="C3" s="10" t="inlineStr">
        <is>
          <t>Casserole</t>
        </is>
      </c>
      <c r="D3" s="10" t="inlineStr">
        <is>
          <t>10445959</t>
        </is>
      </c>
      <c r="E3" s="10" t="inlineStr">
        <is>
          <t>CASSEROLE RECT GOLD MARBLE W/LID 33CM</t>
        </is>
      </c>
      <c r="F3" s="10" t="n"/>
      <c r="G3" s="10" t="inlineStr">
        <is>
          <t>MASAK</t>
        </is>
      </c>
      <c r="H3" s="10" t="inlineStr">
        <is>
          <t>B1. CASSEROLE</t>
        </is>
      </c>
      <c r="I3" s="10" t="inlineStr">
        <is>
          <t>GOLD MARBLE</t>
        </is>
      </c>
      <c r="J3" s="10" t="n"/>
      <c r="K3" s="10" t="n"/>
      <c r="L3" s="11" t="inlineStr">
        <is>
          <t>WLL-01</t>
        </is>
      </c>
      <c r="M3" s="11" t="n">
        <v>2</v>
      </c>
      <c r="N3" s="11" t="inlineStr">
        <is>
          <t>Rak</t>
        </is>
      </c>
      <c r="O3" s="12">
        <f>IF(L3="","",IFERROR(INDEX(DAFTAR_FIXTURE!$B$2:$B$51,MATCH(L3,DAFTAR_FIXTURE!$A$2:$A$51,0)),""))</f>
        <v/>
      </c>
      <c r="P3" s="12">
        <f>IF(AND($D3="",L3=""),"",IF(L3="",IF(AND(Q3="",V3=""),"Belum ditempatkan",""),IF(O3="","CEK ID FIXTURE tidak ada di DAFTAR_FIXTURE",IF(M3="","CEK ZONA NO kosong",IF(ISNA(MATCH(O3&amp;"|"&amp;M3,LAYOUT!$E$2:$E$80,0)),"CEK ZONA NO di luar layout",IF(N3&lt;&gt;INDEX(LAYOUT!$D$2:$D$80,MATCH(O3&amp;"|"&amp;M3,LAYOUT!$E$2:$E$80,0)),"CEK JENIS ZONA",IF($D3="","Zona STOCK",IF($E3="","CEK SKU DESCRIPTION kosong","OK"))))))))</f>
        <v/>
      </c>
      <c r="Q3" s="11" t="inlineStr">
        <is>
          <t>WLL-02</t>
        </is>
      </c>
      <c r="R3" s="11" t="n">
        <v>2</v>
      </c>
      <c r="S3" s="11" t="inlineStr">
        <is>
          <t>Rak</t>
        </is>
      </c>
      <c r="T3" s="12">
        <f>IF(Q3="","",IFERROR(INDEX(DAFTAR_FIXTURE!$B$2:$B$51,MATCH(Q3,DAFTAR_FIXTURE!$A$2:$A$51,0)),""))</f>
        <v/>
      </c>
      <c r="U3" s="12">
        <f>IF(Q3="","",IF(T3="","CEK ID FIXTURE tidak ada di DAFTAR_FIXTURE",IF(R3="","CEK ZONA NO kosong",IF(ISNA(MATCH(T3&amp;"|"&amp;R3,LAYOUT!$E$2:$E$80,0)),"CEK ZONA NO di luar layout",IF(S3&lt;&gt;INDEX(LAYOUT!$D$2:$D$80,MATCH(T3&amp;"|"&amp;R3,LAYOUT!$E$2:$E$80,0)),"CEK JENIS ZONA",IF($D3="","Zona STOCK",IF($E3="","CEK SKU DESCRIPTION kosong","OK")))))))</f>
        <v/>
      </c>
      <c r="V3" s="11" t="inlineStr">
        <is>
          <t>GND-01</t>
        </is>
      </c>
      <c r="W3" s="11" t="n">
        <v>1</v>
      </c>
      <c r="X3" s="11" t="inlineStr">
        <is>
          <t>Rak</t>
        </is>
      </c>
      <c r="Y3" s="12">
        <f>IF(V3="","",IFERROR(INDEX(DAFTAR_FIXTURE!$B$2:$B$51,MATCH(V3,DAFTAR_FIXTURE!$A$2:$A$51,0)),""))</f>
        <v/>
      </c>
      <c r="Z3" s="12">
        <f>IF(V3="","",IF(Y3="","CEK ID FIXTURE tidak ada di DAFTAR_FIXTURE",IF(W3="","CEK ZONA NO kosong",IF(ISNA(MATCH(Y3&amp;"|"&amp;W3,LAYOUT!$E$2:$E$80,0)),"CEK ZONA NO di luar layout",IF(X3&lt;&gt;INDEX(LAYOUT!$D$2:$D$80,MATCH(Y3&amp;"|"&amp;W3,LAYOUT!$E$2:$E$80,0)),"CEK JENIS ZONA",IF($D3="","Zona STOCK",IF($E3="","CEK SKU DESCRIPTION kosong","OK")))))))</f>
        <v/>
      </c>
    </row>
    <row r="4">
      <c r="A4" s="10" t="inlineStr">
        <is>
          <t>Homeware</t>
        </is>
      </c>
      <c r="B4" s="10" t="inlineStr">
        <is>
          <t>Cookware</t>
        </is>
      </c>
      <c r="C4" s="10" t="inlineStr">
        <is>
          <t>Casserole</t>
        </is>
      </c>
      <c r="D4" s="10" t="inlineStr">
        <is>
          <t>10445960</t>
        </is>
      </c>
      <c r="E4" s="10" t="inlineStr">
        <is>
          <t>CASSEROLE OVAL GOLD MARBLE W/LID 33CM</t>
        </is>
      </c>
      <c r="F4" s="10" t="n"/>
      <c r="G4" s="10" t="inlineStr">
        <is>
          <t>MASAK</t>
        </is>
      </c>
      <c r="H4" s="10" t="inlineStr">
        <is>
          <t>B1. CASSEROLE</t>
        </is>
      </c>
      <c r="I4" s="10" t="inlineStr">
        <is>
          <t>GOLD MARBLE</t>
        </is>
      </c>
      <c r="J4" s="10" t="n"/>
      <c r="K4" s="10" t="n"/>
      <c r="L4" s="11" t="inlineStr">
        <is>
          <t>WLL-01</t>
        </is>
      </c>
      <c r="M4" s="11" t="n">
        <v>2</v>
      </c>
      <c r="N4" s="11" t="inlineStr">
        <is>
          <t>Rak</t>
        </is>
      </c>
      <c r="O4" s="12">
        <f>IF(L4="","",IFERROR(INDEX(DAFTAR_FIXTURE!$B$2:$B$51,MATCH(L4,DAFTAR_FIXTURE!$A$2:$A$51,0)),""))</f>
        <v/>
      </c>
      <c r="P4" s="12">
        <f>IF(AND($D4="",L4=""),"",IF(L4="",IF(AND(Q4="",V4=""),"Belum ditempatkan",""),IF(O4="","CEK ID FIXTURE tidak ada di DAFTAR_FIXTURE",IF(M4="","CEK ZONA NO kosong",IF(ISNA(MATCH(O4&amp;"|"&amp;M4,LAYOUT!$E$2:$E$80,0)),"CEK ZONA NO di luar layout",IF(N4&lt;&gt;INDEX(LAYOUT!$D$2:$D$80,MATCH(O4&amp;"|"&amp;M4,LAYOUT!$E$2:$E$80,0)),"CEK JENIS ZONA",IF($D4="","Zona STOCK",IF($E4="","CEK SKU DESCRIPTION kosong","OK"))))))))</f>
        <v/>
      </c>
      <c r="Q4" s="11" t="inlineStr">
        <is>
          <t>WLL-02</t>
        </is>
      </c>
      <c r="R4" s="11" t="n">
        <v>2</v>
      </c>
      <c r="S4" s="11" t="inlineStr">
        <is>
          <t>Rak</t>
        </is>
      </c>
      <c r="T4" s="12">
        <f>IF(Q4="","",IFERROR(INDEX(DAFTAR_FIXTURE!$B$2:$B$51,MATCH(Q4,DAFTAR_FIXTURE!$A$2:$A$51,0)),""))</f>
        <v/>
      </c>
      <c r="U4" s="12">
        <f>IF(Q4="","",IF(T4="","CEK ID FIXTURE tidak ada di DAFTAR_FIXTURE",IF(R4="","CEK ZONA NO kosong",IF(ISNA(MATCH(T4&amp;"|"&amp;R4,LAYOUT!$E$2:$E$80,0)),"CEK ZONA NO di luar layout",IF(S4&lt;&gt;INDEX(LAYOUT!$D$2:$D$80,MATCH(T4&amp;"|"&amp;R4,LAYOUT!$E$2:$E$80,0)),"CEK JENIS ZONA",IF($D4="","Zona STOCK",IF($E4="","CEK SKU DESCRIPTION kosong","OK")))))))</f>
        <v/>
      </c>
      <c r="V4" s="11" t="inlineStr">
        <is>
          <t>GND-01</t>
        </is>
      </c>
      <c r="W4" s="11" t="n">
        <v>1</v>
      </c>
      <c r="X4" s="11" t="inlineStr">
        <is>
          <t>Rak</t>
        </is>
      </c>
      <c r="Y4" s="12">
        <f>IF(V4="","",IFERROR(INDEX(DAFTAR_FIXTURE!$B$2:$B$51,MATCH(V4,DAFTAR_FIXTURE!$A$2:$A$51,0)),""))</f>
        <v/>
      </c>
      <c r="Z4" s="12">
        <f>IF(V4="","",IF(Y4="","CEK ID FIXTURE tidak ada di DAFTAR_FIXTURE",IF(W4="","CEK ZONA NO kosong",IF(ISNA(MATCH(Y4&amp;"|"&amp;W4,LAYOUT!$E$2:$E$80,0)),"CEK ZONA NO di luar layout",IF(X4&lt;&gt;INDEX(LAYOUT!$D$2:$D$80,MATCH(Y4&amp;"|"&amp;W4,LAYOUT!$E$2:$E$80,0)),"CEK JENIS ZONA",IF($D4="","Zona STOCK",IF($E4="","CEK SKU DESCRIPTION kosong","OK")))))))</f>
        <v/>
      </c>
    </row>
    <row r="5">
      <c r="A5" s="10" t="inlineStr">
        <is>
          <t>Homeware</t>
        </is>
      </c>
      <c r="B5" s="10" t="inlineStr">
        <is>
          <t>Cookware</t>
        </is>
      </c>
      <c r="C5" s="10" t="inlineStr">
        <is>
          <t>Casserole</t>
        </is>
      </c>
      <c r="D5" s="10" t="inlineStr">
        <is>
          <t>10445961</t>
        </is>
      </c>
      <c r="E5" s="10" t="inlineStr">
        <is>
          <t>CASSEROLE ROUND GOLD MARBLE W/LID 33CM</t>
        </is>
      </c>
      <c r="F5" s="10" t="n"/>
      <c r="G5" s="10" t="inlineStr">
        <is>
          <t>MASAK</t>
        </is>
      </c>
      <c r="H5" s="10" t="inlineStr">
        <is>
          <t>B1. CASSEROLE</t>
        </is>
      </c>
      <c r="I5" s="10" t="inlineStr">
        <is>
          <t>GOLD MARBLE</t>
        </is>
      </c>
      <c r="J5" s="10" t="n"/>
      <c r="K5" s="10" t="n"/>
      <c r="L5" s="11" t="inlineStr">
        <is>
          <t>WLL-01</t>
        </is>
      </c>
      <c r="M5" s="11" t="n">
        <v>2</v>
      </c>
      <c r="N5" s="11" t="inlineStr">
        <is>
          <t>Rak</t>
        </is>
      </c>
      <c r="O5" s="12">
        <f>IF(L5="","",IFERROR(INDEX(DAFTAR_FIXTURE!$B$2:$B$51,MATCH(L5,DAFTAR_FIXTURE!$A$2:$A$51,0)),""))</f>
        <v/>
      </c>
      <c r="P5" s="12">
        <f>IF(AND($D5="",L5=""),"",IF(L5="",IF(AND(Q5="",V5=""),"Belum ditempatkan",""),IF(O5="","CEK ID FIXTURE tidak ada di DAFTAR_FIXTURE",IF(M5="","CEK ZONA NO kosong",IF(ISNA(MATCH(O5&amp;"|"&amp;M5,LAYOUT!$E$2:$E$80,0)),"CEK ZONA NO di luar layout",IF(N5&lt;&gt;INDEX(LAYOUT!$D$2:$D$80,MATCH(O5&amp;"|"&amp;M5,LAYOUT!$E$2:$E$80,0)),"CEK JENIS ZONA",IF($D5="","Zona STOCK",IF($E5="","CEK SKU DESCRIPTION kosong","OK"))))))))</f>
        <v/>
      </c>
      <c r="Q5" s="11" t="inlineStr">
        <is>
          <t>WLL-02</t>
        </is>
      </c>
      <c r="R5" s="11" t="n">
        <v>2</v>
      </c>
      <c r="S5" s="11" t="inlineStr">
        <is>
          <t>Rak</t>
        </is>
      </c>
      <c r="T5" s="12">
        <f>IF(Q5="","",IFERROR(INDEX(DAFTAR_FIXTURE!$B$2:$B$51,MATCH(Q5,DAFTAR_FIXTURE!$A$2:$A$51,0)),""))</f>
        <v/>
      </c>
      <c r="U5" s="12">
        <f>IF(Q5="","",IF(T5="","CEK ID FIXTURE tidak ada di DAFTAR_FIXTURE",IF(R5="","CEK ZONA NO kosong",IF(ISNA(MATCH(T5&amp;"|"&amp;R5,LAYOUT!$E$2:$E$80,0)),"CEK ZONA NO di luar layout",IF(S5&lt;&gt;INDEX(LAYOUT!$D$2:$D$80,MATCH(T5&amp;"|"&amp;R5,LAYOUT!$E$2:$E$80,0)),"CEK JENIS ZONA",IF($D5="","Zona STOCK",IF($E5="","CEK SKU DESCRIPTION kosong","OK")))))))</f>
        <v/>
      </c>
      <c r="V5" s="11" t="inlineStr">
        <is>
          <t>GND-01</t>
        </is>
      </c>
      <c r="W5" s="11" t="n">
        <v>1</v>
      </c>
      <c r="X5" s="11" t="inlineStr">
        <is>
          <t>Rak</t>
        </is>
      </c>
      <c r="Y5" s="12">
        <f>IF(V5="","",IFERROR(INDEX(DAFTAR_FIXTURE!$B$2:$B$51,MATCH(V5,DAFTAR_FIXTURE!$A$2:$A$51,0)),""))</f>
        <v/>
      </c>
      <c r="Z5" s="12">
        <f>IF(V5="","",IF(Y5="","CEK ID FIXTURE tidak ada di DAFTAR_FIXTURE",IF(W5="","CEK ZONA NO kosong",IF(ISNA(MATCH(Y5&amp;"|"&amp;W5,LAYOUT!$E$2:$E$80,0)),"CEK ZONA NO di luar layout",IF(X5&lt;&gt;INDEX(LAYOUT!$D$2:$D$80,MATCH(Y5&amp;"|"&amp;W5,LAYOUT!$E$2:$E$80,0)),"CEK JENIS ZONA",IF($D5="","Zona STOCK",IF($E5="","CEK SKU DESCRIPTION kosong","OK")))))))</f>
        <v/>
      </c>
    </row>
    <row r="6">
      <c r="A6" s="10" t="inlineStr">
        <is>
          <t>Homeware</t>
        </is>
      </c>
      <c r="B6" s="10" t="inlineStr">
        <is>
          <t>Cookware</t>
        </is>
      </c>
      <c r="C6" s="10" t="inlineStr">
        <is>
          <t>Casserole</t>
        </is>
      </c>
      <c r="D6" s="10" t="inlineStr">
        <is>
          <t>10445962</t>
        </is>
      </c>
      <c r="E6" s="10" t="inlineStr">
        <is>
          <t>CASSEROLE SQUARE GOLD MARBLE W/LID 33CM</t>
        </is>
      </c>
      <c r="F6" s="10" t="n"/>
      <c r="G6" s="10" t="inlineStr">
        <is>
          <t>MASAK</t>
        </is>
      </c>
      <c r="H6" s="10" t="inlineStr">
        <is>
          <t>B1. CASSEROLE</t>
        </is>
      </c>
      <c r="I6" s="10" t="inlineStr">
        <is>
          <t>GOLD MARBLE</t>
        </is>
      </c>
      <c r="J6" s="10" t="n"/>
      <c r="K6" s="10" t="n"/>
      <c r="L6" s="11" t="inlineStr">
        <is>
          <t>WLL-01</t>
        </is>
      </c>
      <c r="M6" s="11" t="n">
        <v>3</v>
      </c>
      <c r="N6" s="11" t="inlineStr">
        <is>
          <t>Rak</t>
        </is>
      </c>
      <c r="O6" s="12">
        <f>IF(L6="","",IFERROR(INDEX(DAFTAR_FIXTURE!$B$2:$B$51,MATCH(L6,DAFTAR_FIXTURE!$A$2:$A$51,0)),""))</f>
        <v/>
      </c>
      <c r="P6" s="12">
        <f>IF(AND($D6="",L6=""),"",IF(L6="",IF(AND(Q6="",V6=""),"Belum ditempatkan",""),IF(O6="","CEK ID FIXTURE tidak ada di DAFTAR_FIXTURE",IF(M6="","CEK ZONA NO kosong",IF(ISNA(MATCH(O6&amp;"|"&amp;M6,LAYOUT!$E$2:$E$80,0)),"CEK ZONA NO di luar layout",IF(N6&lt;&gt;INDEX(LAYOUT!$D$2:$D$80,MATCH(O6&amp;"|"&amp;M6,LAYOUT!$E$2:$E$80,0)),"CEK JENIS ZONA",IF($D6="","Zona STOCK",IF($E6="","CEK SKU DESCRIPTION kosong","OK"))))))))</f>
        <v/>
      </c>
      <c r="Q6" s="11" t="inlineStr">
        <is>
          <t>WLL-02</t>
        </is>
      </c>
      <c r="R6" s="11" t="n">
        <v>2</v>
      </c>
      <c r="S6" s="11" t="inlineStr">
        <is>
          <t>Rak</t>
        </is>
      </c>
      <c r="T6" s="12">
        <f>IF(Q6="","",IFERROR(INDEX(DAFTAR_FIXTURE!$B$2:$B$51,MATCH(Q6,DAFTAR_FIXTURE!$A$2:$A$51,0)),""))</f>
        <v/>
      </c>
      <c r="U6" s="12">
        <f>IF(Q6="","",IF(T6="","CEK ID FIXTURE tidak ada di DAFTAR_FIXTURE",IF(R6="","CEK ZONA NO kosong",IF(ISNA(MATCH(T6&amp;"|"&amp;R6,LAYOUT!$E$2:$E$80,0)),"CEK ZONA NO di luar layout",IF(S6&lt;&gt;INDEX(LAYOUT!$D$2:$D$80,MATCH(T6&amp;"|"&amp;R6,LAYOUT!$E$2:$E$80,0)),"CEK JENIS ZONA",IF($D6="","Zona STOCK",IF($E6="","CEK SKU DESCRIPTION kosong","OK")))))))</f>
        <v/>
      </c>
      <c r="V6" s="11" t="inlineStr">
        <is>
          <t>GND-01</t>
        </is>
      </c>
      <c r="W6" s="11" t="n">
        <v>2</v>
      </c>
      <c r="X6" s="11" t="inlineStr">
        <is>
          <t>Rak</t>
        </is>
      </c>
      <c r="Y6" s="12">
        <f>IF(V6="","",IFERROR(INDEX(DAFTAR_FIXTURE!$B$2:$B$51,MATCH(V6,DAFTAR_FIXTURE!$A$2:$A$51,0)),""))</f>
        <v/>
      </c>
      <c r="Z6" s="12">
        <f>IF(V6="","",IF(Y6="","CEK ID FIXTURE tidak ada di DAFTAR_FIXTURE",IF(W6="","CEK ZONA NO kosong",IF(ISNA(MATCH(Y6&amp;"|"&amp;W6,LAYOUT!$E$2:$E$80,0)),"CEK ZONA NO di luar layout",IF(X6&lt;&gt;INDEX(LAYOUT!$D$2:$D$80,MATCH(Y6&amp;"|"&amp;W6,LAYOUT!$E$2:$E$80,0)),"CEK JENIS ZONA",IF($D6="","Zona STOCK",IF($E6="","CEK SKU DESCRIPTION kosong","OK")))))))</f>
        <v/>
      </c>
    </row>
    <row r="7">
      <c r="A7" s="10" t="inlineStr">
        <is>
          <t>Homeware</t>
        </is>
      </c>
      <c r="B7" s="10" t="inlineStr">
        <is>
          <t>Tableware</t>
        </is>
      </c>
      <c r="C7" s="10" t="inlineStr">
        <is>
          <t>Serving Set</t>
        </is>
      </c>
      <c r="D7" s="10" t="inlineStr">
        <is>
          <t>10470029</t>
        </is>
      </c>
      <c r="E7" s="10" t="inlineStr">
        <is>
          <t>SERVING SET W/RACK OCTAGON MARBLE (4)</t>
        </is>
      </c>
      <c r="F7" s="10" t="n"/>
      <c r="G7" s="10" t="inlineStr">
        <is>
          <t>MAKAN</t>
        </is>
      </c>
      <c r="H7" s="10" t="inlineStr">
        <is>
          <t>A2. SERVINGWARE</t>
        </is>
      </c>
      <c r="I7" s="10" t="inlineStr">
        <is>
          <t>SERVING SET MARBLE</t>
        </is>
      </c>
      <c r="J7" s="10" t="n"/>
      <c r="K7" s="10" t="n"/>
      <c r="L7" s="11" t="inlineStr">
        <is>
          <t>WLL-01</t>
        </is>
      </c>
      <c r="M7" s="11" t="n">
        <v>3</v>
      </c>
      <c r="N7" s="11" t="inlineStr">
        <is>
          <t>Rak</t>
        </is>
      </c>
      <c r="O7" s="12">
        <f>IF(L7="","",IFERROR(INDEX(DAFTAR_FIXTURE!$B$2:$B$51,MATCH(L7,DAFTAR_FIXTURE!$A$2:$A$51,0)),""))</f>
        <v/>
      </c>
      <c r="P7" s="12">
        <f>IF(AND($D7="",L7=""),"",IF(L7="",IF(AND(Q7="",V7=""),"Belum ditempatkan",""),IF(O7="","CEK ID FIXTURE tidak ada di DAFTAR_FIXTURE",IF(M7="","CEK ZONA NO kosong",IF(ISNA(MATCH(O7&amp;"|"&amp;M7,LAYOUT!$E$2:$E$80,0)),"CEK ZONA NO di luar layout",IF(N7&lt;&gt;INDEX(LAYOUT!$D$2:$D$80,MATCH(O7&amp;"|"&amp;M7,LAYOUT!$E$2:$E$80,0)),"CEK JENIS ZONA",IF($D7="","Zona STOCK",IF($E7="","CEK SKU DESCRIPTION kosong","OK"))))))))</f>
        <v/>
      </c>
      <c r="Q7" s="11" t="inlineStr">
        <is>
          <t>WLL-02</t>
        </is>
      </c>
      <c r="R7" s="11" t="n">
        <v>2</v>
      </c>
      <c r="S7" s="11" t="inlineStr">
        <is>
          <t>Rak</t>
        </is>
      </c>
      <c r="T7" s="12">
        <f>IF(Q7="","",IFERROR(INDEX(DAFTAR_FIXTURE!$B$2:$B$51,MATCH(Q7,DAFTAR_FIXTURE!$A$2:$A$51,0)),""))</f>
        <v/>
      </c>
      <c r="U7" s="12">
        <f>IF(Q7="","",IF(T7="","CEK ID FIXTURE tidak ada di DAFTAR_FIXTURE",IF(R7="","CEK ZONA NO kosong",IF(ISNA(MATCH(T7&amp;"|"&amp;R7,LAYOUT!$E$2:$E$80,0)),"CEK ZONA NO di luar layout",IF(S7&lt;&gt;INDEX(LAYOUT!$D$2:$D$80,MATCH(T7&amp;"|"&amp;R7,LAYOUT!$E$2:$E$80,0)),"CEK JENIS ZONA",IF($D7="","Zona STOCK",IF($E7="","CEK SKU DESCRIPTION kosong","OK")))))))</f>
        <v/>
      </c>
      <c r="V7" s="11" t="inlineStr">
        <is>
          <t>GND-01</t>
        </is>
      </c>
      <c r="W7" s="11" t="n">
        <v>2</v>
      </c>
      <c r="X7" s="11" t="inlineStr">
        <is>
          <t>Rak</t>
        </is>
      </c>
      <c r="Y7" s="12">
        <f>IF(V7="","",IFERROR(INDEX(DAFTAR_FIXTURE!$B$2:$B$51,MATCH(V7,DAFTAR_FIXTURE!$A$2:$A$51,0)),""))</f>
        <v/>
      </c>
      <c r="Z7" s="12">
        <f>IF(V7="","",IF(Y7="","CEK ID FIXTURE tidak ada di DAFTAR_FIXTURE",IF(W7="","CEK ZONA NO kosong",IF(ISNA(MATCH(Y7&amp;"|"&amp;W7,LAYOUT!$E$2:$E$80,0)),"CEK ZONA NO di luar layout",IF(X7&lt;&gt;INDEX(LAYOUT!$D$2:$D$80,MATCH(Y7&amp;"|"&amp;W7,LAYOUT!$E$2:$E$80,0)),"CEK JENIS ZONA",IF($D7="","Zona STOCK",IF($E7="","CEK SKU DESCRIPTION kosong","OK")))))))</f>
        <v/>
      </c>
    </row>
    <row r="8">
      <c r="A8" s="10" t="inlineStr">
        <is>
          <t>Homeware</t>
        </is>
      </c>
      <c r="B8" s="10" t="inlineStr">
        <is>
          <t>Tableware</t>
        </is>
      </c>
      <c r="C8" s="10" t="inlineStr">
        <is>
          <t>Serving Set</t>
        </is>
      </c>
      <c r="D8" s="10" t="inlineStr">
        <is>
          <t>10470030</t>
        </is>
      </c>
      <c r="E8" s="10" t="inlineStr">
        <is>
          <t>SERVING SET RND DETACHABLE MARBLE (2)</t>
        </is>
      </c>
      <c r="F8" s="10" t="n"/>
      <c r="G8" s="10" t="inlineStr">
        <is>
          <t>MAKAN</t>
        </is>
      </c>
      <c r="H8" s="10" t="inlineStr">
        <is>
          <t>A2. SERVINGWARE</t>
        </is>
      </c>
      <c r="I8" s="10" t="inlineStr">
        <is>
          <t>SERVING SET MARBLE</t>
        </is>
      </c>
      <c r="J8" s="10" t="n"/>
      <c r="K8" s="10" t="n"/>
      <c r="L8" s="11" t="inlineStr">
        <is>
          <t>WLL-01</t>
        </is>
      </c>
      <c r="M8" s="11" t="n">
        <v>3</v>
      </c>
      <c r="N8" s="11" t="inlineStr">
        <is>
          <t>Rak</t>
        </is>
      </c>
      <c r="O8" s="12">
        <f>IF(L8="","",IFERROR(INDEX(DAFTAR_FIXTURE!$B$2:$B$51,MATCH(L8,DAFTAR_FIXTURE!$A$2:$A$51,0)),""))</f>
        <v/>
      </c>
      <c r="P8" s="12">
        <f>IF(AND($D8="",L8=""),"",IF(L8="",IF(AND(Q8="",V8=""),"Belum ditempatkan",""),IF(O8="","CEK ID FIXTURE tidak ada di DAFTAR_FIXTURE",IF(M8="","CEK ZONA NO kosong",IF(ISNA(MATCH(O8&amp;"|"&amp;M8,LAYOUT!$E$2:$E$80,0)),"CEK ZONA NO di luar layout",IF(N8&lt;&gt;INDEX(LAYOUT!$D$2:$D$80,MATCH(O8&amp;"|"&amp;M8,LAYOUT!$E$2:$E$80,0)),"CEK JENIS ZONA",IF($D8="","Zona STOCK",IF($E8="","CEK SKU DESCRIPTION kosong","OK"))))))))</f>
        <v/>
      </c>
      <c r="Q8" s="11" t="inlineStr">
        <is>
          <t>WLL-02</t>
        </is>
      </c>
      <c r="R8" s="11" t="n">
        <v>3</v>
      </c>
      <c r="S8" s="11" t="inlineStr">
        <is>
          <t>Rak</t>
        </is>
      </c>
      <c r="T8" s="12">
        <f>IF(Q8="","",IFERROR(INDEX(DAFTAR_FIXTURE!$B$2:$B$51,MATCH(Q8,DAFTAR_FIXTURE!$A$2:$A$51,0)),""))</f>
        <v/>
      </c>
      <c r="U8" s="12">
        <f>IF(Q8="","",IF(T8="","CEK ID FIXTURE tidak ada di DAFTAR_FIXTURE",IF(R8="","CEK ZONA NO kosong",IF(ISNA(MATCH(T8&amp;"|"&amp;R8,LAYOUT!$E$2:$E$80,0)),"CEK ZONA NO di luar layout",IF(S8&lt;&gt;INDEX(LAYOUT!$D$2:$D$80,MATCH(T8&amp;"|"&amp;R8,LAYOUT!$E$2:$E$80,0)),"CEK JENIS ZONA",IF($D8="","Zona STOCK",IF($E8="","CEK SKU DESCRIPTION kosong","OK")))))))</f>
        <v/>
      </c>
      <c r="V8" s="11" t="inlineStr">
        <is>
          <t>GND-01</t>
        </is>
      </c>
      <c r="W8" s="11" t="n">
        <v>2</v>
      </c>
      <c r="X8" s="11" t="inlineStr">
        <is>
          <t>Rak</t>
        </is>
      </c>
      <c r="Y8" s="12">
        <f>IF(V8="","",IFERROR(INDEX(DAFTAR_FIXTURE!$B$2:$B$51,MATCH(V8,DAFTAR_FIXTURE!$A$2:$A$51,0)),""))</f>
        <v/>
      </c>
      <c r="Z8" s="12">
        <f>IF(V8="","",IF(Y8="","CEK ID FIXTURE tidak ada di DAFTAR_FIXTURE",IF(W8="","CEK ZONA NO kosong",IF(ISNA(MATCH(Y8&amp;"|"&amp;W8,LAYOUT!$E$2:$E$80,0)),"CEK ZONA NO di luar layout",IF(X8&lt;&gt;INDEX(LAYOUT!$D$2:$D$80,MATCH(Y8&amp;"|"&amp;W8,LAYOUT!$E$2:$E$80,0)),"CEK JENIS ZONA",IF($D8="","Zona STOCK",IF($E8="","CEK SKU DESCRIPTION kosong","OK")))))))</f>
        <v/>
      </c>
    </row>
    <row r="9">
      <c r="A9" s="10" t="inlineStr">
        <is>
          <t>Homeware</t>
        </is>
      </c>
      <c r="B9" s="10" t="inlineStr">
        <is>
          <t>Tableware</t>
        </is>
      </c>
      <c r="C9" s="10" t="inlineStr">
        <is>
          <t>Serving Set</t>
        </is>
      </c>
      <c r="D9" s="10" t="inlineStr">
        <is>
          <t>10470031</t>
        </is>
      </c>
      <c r="E9" s="10" t="inlineStr">
        <is>
          <t>SERVING SET W/RACK SQR MARBLE BLACK (3)</t>
        </is>
      </c>
      <c r="F9" s="10" t="n"/>
      <c r="G9" s="10" t="inlineStr">
        <is>
          <t>MAKAN</t>
        </is>
      </c>
      <c r="H9" s="10" t="inlineStr">
        <is>
          <t>A2. SERVINGWARE</t>
        </is>
      </c>
      <c r="I9" s="10" t="inlineStr">
        <is>
          <t>SERVING SET MARBLE</t>
        </is>
      </c>
      <c r="J9" s="10" t="n"/>
      <c r="K9" s="10" t="n"/>
      <c r="L9" s="11" t="inlineStr">
        <is>
          <t>WLL-01</t>
        </is>
      </c>
      <c r="M9" s="11" t="n">
        <v>4</v>
      </c>
      <c r="N9" s="11" t="inlineStr">
        <is>
          <t>Rak</t>
        </is>
      </c>
      <c r="O9" s="12">
        <f>IF(L9="","",IFERROR(INDEX(DAFTAR_FIXTURE!$B$2:$B$51,MATCH(L9,DAFTAR_FIXTURE!$A$2:$A$51,0)),""))</f>
        <v/>
      </c>
      <c r="P9" s="12">
        <f>IF(AND($D9="",L9=""),"",IF(L9="",IF(AND(Q9="",V9=""),"Belum ditempatkan",""),IF(O9="","CEK ID FIXTURE tidak ada di DAFTAR_FIXTURE",IF(M9="","CEK ZONA NO kosong",IF(ISNA(MATCH(O9&amp;"|"&amp;M9,LAYOUT!$E$2:$E$80,0)),"CEK ZONA NO di luar layout",IF(N9&lt;&gt;INDEX(LAYOUT!$D$2:$D$80,MATCH(O9&amp;"|"&amp;M9,LAYOUT!$E$2:$E$80,0)),"CEK JENIS ZONA",IF($D9="","Zona STOCK",IF($E9="","CEK SKU DESCRIPTION kosong","OK"))))))))</f>
        <v/>
      </c>
      <c r="Q9" s="11" t="inlineStr">
        <is>
          <t>WLL-02</t>
        </is>
      </c>
      <c r="R9" s="11" t="n">
        <v>3</v>
      </c>
      <c r="S9" s="11" t="inlineStr">
        <is>
          <t>Rak</t>
        </is>
      </c>
      <c r="T9" s="12">
        <f>IF(Q9="","",IFERROR(INDEX(DAFTAR_FIXTURE!$B$2:$B$51,MATCH(Q9,DAFTAR_FIXTURE!$A$2:$A$51,0)),""))</f>
        <v/>
      </c>
      <c r="U9" s="12">
        <f>IF(Q9="","",IF(T9="","CEK ID FIXTURE tidak ada di DAFTAR_FIXTURE",IF(R9="","CEK ZONA NO kosong",IF(ISNA(MATCH(T9&amp;"|"&amp;R9,LAYOUT!$E$2:$E$80,0)),"CEK ZONA NO di luar layout",IF(S9&lt;&gt;INDEX(LAYOUT!$D$2:$D$80,MATCH(T9&amp;"|"&amp;R9,LAYOUT!$E$2:$E$80,0)),"CEK JENIS ZONA",IF($D9="","Zona STOCK",IF($E9="","CEK SKU DESCRIPTION kosong","OK")))))))</f>
        <v/>
      </c>
      <c r="V9" s="11" t="n"/>
      <c r="W9" s="11" t="n"/>
      <c r="X9" s="11" t="n"/>
      <c r="Y9" s="12">
        <f>IF(V9="","",IFERROR(INDEX(DAFTAR_FIXTURE!$B$2:$B$51,MATCH(V9,DAFTAR_FIXTURE!$A$2:$A$51,0)),""))</f>
        <v/>
      </c>
      <c r="Z9" s="12">
        <f>IF(V9="","",IF(Y9="","CEK ID FIXTURE tidak ada di DAFTAR_FIXTURE",IF(W9="","CEK ZONA NO kosong",IF(ISNA(MATCH(Y9&amp;"|"&amp;W9,LAYOUT!$E$2:$E$80,0)),"CEK ZONA NO di luar layout",IF(X9&lt;&gt;INDEX(LAYOUT!$D$2:$D$80,MATCH(Y9&amp;"|"&amp;W9,LAYOUT!$E$2:$E$80,0)),"CEK JENIS ZONA",IF($D9="","Zona STOCK",IF($E9="","CEK SKU DESCRIPTION kosong","OK")))))))</f>
        <v/>
      </c>
    </row>
    <row r="10">
      <c r="A10" s="10" t="inlineStr">
        <is>
          <t>Homeware</t>
        </is>
      </c>
      <c r="B10" s="10" t="inlineStr">
        <is>
          <t>Tableware</t>
        </is>
      </c>
      <c r="C10" s="10" t="inlineStr">
        <is>
          <t>Serving Set</t>
        </is>
      </c>
      <c r="D10" s="10" t="inlineStr">
        <is>
          <t>10470032</t>
        </is>
      </c>
      <c r="E10" s="10" t="inlineStr">
        <is>
          <t>SERVING SET W/RACK STACK WHITE (3)</t>
        </is>
      </c>
      <c r="F10" s="10" t="n"/>
      <c r="G10" s="10" t="inlineStr">
        <is>
          <t>MAKAN</t>
        </is>
      </c>
      <c r="H10" s="10" t="inlineStr">
        <is>
          <t>A2. SERVINGWARE</t>
        </is>
      </c>
      <c r="I10" s="10" t="inlineStr">
        <is>
          <t>SERVING SET MARBLE</t>
        </is>
      </c>
      <c r="J10" s="10" t="n"/>
      <c r="K10" s="10" t="n"/>
      <c r="L10" s="11" t="inlineStr">
        <is>
          <t>WLL-01</t>
        </is>
      </c>
      <c r="M10" s="11" t="n">
        <v>4</v>
      </c>
      <c r="N10" s="11" t="inlineStr">
        <is>
          <t>Rak</t>
        </is>
      </c>
      <c r="O10" s="12">
        <f>IF(L10="","",IFERROR(INDEX(DAFTAR_FIXTURE!$B$2:$B$51,MATCH(L10,DAFTAR_FIXTURE!$A$2:$A$51,0)),""))</f>
        <v/>
      </c>
      <c r="P10" s="12">
        <f>IF(AND($D10="",L10=""),"",IF(L10="",IF(AND(Q10="",V10=""),"Belum ditempatkan",""),IF(O10="","CEK ID FIXTURE tidak ada di DAFTAR_FIXTURE",IF(M10="","CEK ZONA NO kosong",IF(ISNA(MATCH(O10&amp;"|"&amp;M10,LAYOUT!$E$2:$E$80,0)),"CEK ZONA NO di luar layout",IF(N10&lt;&gt;INDEX(LAYOUT!$D$2:$D$80,MATCH(O10&amp;"|"&amp;M10,LAYOUT!$E$2:$E$80,0)),"CEK JENIS ZONA",IF($D10="","Zona STOCK",IF($E10="","CEK SKU DESCRIPTION kosong","OK"))))))))</f>
        <v/>
      </c>
      <c r="Q10" s="11" t="inlineStr">
        <is>
          <t>WLL-02</t>
        </is>
      </c>
      <c r="R10" s="11" t="n">
        <v>3</v>
      </c>
      <c r="S10" s="11" t="inlineStr">
        <is>
          <t>Rak</t>
        </is>
      </c>
      <c r="T10" s="12">
        <f>IF(Q10="","",IFERROR(INDEX(DAFTAR_FIXTURE!$B$2:$B$51,MATCH(Q10,DAFTAR_FIXTURE!$A$2:$A$51,0)),""))</f>
        <v/>
      </c>
      <c r="U10" s="12">
        <f>IF(Q10="","",IF(T10="","CEK ID FIXTURE tidak ada di DAFTAR_FIXTURE",IF(R10="","CEK ZONA NO kosong",IF(ISNA(MATCH(T10&amp;"|"&amp;R10,LAYOUT!$E$2:$E$80,0)),"CEK ZONA NO di luar layout",IF(S10&lt;&gt;INDEX(LAYOUT!$D$2:$D$80,MATCH(T10&amp;"|"&amp;R10,LAYOUT!$E$2:$E$80,0)),"CEK JENIS ZONA",IF($D10="","Zona STOCK",IF($E10="","CEK SKU DESCRIPTION kosong","OK")))))))</f>
        <v/>
      </c>
      <c r="V10" s="11" t="n"/>
      <c r="W10" s="11" t="n"/>
      <c r="X10" s="11" t="n"/>
      <c r="Y10" s="12">
        <f>IF(V10="","",IFERROR(INDEX(DAFTAR_FIXTURE!$B$2:$B$51,MATCH(V10,DAFTAR_FIXTURE!$A$2:$A$51,0)),""))</f>
        <v/>
      </c>
      <c r="Z10" s="12">
        <f>IF(V10="","",IF(Y10="","CEK ID FIXTURE tidak ada di DAFTAR_FIXTURE",IF(W10="","CEK ZONA NO kosong",IF(ISNA(MATCH(Y10&amp;"|"&amp;W10,LAYOUT!$E$2:$E$80,0)),"CEK ZONA NO di luar layout",IF(X10&lt;&gt;INDEX(LAYOUT!$D$2:$D$80,MATCH(Y10&amp;"|"&amp;W10,LAYOUT!$E$2:$E$80,0)),"CEK JENIS ZONA",IF($D10="","Zona STOCK",IF($E10="","CEK SKU DESCRIPTION kosong","OK")))))))</f>
        <v/>
      </c>
    </row>
    <row r="11">
      <c r="A11" s="10" t="inlineStr">
        <is>
          <t>Homeware</t>
        </is>
      </c>
      <c r="B11" s="10" t="inlineStr">
        <is>
          <t>Tableware</t>
        </is>
      </c>
      <c r="C11" s="10" t="inlineStr">
        <is>
          <t>Serving Set</t>
        </is>
      </c>
      <c r="D11" s="10" t="inlineStr">
        <is>
          <t>10470033</t>
        </is>
      </c>
      <c r="E11" s="10" t="inlineStr">
        <is>
          <t>SERVING SET W/RACK CIRCLE BLACK (3)</t>
        </is>
      </c>
      <c r="F11" s="10" t="n"/>
      <c r="G11" s="10" t="inlineStr">
        <is>
          <t>MAKAN</t>
        </is>
      </c>
      <c r="H11" s="10" t="inlineStr">
        <is>
          <t>A2. SERVINGWARE</t>
        </is>
      </c>
      <c r="I11" s="10" t="inlineStr">
        <is>
          <t>SERVING SET MARBLE</t>
        </is>
      </c>
      <c r="J11" s="10" t="n"/>
      <c r="K11" s="10" t="n"/>
      <c r="L11" s="11" t="inlineStr">
        <is>
          <t>WLL-01</t>
        </is>
      </c>
      <c r="M11" s="11" t="n">
        <v>4</v>
      </c>
      <c r="N11" s="11" t="inlineStr">
        <is>
          <t>Rak</t>
        </is>
      </c>
      <c r="O11" s="12">
        <f>IF(L11="","",IFERROR(INDEX(DAFTAR_FIXTURE!$B$2:$B$51,MATCH(L11,DAFTAR_FIXTURE!$A$2:$A$51,0)),""))</f>
        <v/>
      </c>
      <c r="P11" s="12">
        <f>IF(AND($D11="",L11=""),"",IF(L11="",IF(AND(Q11="",V11=""),"Belum ditempatkan",""),IF(O11="","CEK ID FIXTURE tidak ada di DAFTAR_FIXTURE",IF(M11="","CEK ZONA NO kosong",IF(ISNA(MATCH(O11&amp;"|"&amp;M11,LAYOUT!$E$2:$E$80,0)),"CEK ZONA NO di luar layout",IF(N11&lt;&gt;INDEX(LAYOUT!$D$2:$D$80,MATCH(O11&amp;"|"&amp;M11,LAYOUT!$E$2:$E$80,0)),"CEK JENIS ZONA",IF($D11="","Zona STOCK",IF($E11="","CEK SKU DESCRIPTION kosong","OK"))))))))</f>
        <v/>
      </c>
      <c r="Q11" s="11" t="inlineStr">
        <is>
          <t>WLL-02</t>
        </is>
      </c>
      <c r="R11" s="11" t="n">
        <v>3</v>
      </c>
      <c r="S11" s="11" t="inlineStr">
        <is>
          <t>Rak</t>
        </is>
      </c>
      <c r="T11" s="12">
        <f>IF(Q11="","",IFERROR(INDEX(DAFTAR_FIXTURE!$B$2:$B$51,MATCH(Q11,DAFTAR_FIXTURE!$A$2:$A$51,0)),""))</f>
        <v/>
      </c>
      <c r="U11" s="12">
        <f>IF(Q11="","",IF(T11="","CEK ID FIXTURE tidak ada di DAFTAR_FIXTURE",IF(R11="","CEK ZONA NO kosong",IF(ISNA(MATCH(T11&amp;"|"&amp;R11,LAYOUT!$E$2:$E$80,0)),"CEK ZONA NO di luar layout",IF(S11&lt;&gt;INDEX(LAYOUT!$D$2:$D$80,MATCH(T11&amp;"|"&amp;R11,LAYOUT!$E$2:$E$80,0)),"CEK JENIS ZONA",IF($D11="","Zona STOCK",IF($E11="","CEK SKU DESCRIPTION kosong","OK")))))))</f>
        <v/>
      </c>
      <c r="V11" s="11" t="n"/>
      <c r="W11" s="11" t="n"/>
      <c r="X11" s="11" t="n"/>
      <c r="Y11" s="12">
        <f>IF(V11="","",IFERROR(INDEX(DAFTAR_FIXTURE!$B$2:$B$51,MATCH(V11,DAFTAR_FIXTURE!$A$2:$A$51,0)),""))</f>
        <v/>
      </c>
      <c r="Z11" s="12">
        <f>IF(V11="","",IF(Y11="","CEK ID FIXTURE tidak ada di DAFTAR_FIXTURE",IF(W11="","CEK ZONA NO kosong",IF(ISNA(MATCH(Y11&amp;"|"&amp;W11,LAYOUT!$E$2:$E$80,0)),"CEK ZONA NO di luar layout",IF(X11&lt;&gt;INDEX(LAYOUT!$D$2:$D$80,MATCH(Y11&amp;"|"&amp;W11,LAYOUT!$E$2:$E$80,0)),"CEK JENIS ZONA",IF($D11="","Zona STOCK",IF($E11="","CEK SKU DESCRIPTION kosong","OK")))))))</f>
        <v/>
      </c>
    </row>
    <row r="12">
      <c r="A12" s="10" t="inlineStr">
        <is>
          <t>Homeware</t>
        </is>
      </c>
      <c r="B12" s="10" t="inlineStr">
        <is>
          <t>Storage</t>
        </is>
      </c>
      <c r="C12" s="10" t="inlineStr">
        <is>
          <t>Food Storage</t>
        </is>
      </c>
      <c r="D12" s="10" t="inlineStr">
        <is>
          <t>10680419</t>
        </is>
      </c>
      <c r="E12" s="10" t="inlineStr">
        <is>
          <t>MOSQUE DOME GLASS JAR SET OF 3 450ML</t>
        </is>
      </c>
      <c r="F12" s="10" t="n"/>
      <c r="G12" s="10" t="inlineStr">
        <is>
          <t>PENYIMPANAN</t>
        </is>
      </c>
      <c r="H12" s="10" t="inlineStr">
        <is>
          <t>E4. CANISTER</t>
        </is>
      </c>
      <c r="I12" s="10" t="inlineStr">
        <is>
          <t>GLASS FANCY</t>
        </is>
      </c>
      <c r="J12" s="10" t="n"/>
      <c r="K12" s="10" t="n"/>
      <c r="L12" s="11" t="inlineStr">
        <is>
          <t>WLL-01</t>
        </is>
      </c>
      <c r="M12" s="11" t="n">
        <v>5</v>
      </c>
      <c r="N12" s="11" t="inlineStr">
        <is>
          <t>Rak</t>
        </is>
      </c>
      <c r="O12" s="12">
        <f>IF(L12="","",IFERROR(INDEX(DAFTAR_FIXTURE!$B$2:$B$51,MATCH(L12,DAFTAR_FIXTURE!$A$2:$A$51,0)),""))</f>
        <v/>
      </c>
      <c r="P12" s="12">
        <f>IF(AND($D12="",L12=""),"",IF(L12="",IF(AND(Q12="",V12=""),"Belum ditempatkan",""),IF(O12="","CEK ID FIXTURE tidak ada di DAFTAR_FIXTURE",IF(M12="","CEK ZONA NO kosong",IF(ISNA(MATCH(O12&amp;"|"&amp;M12,LAYOUT!$E$2:$E$80,0)),"CEK ZONA NO di luar layout",IF(N12&lt;&gt;INDEX(LAYOUT!$D$2:$D$80,MATCH(O12&amp;"|"&amp;M12,LAYOUT!$E$2:$E$80,0)),"CEK JENIS ZONA",IF($D12="","Zona STOCK",IF($E12="","CEK SKU DESCRIPTION kosong","OK"))))))))</f>
        <v/>
      </c>
      <c r="Q12" s="11" t="inlineStr">
        <is>
          <t>GND-01</t>
        </is>
      </c>
      <c r="R12" s="11" t="n">
        <v>4</v>
      </c>
      <c r="S12" s="11" t="inlineStr">
        <is>
          <t>Rak</t>
        </is>
      </c>
      <c r="T12" s="12">
        <f>IF(Q12="","",IFERROR(INDEX(DAFTAR_FIXTURE!$B$2:$B$51,MATCH(Q12,DAFTAR_FIXTURE!$A$2:$A$51,0)),""))</f>
        <v/>
      </c>
      <c r="U12" s="12">
        <f>IF(Q12="","",IF(T12="","CEK ID FIXTURE tidak ada di DAFTAR_FIXTURE",IF(R12="","CEK ZONA NO kosong",IF(ISNA(MATCH(T12&amp;"|"&amp;R12,LAYOUT!$E$2:$E$80,0)),"CEK ZONA NO di luar layout",IF(S12&lt;&gt;INDEX(LAYOUT!$D$2:$D$80,MATCH(T12&amp;"|"&amp;R12,LAYOUT!$E$2:$E$80,0)),"CEK JENIS ZONA",IF($D12="","Zona STOCK",IF($E12="","CEK SKU DESCRIPTION kosong","OK")))))))</f>
        <v/>
      </c>
      <c r="V12" s="11" t="n"/>
      <c r="W12" s="11" t="n"/>
      <c r="X12" s="11" t="n"/>
      <c r="Y12" s="12">
        <f>IF(V12="","",IFERROR(INDEX(DAFTAR_FIXTURE!$B$2:$B$51,MATCH(V12,DAFTAR_FIXTURE!$A$2:$A$51,0)),""))</f>
        <v/>
      </c>
      <c r="Z12" s="12">
        <f>IF(V12="","",IF(Y12="","CEK ID FIXTURE tidak ada di DAFTAR_FIXTURE",IF(W12="","CEK ZONA NO kosong",IF(ISNA(MATCH(Y12&amp;"|"&amp;W12,LAYOUT!$E$2:$E$80,0)),"CEK ZONA NO di luar layout",IF(X12&lt;&gt;INDEX(LAYOUT!$D$2:$D$80,MATCH(Y12&amp;"|"&amp;W12,LAYOUT!$E$2:$E$80,0)),"CEK JENIS ZONA",IF($D12="","Zona STOCK",IF($E12="","CEK SKU DESCRIPTION kosong","OK")))))))</f>
        <v/>
      </c>
    </row>
    <row r="13">
      <c r="A13" s="10" t="inlineStr">
        <is>
          <t>Homeware</t>
        </is>
      </c>
      <c r="B13" s="10" t="inlineStr">
        <is>
          <t>Drinkware</t>
        </is>
      </c>
      <c r="C13" s="10" t="inlineStr">
        <is>
          <t>Glassware</t>
        </is>
      </c>
      <c r="D13" s="10" t="inlineStr">
        <is>
          <t>10099887</t>
        </is>
      </c>
      <c r="E13" s="10" t="inlineStr">
        <is>
          <t>ELAN WATER GLASS SET 414ML (6)</t>
        </is>
      </c>
      <c r="F13" s="10" t="n"/>
      <c r="G13" s="10" t="inlineStr">
        <is>
          <t>MAKAN</t>
        </is>
      </c>
      <c r="H13" s="10" t="inlineStr">
        <is>
          <t>A1. GLASSWARE</t>
        </is>
      </c>
      <c r="I13" s="10" t="inlineStr">
        <is>
          <t>ELAN</t>
        </is>
      </c>
      <c r="J13" s="10" t="n"/>
      <c r="K13" s="10" t="n"/>
      <c r="L13" s="11" t="inlineStr">
        <is>
          <t>WLL-01</t>
        </is>
      </c>
      <c r="M13" s="11" t="n">
        <v>6</v>
      </c>
      <c r="N13" s="11" t="inlineStr">
        <is>
          <t>Rak</t>
        </is>
      </c>
      <c r="O13" s="12">
        <f>IF(L13="","",IFERROR(INDEX(DAFTAR_FIXTURE!$B$2:$B$51,MATCH(L13,DAFTAR_FIXTURE!$A$2:$A$51,0)),""))</f>
        <v/>
      </c>
      <c r="P13" s="12">
        <f>IF(AND($D13="",L13=""),"",IF(L13="",IF(AND(Q13="",V13=""),"Belum ditempatkan",""),IF(O13="","CEK ID FIXTURE tidak ada di DAFTAR_FIXTURE",IF(M13="","CEK ZONA NO kosong",IF(ISNA(MATCH(O13&amp;"|"&amp;M13,LAYOUT!$E$2:$E$80,0)),"CEK ZONA NO di luar layout",IF(N13&lt;&gt;INDEX(LAYOUT!$D$2:$D$80,MATCH(O13&amp;"|"&amp;M13,LAYOUT!$E$2:$E$80,0)),"CEK JENIS ZONA",IF($D13="","Zona STOCK",IF($E13="","CEK SKU DESCRIPTION kosong","OK"))))))))</f>
        <v/>
      </c>
      <c r="Q13" s="11" t="n"/>
      <c r="R13" s="11" t="n"/>
      <c r="S13" s="11" t="n"/>
      <c r="T13" s="12">
        <f>IF(Q13="","",IFERROR(INDEX(DAFTAR_FIXTURE!$B$2:$B$51,MATCH(Q13,DAFTAR_FIXTURE!$A$2:$A$51,0)),""))</f>
        <v/>
      </c>
      <c r="U13" s="12">
        <f>IF(Q13="","",IF(T13="","CEK ID FIXTURE tidak ada di DAFTAR_FIXTURE",IF(R13="","CEK ZONA NO kosong",IF(ISNA(MATCH(T13&amp;"|"&amp;R13,LAYOUT!$E$2:$E$80,0)),"CEK ZONA NO di luar layout",IF(S13&lt;&gt;INDEX(LAYOUT!$D$2:$D$80,MATCH(T13&amp;"|"&amp;R13,LAYOUT!$E$2:$E$80,0)),"CEK JENIS ZONA",IF($D13="","Zona STOCK",IF($E13="","CEK SKU DESCRIPTION kosong","OK")))))))</f>
        <v/>
      </c>
      <c r="V13" s="11" t="n"/>
      <c r="W13" s="11" t="n"/>
      <c r="X13" s="11" t="n"/>
      <c r="Y13" s="12">
        <f>IF(V13="","",IFERROR(INDEX(DAFTAR_FIXTURE!$B$2:$B$51,MATCH(V13,DAFTAR_FIXTURE!$A$2:$A$51,0)),""))</f>
        <v/>
      </c>
      <c r="Z13" s="12">
        <f>IF(V13="","",IF(Y13="","CEK ID FIXTURE tidak ada di DAFTAR_FIXTURE",IF(W13="","CEK ZONA NO kosong",IF(ISNA(MATCH(Y13&amp;"|"&amp;W13,LAYOUT!$E$2:$E$80,0)),"CEK ZONA NO di luar layout",IF(X13&lt;&gt;INDEX(LAYOUT!$D$2:$D$80,MATCH(Y13&amp;"|"&amp;W13,LAYOUT!$E$2:$E$80,0)),"CEK JENIS ZONA",IF($D13="","Zona STOCK",IF($E13="","CEK SKU DESCRIPTION kosong","OK")))))))</f>
        <v/>
      </c>
    </row>
    <row r="14">
      <c r="A14" s="10" t="inlineStr">
        <is>
          <t>Homeware</t>
        </is>
      </c>
      <c r="B14" s="10" t="inlineStr">
        <is>
          <t>Tableware</t>
        </is>
      </c>
      <c r="C14" s="10" t="inlineStr">
        <is>
          <t>Plates &amp; Bowls</t>
        </is>
      </c>
      <c r="D14" s="10" t="inlineStr">
        <is>
          <t>238181</t>
        </is>
      </c>
      <c r="E14" s="10" t="inlineStr">
        <is>
          <t>COUPE PLATE 16 CM SIMPLE PLUS</t>
        </is>
      </c>
      <c r="F14" s="10" t="n"/>
      <c r="G14" s="10" t="n"/>
      <c r="H14" s="10" t="n"/>
      <c r="I14" s="10" t="n"/>
      <c r="J14" s="10" t="n"/>
      <c r="K14" s="10" t="n"/>
      <c r="L14" s="11" t="inlineStr">
        <is>
          <t>WLL-02</t>
        </is>
      </c>
      <c r="M14" s="11" t="n">
        <v>1</v>
      </c>
      <c r="N14" s="11" t="inlineStr">
        <is>
          <t>Rak</t>
        </is>
      </c>
      <c r="O14" s="12">
        <f>IF(L14="","",IFERROR(INDEX(DAFTAR_FIXTURE!$B$2:$B$51,MATCH(L14,DAFTAR_FIXTURE!$A$2:$A$51,0)),""))</f>
        <v/>
      </c>
      <c r="P14" s="12">
        <f>IF(AND($D14="",L14=""),"",IF(L14="",IF(AND(Q14="",V14=""),"Belum ditempatkan",""),IF(O14="","CEK ID FIXTURE tidak ada di DAFTAR_FIXTURE",IF(M14="","CEK ZONA NO kosong",IF(ISNA(MATCH(O14&amp;"|"&amp;M14,LAYOUT!$E$2:$E$80,0)),"CEK ZONA NO di luar layout",IF(N14&lt;&gt;INDEX(LAYOUT!$D$2:$D$80,MATCH(O14&amp;"|"&amp;M14,LAYOUT!$E$2:$E$80,0)),"CEK JENIS ZONA",IF($D14="","Zona STOCK",IF($E14="","CEK SKU DESCRIPTION kosong","OK"))))))))</f>
        <v/>
      </c>
      <c r="Q14" s="11" t="n"/>
      <c r="R14" s="11" t="n"/>
      <c r="S14" s="11" t="n"/>
      <c r="T14" s="12">
        <f>IF(Q14="","",IFERROR(INDEX(DAFTAR_FIXTURE!$B$2:$B$51,MATCH(Q14,DAFTAR_FIXTURE!$A$2:$A$51,0)),""))</f>
        <v/>
      </c>
      <c r="U14" s="12">
        <f>IF(Q14="","",IF(T14="","CEK ID FIXTURE tidak ada di DAFTAR_FIXTURE",IF(R14="","CEK ZONA NO kosong",IF(ISNA(MATCH(T14&amp;"|"&amp;R14,LAYOUT!$E$2:$E$80,0)),"CEK ZONA NO di luar layout",IF(S14&lt;&gt;INDEX(LAYOUT!$D$2:$D$80,MATCH(T14&amp;"|"&amp;R14,LAYOUT!$E$2:$E$80,0)),"CEK JENIS ZONA",IF($D14="","Zona STOCK",IF($E14="","CEK SKU DESCRIPTION kosong","OK")))))))</f>
        <v/>
      </c>
      <c r="V14" s="11" t="n"/>
      <c r="W14" s="11" t="n"/>
      <c r="X14" s="11" t="n"/>
      <c r="Y14" s="12">
        <f>IF(V14="","",IFERROR(INDEX(DAFTAR_FIXTURE!$B$2:$B$51,MATCH(V14,DAFTAR_FIXTURE!$A$2:$A$51,0)),""))</f>
        <v/>
      </c>
      <c r="Z14" s="12">
        <f>IF(V14="","",IF(Y14="","CEK ID FIXTURE tidak ada di DAFTAR_FIXTURE",IF(W14="","CEK ZONA NO kosong",IF(ISNA(MATCH(Y14&amp;"|"&amp;W14,LAYOUT!$E$2:$E$80,0)),"CEK ZONA NO di luar layout",IF(X14&lt;&gt;INDEX(LAYOUT!$D$2:$D$80,MATCH(Y14&amp;"|"&amp;W14,LAYOUT!$E$2:$E$80,0)),"CEK JENIS ZONA",IF($D14="","Zona STOCK",IF($E14="","CEK SKU DESCRIPTION kosong","OK")))))))</f>
        <v/>
      </c>
    </row>
    <row r="15">
      <c r="A15" s="10" t="inlineStr">
        <is>
          <t>Homeware</t>
        </is>
      </c>
      <c r="B15" s="10" t="inlineStr">
        <is>
          <t>Cookware</t>
        </is>
      </c>
      <c r="C15" s="10" t="inlineStr">
        <is>
          <t>Casserole</t>
        </is>
      </c>
      <c r="D15" s="10" t="inlineStr">
        <is>
          <t>10606307</t>
        </is>
      </c>
      <c r="E15" s="10" t="inlineStr">
        <is>
          <t>CASSEROLE RECT MARBLE W/RACK WHT 38CM</t>
        </is>
      </c>
      <c r="F15" s="10" t="n"/>
      <c r="G15" s="10" t="inlineStr">
        <is>
          <t>MASAK</t>
        </is>
      </c>
      <c r="H15" s="10" t="inlineStr">
        <is>
          <t>B1. CASSEROLE</t>
        </is>
      </c>
      <c r="I15" s="10" t="inlineStr">
        <is>
          <t>MARBLE W/RACK</t>
        </is>
      </c>
      <c r="J15" s="10" t="n"/>
      <c r="K15" s="10" t="n"/>
      <c r="L15" s="11" t="inlineStr">
        <is>
          <t>WLL-02</t>
        </is>
      </c>
      <c r="M15" s="11" t="n">
        <v>3</v>
      </c>
      <c r="N15" s="11" t="inlineStr">
        <is>
          <t>Rak</t>
        </is>
      </c>
      <c r="O15" s="12">
        <f>IF(L15="","",IFERROR(INDEX(DAFTAR_FIXTURE!$B$2:$B$51,MATCH(L15,DAFTAR_FIXTURE!$A$2:$A$51,0)),""))</f>
        <v/>
      </c>
      <c r="P15" s="12">
        <f>IF(AND($D15="",L15=""),"",IF(L15="",IF(AND(Q15="",V15=""),"Belum ditempatkan",""),IF(O15="","CEK ID FIXTURE tidak ada di DAFTAR_FIXTURE",IF(M15="","CEK ZONA NO kosong",IF(ISNA(MATCH(O15&amp;"|"&amp;M15,LAYOUT!$E$2:$E$80,0)),"CEK ZONA NO di luar layout",IF(N15&lt;&gt;INDEX(LAYOUT!$D$2:$D$80,MATCH(O15&amp;"|"&amp;M15,LAYOUT!$E$2:$E$80,0)),"CEK JENIS ZONA",IF($D15="","Zona STOCK",IF($E15="","CEK SKU DESCRIPTION kosong","OK"))))))))</f>
        <v/>
      </c>
      <c r="Q15" s="11" t="n"/>
      <c r="R15" s="11" t="n"/>
      <c r="S15" s="11" t="n"/>
      <c r="T15" s="12">
        <f>IF(Q15="","",IFERROR(INDEX(DAFTAR_FIXTURE!$B$2:$B$51,MATCH(Q15,DAFTAR_FIXTURE!$A$2:$A$51,0)),""))</f>
        <v/>
      </c>
      <c r="U15" s="12">
        <f>IF(Q15="","",IF(T15="","CEK ID FIXTURE tidak ada di DAFTAR_FIXTURE",IF(R15="","CEK ZONA NO kosong",IF(ISNA(MATCH(T15&amp;"|"&amp;R15,LAYOUT!$E$2:$E$80,0)),"CEK ZONA NO di luar layout",IF(S15&lt;&gt;INDEX(LAYOUT!$D$2:$D$80,MATCH(T15&amp;"|"&amp;R15,LAYOUT!$E$2:$E$80,0)),"CEK JENIS ZONA",IF($D15="","Zona STOCK",IF($E15="","CEK SKU DESCRIPTION kosong","OK")))))))</f>
        <v/>
      </c>
      <c r="V15" s="11" t="n"/>
      <c r="W15" s="11" t="n"/>
      <c r="X15" s="11" t="n"/>
      <c r="Y15" s="12">
        <f>IF(V15="","",IFERROR(INDEX(DAFTAR_FIXTURE!$B$2:$B$51,MATCH(V15,DAFTAR_FIXTURE!$A$2:$A$51,0)),""))</f>
        <v/>
      </c>
      <c r="Z15" s="12">
        <f>IF(V15="","",IF(Y15="","CEK ID FIXTURE tidak ada di DAFTAR_FIXTURE",IF(W15="","CEK ZONA NO kosong",IF(ISNA(MATCH(Y15&amp;"|"&amp;W15,LAYOUT!$E$2:$E$80,0)),"CEK ZONA NO di luar layout",IF(X15&lt;&gt;INDEX(LAYOUT!$D$2:$D$80,MATCH(Y15&amp;"|"&amp;W15,LAYOUT!$E$2:$E$80,0)),"CEK JENIS ZONA",IF($D15="","Zona STOCK",IF($E15="","CEK SKU DESCRIPTION kosong","OK")))))))</f>
        <v/>
      </c>
    </row>
    <row r="16">
      <c r="A16" s="10" t="inlineStr">
        <is>
          <t>Homeware</t>
        </is>
      </c>
      <c r="B16" s="10" t="inlineStr">
        <is>
          <t>Tableware</t>
        </is>
      </c>
      <c r="C16" s="10" t="inlineStr">
        <is>
          <t>Serving Set</t>
        </is>
      </c>
      <c r="D16" s="10" t="inlineStr">
        <is>
          <t>10681571</t>
        </is>
      </c>
      <c r="E16" s="10" t="inlineStr">
        <is>
          <t>SERVING GLASS SQR PLATER ZEVY GOLD</t>
        </is>
      </c>
      <c r="F16" s="10" t="n"/>
      <c r="G16" s="10" t="inlineStr">
        <is>
          <t>MAKAN</t>
        </is>
      </c>
      <c r="H16" s="10" t="inlineStr">
        <is>
          <t>A2. SERVINGWARE</t>
        </is>
      </c>
      <c r="I16" s="10" t="inlineStr">
        <is>
          <t>W/GOLD RACK GLASS</t>
        </is>
      </c>
      <c r="J16" s="10" t="n"/>
      <c r="K16" s="10" t="n"/>
      <c r="L16" s="11" t="inlineStr">
        <is>
          <t>WLL-02</t>
        </is>
      </c>
      <c r="M16" s="11" t="n">
        <v>4</v>
      </c>
      <c r="N16" s="11" t="inlineStr">
        <is>
          <t>Rak</t>
        </is>
      </c>
      <c r="O16" s="12">
        <f>IF(L16="","",IFERROR(INDEX(DAFTAR_FIXTURE!$B$2:$B$51,MATCH(L16,DAFTAR_FIXTURE!$A$2:$A$51,0)),""))</f>
        <v/>
      </c>
      <c r="P16" s="12">
        <f>IF(AND($D16="",L16=""),"",IF(L16="",IF(AND(Q16="",V16=""),"Belum ditempatkan",""),IF(O16="","CEK ID FIXTURE tidak ada di DAFTAR_FIXTURE",IF(M16="","CEK ZONA NO kosong",IF(ISNA(MATCH(O16&amp;"|"&amp;M16,LAYOUT!$E$2:$E$80,0)),"CEK ZONA NO di luar layout",IF(N16&lt;&gt;INDEX(LAYOUT!$D$2:$D$80,MATCH(O16&amp;"|"&amp;M16,LAYOUT!$E$2:$E$80,0)),"CEK JENIS ZONA",IF($D16="","Zona STOCK",IF($E16="","CEK SKU DESCRIPTION kosong","OK"))))))))</f>
        <v/>
      </c>
      <c r="Q16" s="11" t="inlineStr">
        <is>
          <t>GND-01</t>
        </is>
      </c>
      <c r="R16" s="11" t="n">
        <v>3</v>
      </c>
      <c r="S16" s="11" t="inlineStr">
        <is>
          <t>Rak</t>
        </is>
      </c>
      <c r="T16" s="12">
        <f>IF(Q16="","",IFERROR(INDEX(DAFTAR_FIXTURE!$B$2:$B$51,MATCH(Q16,DAFTAR_FIXTURE!$A$2:$A$51,0)),""))</f>
        <v/>
      </c>
      <c r="U16" s="12">
        <f>IF(Q16="","",IF(T16="","CEK ID FIXTURE tidak ada di DAFTAR_FIXTURE",IF(R16="","CEK ZONA NO kosong",IF(ISNA(MATCH(T16&amp;"|"&amp;R16,LAYOUT!$E$2:$E$80,0)),"CEK ZONA NO di luar layout",IF(S16&lt;&gt;INDEX(LAYOUT!$D$2:$D$80,MATCH(T16&amp;"|"&amp;R16,LAYOUT!$E$2:$E$80,0)),"CEK JENIS ZONA",IF($D16="","Zona STOCK",IF($E16="","CEK SKU DESCRIPTION kosong","OK")))))))</f>
        <v/>
      </c>
      <c r="V16" s="11" t="n"/>
      <c r="W16" s="11" t="n"/>
      <c r="X16" s="11" t="n"/>
      <c r="Y16" s="12">
        <f>IF(V16="","",IFERROR(INDEX(DAFTAR_FIXTURE!$B$2:$B$51,MATCH(V16,DAFTAR_FIXTURE!$A$2:$A$51,0)),""))</f>
        <v/>
      </c>
      <c r="Z16" s="12">
        <f>IF(V16="","",IF(Y16="","CEK ID FIXTURE tidak ada di DAFTAR_FIXTURE",IF(W16="","CEK ZONA NO kosong",IF(ISNA(MATCH(Y16&amp;"|"&amp;W16,LAYOUT!$E$2:$E$80,0)),"CEK ZONA NO di luar layout",IF(X16&lt;&gt;INDEX(LAYOUT!$D$2:$D$80,MATCH(Y16&amp;"|"&amp;W16,LAYOUT!$E$2:$E$80,0)),"CEK JENIS ZONA",IF($D16="","Zona STOCK",IF($E16="","CEK SKU DESCRIPTION kosong","OK")))))))</f>
        <v/>
      </c>
    </row>
    <row r="17">
      <c r="A17" s="10" t="inlineStr">
        <is>
          <t>Homeware</t>
        </is>
      </c>
      <c r="B17" s="10" t="inlineStr">
        <is>
          <t>Cookware</t>
        </is>
      </c>
      <c r="C17" s="10" t="inlineStr">
        <is>
          <t>Pots &amp; Pans</t>
        </is>
      </c>
      <c r="D17" s="10" t="inlineStr">
        <is>
          <t>10421603</t>
        </is>
      </c>
      <c r="E17" s="10" t="inlineStr">
        <is>
          <t>KINGSTON SAUCEPAN WITH LID 16CM GREEN</t>
        </is>
      </c>
      <c r="F17" s="10" t="n"/>
      <c r="G17" s="10" t="inlineStr">
        <is>
          <t>MASAK</t>
        </is>
      </c>
      <c r="H17" s="10" t="inlineStr">
        <is>
          <t>B2. COOKWARE</t>
        </is>
      </c>
      <c r="I17" s="10" t="inlineStr">
        <is>
          <t>KINGSTON</t>
        </is>
      </c>
      <c r="J17" s="10" t="n"/>
      <c r="K17" s="10" t="n"/>
      <c r="L17" s="11" t="inlineStr">
        <is>
          <t>WLL-03</t>
        </is>
      </c>
      <c r="M17" s="11" t="n">
        <v>1</v>
      </c>
      <c r="N17" s="11" t="inlineStr">
        <is>
          <t>Gantungan</t>
        </is>
      </c>
      <c r="O17" s="12">
        <f>IF(L17="","",IFERROR(INDEX(DAFTAR_FIXTURE!$B$2:$B$51,MATCH(L17,DAFTAR_FIXTURE!$A$2:$A$51,0)),""))</f>
        <v/>
      </c>
      <c r="P17" s="12">
        <f>IF(AND($D17="",L17=""),"",IF(L17="",IF(AND(Q17="",V17=""),"Belum ditempatkan",""),IF(O17="","CEK ID FIXTURE tidak ada di DAFTAR_FIXTURE",IF(M17="","CEK ZONA NO kosong",IF(ISNA(MATCH(O17&amp;"|"&amp;M17,LAYOUT!$E$2:$E$80,0)),"CEK ZONA NO di luar layout",IF(N17&lt;&gt;INDEX(LAYOUT!$D$2:$D$80,MATCH(O17&amp;"|"&amp;M17,LAYOUT!$E$2:$E$80,0)),"CEK JENIS ZONA",IF($D17="","Zona STOCK",IF($E17="","CEK SKU DESCRIPTION kosong","OK"))))))))</f>
        <v/>
      </c>
      <c r="Q17" s="11" t="inlineStr">
        <is>
          <t>WLL-03</t>
        </is>
      </c>
      <c r="R17" s="11" t="n">
        <v>2</v>
      </c>
      <c r="S17" s="11" t="inlineStr">
        <is>
          <t>Gantungan</t>
        </is>
      </c>
      <c r="T17" s="12">
        <f>IF(Q17="","",IFERROR(INDEX(DAFTAR_FIXTURE!$B$2:$B$51,MATCH(Q17,DAFTAR_FIXTURE!$A$2:$A$51,0)),""))</f>
        <v/>
      </c>
      <c r="U17" s="12">
        <f>IF(Q17="","",IF(T17="","CEK ID FIXTURE tidak ada di DAFTAR_FIXTURE",IF(R17="","CEK ZONA NO kosong",IF(ISNA(MATCH(T17&amp;"|"&amp;R17,LAYOUT!$E$2:$E$80,0)),"CEK ZONA NO di luar layout",IF(S17&lt;&gt;INDEX(LAYOUT!$D$2:$D$80,MATCH(T17&amp;"|"&amp;R17,LAYOUT!$E$2:$E$80,0)),"CEK JENIS ZONA",IF($D17="","Zona STOCK",IF($E17="","CEK SKU DESCRIPTION kosong","OK")))))))</f>
        <v/>
      </c>
      <c r="V17" s="11" t="inlineStr">
        <is>
          <t>GND-03</t>
        </is>
      </c>
      <c r="W17" s="11" t="n">
        <v>1</v>
      </c>
      <c r="X17" s="11" t="inlineStr">
        <is>
          <t>Rak</t>
        </is>
      </c>
      <c r="Y17" s="12">
        <f>IF(V17="","",IFERROR(INDEX(DAFTAR_FIXTURE!$B$2:$B$51,MATCH(V17,DAFTAR_FIXTURE!$A$2:$A$51,0)),""))</f>
        <v/>
      </c>
      <c r="Z17" s="12">
        <f>IF(V17="","",IF(Y17="","CEK ID FIXTURE tidak ada di DAFTAR_FIXTURE",IF(W17="","CEK ZONA NO kosong",IF(ISNA(MATCH(Y17&amp;"|"&amp;W17,LAYOUT!$E$2:$E$80,0)),"CEK ZONA NO di luar layout",IF(X17&lt;&gt;INDEX(LAYOUT!$D$2:$D$80,MATCH(Y17&amp;"|"&amp;W17,LAYOUT!$E$2:$E$80,0)),"CEK JENIS ZONA",IF($D17="","Zona STOCK",IF($E17="","CEK SKU DESCRIPTION kosong","OK")))))))</f>
        <v/>
      </c>
    </row>
    <row r="18">
      <c r="A18" s="10" t="inlineStr">
        <is>
          <t>Homeware</t>
        </is>
      </c>
      <c r="B18" s="10" t="inlineStr">
        <is>
          <t>Cookware</t>
        </is>
      </c>
      <c r="C18" s="10" t="inlineStr">
        <is>
          <t>Pots &amp; Pans</t>
        </is>
      </c>
      <c r="D18" s="10" t="inlineStr">
        <is>
          <t>10421608</t>
        </is>
      </c>
      <c r="E18" s="10" t="inlineStr">
        <is>
          <t>KINGSTON CASSEROLE WITH LID 20 CM GREEN</t>
        </is>
      </c>
      <c r="F18" s="10" t="n"/>
      <c r="G18" s="10" t="inlineStr">
        <is>
          <t>MASAK</t>
        </is>
      </c>
      <c r="H18" s="10" t="inlineStr">
        <is>
          <t>B2. COOKWARE</t>
        </is>
      </c>
      <c r="I18" s="10" t="inlineStr">
        <is>
          <t>KINGSTON</t>
        </is>
      </c>
      <c r="J18" s="10" t="n"/>
      <c r="K18" s="10" t="n"/>
      <c r="L18" s="11" t="inlineStr">
        <is>
          <t>WLL-03</t>
        </is>
      </c>
      <c r="M18" s="11" t="n">
        <v>1</v>
      </c>
      <c r="N18" s="11" t="inlineStr">
        <is>
          <t>Gantungan</t>
        </is>
      </c>
      <c r="O18" s="12">
        <f>IF(L18="","",IFERROR(INDEX(DAFTAR_FIXTURE!$B$2:$B$51,MATCH(L18,DAFTAR_FIXTURE!$A$2:$A$51,0)),""))</f>
        <v/>
      </c>
      <c r="P18" s="12">
        <f>IF(AND($D18="",L18=""),"",IF(L18="",IF(AND(Q18="",V18=""),"Belum ditempatkan",""),IF(O18="","CEK ID FIXTURE tidak ada di DAFTAR_FIXTURE",IF(M18="","CEK ZONA NO kosong",IF(ISNA(MATCH(O18&amp;"|"&amp;M18,LAYOUT!$E$2:$E$80,0)),"CEK ZONA NO di luar layout",IF(N18&lt;&gt;INDEX(LAYOUT!$D$2:$D$80,MATCH(O18&amp;"|"&amp;M18,LAYOUT!$E$2:$E$80,0)),"CEK JENIS ZONA",IF($D18="","Zona STOCK",IF($E18="","CEK SKU DESCRIPTION kosong","OK"))))))))</f>
        <v/>
      </c>
      <c r="Q18" s="11" t="inlineStr">
        <is>
          <t>WLL-03</t>
        </is>
      </c>
      <c r="R18" s="11" t="n">
        <v>2</v>
      </c>
      <c r="S18" s="11" t="inlineStr">
        <is>
          <t>Gantungan</t>
        </is>
      </c>
      <c r="T18" s="12">
        <f>IF(Q18="","",IFERROR(INDEX(DAFTAR_FIXTURE!$B$2:$B$51,MATCH(Q18,DAFTAR_FIXTURE!$A$2:$A$51,0)),""))</f>
        <v/>
      </c>
      <c r="U18" s="12">
        <f>IF(Q18="","",IF(T18="","CEK ID FIXTURE tidak ada di DAFTAR_FIXTURE",IF(R18="","CEK ZONA NO kosong",IF(ISNA(MATCH(T18&amp;"|"&amp;R18,LAYOUT!$E$2:$E$80,0)),"CEK ZONA NO di luar layout",IF(S18&lt;&gt;INDEX(LAYOUT!$D$2:$D$80,MATCH(T18&amp;"|"&amp;R18,LAYOUT!$E$2:$E$80,0)),"CEK JENIS ZONA",IF($D18="","Zona STOCK",IF($E18="","CEK SKU DESCRIPTION kosong","OK")))))))</f>
        <v/>
      </c>
      <c r="V18" s="11" t="inlineStr">
        <is>
          <t>GND-03</t>
        </is>
      </c>
      <c r="W18" s="11" t="n">
        <v>1</v>
      </c>
      <c r="X18" s="11" t="inlineStr">
        <is>
          <t>Rak</t>
        </is>
      </c>
      <c r="Y18" s="12">
        <f>IF(V18="","",IFERROR(INDEX(DAFTAR_FIXTURE!$B$2:$B$51,MATCH(V18,DAFTAR_FIXTURE!$A$2:$A$51,0)),""))</f>
        <v/>
      </c>
      <c r="Z18" s="12">
        <f>IF(V18="","",IF(Y18="","CEK ID FIXTURE tidak ada di DAFTAR_FIXTURE",IF(W18="","CEK ZONA NO kosong",IF(ISNA(MATCH(Y18&amp;"|"&amp;W18,LAYOUT!$E$2:$E$80,0)),"CEK ZONA NO di luar layout",IF(X18&lt;&gt;INDEX(LAYOUT!$D$2:$D$80,MATCH(Y18&amp;"|"&amp;W18,LAYOUT!$E$2:$E$80,0)),"CEK JENIS ZONA",IF($D18="","Zona STOCK",IF($E18="","CEK SKU DESCRIPTION kosong","OK")))))))</f>
        <v/>
      </c>
    </row>
    <row r="19">
      <c r="A19" s="10" t="inlineStr">
        <is>
          <t>Homeware</t>
        </is>
      </c>
      <c r="B19" s="10" t="inlineStr">
        <is>
          <t>Cookware</t>
        </is>
      </c>
      <c r="C19" s="10" t="inlineStr">
        <is>
          <t>Pots &amp; Pans</t>
        </is>
      </c>
      <c r="D19" s="10" t="inlineStr">
        <is>
          <t>10421610</t>
        </is>
      </c>
      <c r="E19" s="10" t="inlineStr">
        <is>
          <t>KINGSTON GRILL PAN 24CM GREEN</t>
        </is>
      </c>
      <c r="F19" s="10" t="n"/>
      <c r="G19" s="10" t="inlineStr">
        <is>
          <t>MASAK</t>
        </is>
      </c>
      <c r="H19" s="10" t="inlineStr">
        <is>
          <t>B2. COOKWARE</t>
        </is>
      </c>
      <c r="I19" s="10" t="inlineStr">
        <is>
          <t>KINGSTON</t>
        </is>
      </c>
      <c r="J19" s="10" t="n"/>
      <c r="K19" s="10" t="n"/>
      <c r="L19" s="11" t="inlineStr">
        <is>
          <t>WLL-03</t>
        </is>
      </c>
      <c r="M19" s="11" t="n">
        <v>1</v>
      </c>
      <c r="N19" s="11" t="inlineStr">
        <is>
          <t>Gantungan</t>
        </is>
      </c>
      <c r="O19" s="12">
        <f>IF(L19="","",IFERROR(INDEX(DAFTAR_FIXTURE!$B$2:$B$51,MATCH(L19,DAFTAR_FIXTURE!$A$2:$A$51,0)),""))</f>
        <v/>
      </c>
      <c r="P19" s="12">
        <f>IF(AND($D19="",L19=""),"",IF(L19="",IF(AND(Q19="",V19=""),"Belum ditempatkan",""),IF(O19="","CEK ID FIXTURE tidak ada di DAFTAR_FIXTURE",IF(M19="","CEK ZONA NO kosong",IF(ISNA(MATCH(O19&amp;"|"&amp;M19,LAYOUT!$E$2:$E$80,0)),"CEK ZONA NO di luar layout",IF(N19&lt;&gt;INDEX(LAYOUT!$D$2:$D$80,MATCH(O19&amp;"|"&amp;M19,LAYOUT!$E$2:$E$80,0)),"CEK JENIS ZONA",IF($D19="","Zona STOCK",IF($E19="","CEK SKU DESCRIPTION kosong","OK"))))))))</f>
        <v/>
      </c>
      <c r="Q19" s="11" t="inlineStr">
        <is>
          <t>WLL-03</t>
        </is>
      </c>
      <c r="R19" s="11" t="n">
        <v>2</v>
      </c>
      <c r="S19" s="11" t="inlineStr">
        <is>
          <t>Gantungan</t>
        </is>
      </c>
      <c r="T19" s="12">
        <f>IF(Q19="","",IFERROR(INDEX(DAFTAR_FIXTURE!$B$2:$B$51,MATCH(Q19,DAFTAR_FIXTURE!$A$2:$A$51,0)),""))</f>
        <v/>
      </c>
      <c r="U19" s="12">
        <f>IF(Q19="","",IF(T19="","CEK ID FIXTURE tidak ada di DAFTAR_FIXTURE",IF(R19="","CEK ZONA NO kosong",IF(ISNA(MATCH(T19&amp;"|"&amp;R19,LAYOUT!$E$2:$E$80,0)),"CEK ZONA NO di luar layout",IF(S19&lt;&gt;INDEX(LAYOUT!$D$2:$D$80,MATCH(T19&amp;"|"&amp;R19,LAYOUT!$E$2:$E$80,0)),"CEK JENIS ZONA",IF($D19="","Zona STOCK",IF($E19="","CEK SKU DESCRIPTION kosong","OK")))))))</f>
        <v/>
      </c>
      <c r="V19" s="11" t="inlineStr">
        <is>
          <t>GND-03</t>
        </is>
      </c>
      <c r="W19" s="11" t="n">
        <v>1</v>
      </c>
      <c r="X19" s="11" t="inlineStr">
        <is>
          <t>Rak</t>
        </is>
      </c>
      <c r="Y19" s="12">
        <f>IF(V19="","",IFERROR(INDEX(DAFTAR_FIXTURE!$B$2:$B$51,MATCH(V19,DAFTAR_FIXTURE!$A$2:$A$51,0)),""))</f>
        <v/>
      </c>
      <c r="Z19" s="12">
        <f>IF(V19="","",IF(Y19="","CEK ID FIXTURE tidak ada di DAFTAR_FIXTURE",IF(W19="","CEK ZONA NO kosong",IF(ISNA(MATCH(Y19&amp;"|"&amp;W19,LAYOUT!$E$2:$E$80,0)),"CEK ZONA NO di luar layout",IF(X19&lt;&gt;INDEX(LAYOUT!$D$2:$D$80,MATCH(Y19&amp;"|"&amp;W19,LAYOUT!$E$2:$E$80,0)),"CEK JENIS ZONA",IF($D19="","Zona STOCK",IF($E19="","CEK SKU DESCRIPTION kosong","OK")))))))</f>
        <v/>
      </c>
    </row>
    <row r="20">
      <c r="A20" s="10" t="inlineStr">
        <is>
          <t>Homeware</t>
        </is>
      </c>
      <c r="B20" s="10" t="inlineStr">
        <is>
          <t>Cookware</t>
        </is>
      </c>
      <c r="C20" s="10" t="inlineStr">
        <is>
          <t>Pots &amp; Pans</t>
        </is>
      </c>
      <c r="D20" s="10" t="inlineStr">
        <is>
          <t>10421614</t>
        </is>
      </c>
      <c r="E20" s="10" t="inlineStr">
        <is>
          <t>KIRA WOK 2 HANDLE W LID AND UTENSIL BRN</t>
        </is>
      </c>
      <c r="F20" s="10" t="n"/>
      <c r="G20" s="10" t="inlineStr">
        <is>
          <t>MASAK</t>
        </is>
      </c>
      <c r="H20" s="10" t="inlineStr">
        <is>
          <t>B2. COOKWARE</t>
        </is>
      </c>
      <c r="I20" s="10" t="inlineStr">
        <is>
          <t>KIRA</t>
        </is>
      </c>
      <c r="J20" s="10" t="n"/>
      <c r="K20" s="10" t="n"/>
      <c r="L20" s="11" t="inlineStr">
        <is>
          <t>WLL-03</t>
        </is>
      </c>
      <c r="M20" s="11" t="n">
        <v>1</v>
      </c>
      <c r="N20" s="11" t="inlineStr">
        <is>
          <t>Gantungan</t>
        </is>
      </c>
      <c r="O20" s="12">
        <f>IF(L20="","",IFERROR(INDEX(DAFTAR_FIXTURE!$B$2:$B$51,MATCH(L20,DAFTAR_FIXTURE!$A$2:$A$51,0)),""))</f>
        <v/>
      </c>
      <c r="P20" s="12">
        <f>IF(AND($D20="",L20=""),"",IF(L20="",IF(AND(Q20="",V20=""),"Belum ditempatkan",""),IF(O20="","CEK ID FIXTURE tidak ada di DAFTAR_FIXTURE",IF(M20="","CEK ZONA NO kosong",IF(ISNA(MATCH(O20&amp;"|"&amp;M20,LAYOUT!$E$2:$E$80,0)),"CEK ZONA NO di luar layout",IF(N20&lt;&gt;INDEX(LAYOUT!$D$2:$D$80,MATCH(O20&amp;"|"&amp;M20,LAYOUT!$E$2:$E$80,0)),"CEK JENIS ZONA",IF($D20="","Zona STOCK",IF($E20="","CEK SKU DESCRIPTION kosong","OK"))))))))</f>
        <v/>
      </c>
      <c r="Q20" s="11" t="inlineStr">
        <is>
          <t>WLL-03</t>
        </is>
      </c>
      <c r="R20" s="11" t="n">
        <v>2</v>
      </c>
      <c r="S20" s="11" t="inlineStr">
        <is>
          <t>Gantungan</t>
        </is>
      </c>
      <c r="T20" s="12">
        <f>IF(Q20="","",IFERROR(INDEX(DAFTAR_FIXTURE!$B$2:$B$51,MATCH(Q20,DAFTAR_FIXTURE!$A$2:$A$51,0)),""))</f>
        <v/>
      </c>
      <c r="U20" s="12">
        <f>IF(Q20="","",IF(T20="","CEK ID FIXTURE tidak ada di DAFTAR_FIXTURE",IF(R20="","CEK ZONA NO kosong",IF(ISNA(MATCH(T20&amp;"|"&amp;R20,LAYOUT!$E$2:$E$80,0)),"CEK ZONA NO di luar layout",IF(S20&lt;&gt;INDEX(LAYOUT!$D$2:$D$80,MATCH(T20&amp;"|"&amp;R20,LAYOUT!$E$2:$E$80,0)),"CEK JENIS ZONA",IF($D20="","Zona STOCK",IF($E20="","CEK SKU DESCRIPTION kosong","OK")))))))</f>
        <v/>
      </c>
      <c r="V20" s="11" t="inlineStr">
        <is>
          <t>GND-03</t>
        </is>
      </c>
      <c r="W20" s="11" t="n">
        <v>1</v>
      </c>
      <c r="X20" s="11" t="inlineStr">
        <is>
          <t>Rak</t>
        </is>
      </c>
      <c r="Y20" s="12">
        <f>IF(V20="","",IFERROR(INDEX(DAFTAR_FIXTURE!$B$2:$B$51,MATCH(V20,DAFTAR_FIXTURE!$A$2:$A$51,0)),""))</f>
        <v/>
      </c>
      <c r="Z20" s="12">
        <f>IF(V20="","",IF(Y20="","CEK ID FIXTURE tidak ada di DAFTAR_FIXTURE",IF(W20="","CEK ZONA NO kosong",IF(ISNA(MATCH(Y20&amp;"|"&amp;W20,LAYOUT!$E$2:$E$80,0)),"CEK ZONA NO di luar layout",IF(X20&lt;&gt;INDEX(LAYOUT!$D$2:$D$80,MATCH(Y20&amp;"|"&amp;W20,LAYOUT!$E$2:$E$80,0)),"CEK JENIS ZONA",IF($D20="","Zona STOCK",IF($E20="","CEK SKU DESCRIPTION kosong","OK")))))))</f>
        <v/>
      </c>
    </row>
    <row r="21">
      <c r="A21" s="10" t="inlineStr">
        <is>
          <t>Homeware</t>
        </is>
      </c>
      <c r="B21" s="10" t="inlineStr">
        <is>
          <t>Tableware</t>
        </is>
      </c>
      <c r="C21" s="10" t="inlineStr">
        <is>
          <t>Serving Set</t>
        </is>
      </c>
      <c r="D21" s="10" t="inlineStr">
        <is>
          <t>10681571</t>
        </is>
      </c>
      <c r="E21" s="10" t="inlineStr">
        <is>
          <t>SERVING GLASS SQR PLATER ZEVY GOLD</t>
        </is>
      </c>
      <c r="F21" s="10" t="n"/>
      <c r="G21" s="10" t="inlineStr">
        <is>
          <t>MAKAN</t>
        </is>
      </c>
      <c r="H21" s="10" t="inlineStr">
        <is>
          <t>A2. SERVINGWARE</t>
        </is>
      </c>
      <c r="I21" s="10" t="inlineStr">
        <is>
          <t>W/GOLD RACK GLASS</t>
        </is>
      </c>
      <c r="J21" s="10" t="n"/>
      <c r="K21" s="10" t="n"/>
      <c r="L21" s="11" t="inlineStr">
        <is>
          <t>WLL-03</t>
        </is>
      </c>
      <c r="M21" s="11" t="n">
        <v>4</v>
      </c>
      <c r="N21" s="11" t="inlineStr">
        <is>
          <t>Rak</t>
        </is>
      </c>
      <c r="O21" s="12">
        <f>IF(L21="","",IFERROR(INDEX(DAFTAR_FIXTURE!$B$2:$B$51,MATCH(L21,DAFTAR_FIXTURE!$A$2:$A$51,0)),""))</f>
        <v/>
      </c>
      <c r="P21" s="12">
        <f>IF(AND($D21="",L21=""),"",IF(L21="",IF(AND(Q21="",V21=""),"Belum ditempatkan",""),IF(O21="","CEK ID FIXTURE tidak ada di DAFTAR_FIXTURE",IF(M21="","CEK ZONA NO kosong",IF(ISNA(MATCH(O21&amp;"|"&amp;M21,LAYOUT!$E$2:$E$80,0)),"CEK ZONA NO di luar layout",IF(N21&lt;&gt;INDEX(LAYOUT!$D$2:$D$80,MATCH(O21&amp;"|"&amp;M21,LAYOUT!$E$2:$E$80,0)),"CEK JENIS ZONA",IF($D21="","Zona STOCK",IF($E21="","CEK SKU DESCRIPTION kosong","OK"))))))))</f>
        <v/>
      </c>
      <c r="Q21" s="11" t="n"/>
      <c r="R21" s="11" t="n"/>
      <c r="S21" s="11" t="n"/>
      <c r="T21" s="12">
        <f>IF(Q21="","",IFERROR(INDEX(DAFTAR_FIXTURE!$B$2:$B$51,MATCH(Q21,DAFTAR_FIXTURE!$A$2:$A$51,0)),""))</f>
        <v/>
      </c>
      <c r="U21" s="12">
        <f>IF(Q21="","",IF(T21="","CEK ID FIXTURE tidak ada di DAFTAR_FIXTURE",IF(R21="","CEK ZONA NO kosong",IF(ISNA(MATCH(T21&amp;"|"&amp;R21,LAYOUT!$E$2:$E$80,0)),"CEK ZONA NO di luar layout",IF(S21&lt;&gt;INDEX(LAYOUT!$D$2:$D$80,MATCH(T21&amp;"|"&amp;R21,LAYOUT!$E$2:$E$80,0)),"CEK JENIS ZONA",IF($D21="","Zona STOCK",IF($E21="","CEK SKU DESCRIPTION kosong","OK")))))))</f>
        <v/>
      </c>
      <c r="V21" s="11" t="n"/>
      <c r="W21" s="11" t="n"/>
      <c r="X21" s="11" t="n"/>
      <c r="Y21" s="12">
        <f>IF(V21="","",IFERROR(INDEX(DAFTAR_FIXTURE!$B$2:$B$51,MATCH(V21,DAFTAR_FIXTURE!$A$2:$A$51,0)),""))</f>
        <v/>
      </c>
      <c r="Z21" s="12">
        <f>IF(V21="","",IF(Y21="","CEK ID FIXTURE tidak ada di DAFTAR_FIXTURE",IF(W21="","CEK ZONA NO kosong",IF(ISNA(MATCH(Y21&amp;"|"&amp;W21,LAYOUT!$E$2:$E$80,0)),"CEK ZONA NO di luar layout",IF(X21&lt;&gt;INDEX(LAYOUT!$D$2:$D$80,MATCH(Y21&amp;"|"&amp;W21,LAYOUT!$E$2:$E$80,0)),"CEK JENIS ZONA",IF($D21="","Zona STOCK",IF($E21="","CEK SKU DESCRIPTION kosong","OK")))))))</f>
        <v/>
      </c>
    </row>
    <row r="22">
      <c r="A22" s="10" t="inlineStr">
        <is>
          <t>Homeware</t>
        </is>
      </c>
      <c r="B22" s="10" t="inlineStr">
        <is>
          <t>Tableware</t>
        </is>
      </c>
      <c r="C22" s="10" t="inlineStr">
        <is>
          <t>Serving Set</t>
        </is>
      </c>
      <c r="D22" s="10" t="inlineStr">
        <is>
          <t>10470029</t>
        </is>
      </c>
      <c r="E22" s="10" t="inlineStr">
        <is>
          <t>SERVING SET W/RACK OCTAGON MARBLE (4)</t>
        </is>
      </c>
      <c r="F22" s="10" t="n"/>
      <c r="G22" s="10" t="inlineStr">
        <is>
          <t>MAKAN</t>
        </is>
      </c>
      <c r="H22" s="10" t="inlineStr">
        <is>
          <t>A2. SERVINGWARE</t>
        </is>
      </c>
      <c r="I22" s="10" t="inlineStr">
        <is>
          <t>SERVING SET MARBLE</t>
        </is>
      </c>
      <c r="J22" s="10" t="n"/>
      <c r="K22" s="10" t="n"/>
      <c r="L22" s="11" t="inlineStr">
        <is>
          <t>WLL-03</t>
        </is>
      </c>
      <c r="M22" s="11" t="n">
        <v>5</v>
      </c>
      <c r="N22" s="11" t="inlineStr">
        <is>
          <t>Rak</t>
        </is>
      </c>
      <c r="O22" s="12">
        <f>IF(L22="","",IFERROR(INDEX(DAFTAR_FIXTURE!$B$2:$B$51,MATCH(L22,DAFTAR_FIXTURE!$A$2:$A$51,0)),""))</f>
        <v/>
      </c>
      <c r="P22" s="12">
        <f>IF(AND($D22="",L22=""),"",IF(L22="",IF(AND(Q22="",V22=""),"Belum ditempatkan",""),IF(O22="","CEK ID FIXTURE tidak ada di DAFTAR_FIXTURE",IF(M22="","CEK ZONA NO kosong",IF(ISNA(MATCH(O22&amp;"|"&amp;M22,LAYOUT!$E$2:$E$80,0)),"CEK ZONA NO di luar layout",IF(N22&lt;&gt;INDEX(LAYOUT!$D$2:$D$80,MATCH(O22&amp;"|"&amp;M22,LAYOUT!$E$2:$E$80,0)),"CEK JENIS ZONA",IF($D22="","Zona STOCK",IF($E22="","CEK SKU DESCRIPTION kosong","OK"))))))))</f>
        <v/>
      </c>
      <c r="Q22" s="11" t="n"/>
      <c r="R22" s="11" t="n"/>
      <c r="S22" s="11" t="n"/>
      <c r="T22" s="12">
        <f>IF(Q22="","",IFERROR(INDEX(DAFTAR_FIXTURE!$B$2:$B$51,MATCH(Q22,DAFTAR_FIXTURE!$A$2:$A$51,0)),""))</f>
        <v/>
      </c>
      <c r="U22" s="12">
        <f>IF(Q22="","",IF(T22="","CEK ID FIXTURE tidak ada di DAFTAR_FIXTURE",IF(R22="","CEK ZONA NO kosong",IF(ISNA(MATCH(T22&amp;"|"&amp;R22,LAYOUT!$E$2:$E$80,0)),"CEK ZONA NO di luar layout",IF(S22&lt;&gt;INDEX(LAYOUT!$D$2:$D$80,MATCH(T22&amp;"|"&amp;R22,LAYOUT!$E$2:$E$80,0)),"CEK JENIS ZONA",IF($D22="","Zona STOCK",IF($E22="","CEK SKU DESCRIPTION kosong","OK")))))))</f>
        <v/>
      </c>
      <c r="V22" s="11" t="n"/>
      <c r="W22" s="11" t="n"/>
      <c r="X22" s="11" t="n"/>
      <c r="Y22" s="12">
        <f>IF(V22="","",IFERROR(INDEX(DAFTAR_FIXTURE!$B$2:$B$51,MATCH(V22,DAFTAR_FIXTURE!$A$2:$A$51,0)),""))</f>
        <v/>
      </c>
      <c r="Z22" s="12">
        <f>IF(V22="","",IF(Y22="","CEK ID FIXTURE tidak ada di DAFTAR_FIXTURE",IF(W22="","CEK ZONA NO kosong",IF(ISNA(MATCH(Y22&amp;"|"&amp;W22,LAYOUT!$E$2:$E$80,0)),"CEK ZONA NO di luar layout",IF(X22&lt;&gt;INDEX(LAYOUT!$D$2:$D$80,MATCH(Y22&amp;"|"&amp;W22,LAYOUT!$E$2:$E$80,0)),"CEK JENIS ZONA",IF($D22="","Zona STOCK",IF($E22="","CEK SKU DESCRIPTION kosong","OK")))))))</f>
        <v/>
      </c>
    </row>
    <row r="23">
      <c r="A23" s="10" t="inlineStr">
        <is>
          <t>Homeware</t>
        </is>
      </c>
      <c r="B23" s="10" t="inlineStr">
        <is>
          <t>Kitchenware</t>
        </is>
      </c>
      <c r="C23" s="10" t="inlineStr">
        <is>
          <t>Kitchen Tools</t>
        </is>
      </c>
      <c r="D23" s="10" t="inlineStr">
        <is>
          <t>10198149</t>
        </is>
      </c>
      <c r="E23" s="10" t="inlineStr">
        <is>
          <t>TANTA STRAINER DIA 10CM</t>
        </is>
      </c>
      <c r="F23" s="10" t="n"/>
      <c r="G23" s="10" t="inlineStr">
        <is>
          <t>ALAT MASAK</t>
        </is>
      </c>
      <c r="H23" s="10" t="inlineStr">
        <is>
          <t>C1. KITCHEN TOOLS</t>
        </is>
      </c>
      <c r="I23" s="10" t="inlineStr">
        <is>
          <t>TANTA S/S</t>
        </is>
      </c>
      <c r="J23" s="10" t="n"/>
      <c r="K23" s="10" t="n"/>
      <c r="L23" s="11" t="inlineStr">
        <is>
          <t>GND-02</t>
        </is>
      </c>
      <c r="M23" s="11" t="n">
        <v>1</v>
      </c>
      <c r="N23" s="11" t="inlineStr">
        <is>
          <t>Gantungan</t>
        </is>
      </c>
      <c r="O23" s="12">
        <f>IF(L23="","",IFERROR(INDEX(DAFTAR_FIXTURE!$B$2:$B$51,MATCH(L23,DAFTAR_FIXTURE!$A$2:$A$51,0)),""))</f>
        <v/>
      </c>
      <c r="P23" s="12">
        <f>IF(AND($D23="",L23=""),"",IF(L23="",IF(AND(Q23="",V23=""),"Belum ditempatkan",""),IF(O23="","CEK ID FIXTURE tidak ada di DAFTAR_FIXTURE",IF(M23="","CEK ZONA NO kosong",IF(ISNA(MATCH(O23&amp;"|"&amp;M23,LAYOUT!$E$2:$E$80,0)),"CEK ZONA NO di luar layout",IF(N23&lt;&gt;INDEX(LAYOUT!$D$2:$D$80,MATCH(O23&amp;"|"&amp;M23,LAYOUT!$E$2:$E$80,0)),"CEK JENIS ZONA",IF($D23="","Zona STOCK",IF($E23="","CEK SKU DESCRIPTION kosong","OK"))))))))</f>
        <v/>
      </c>
      <c r="Q23" s="11" t="inlineStr">
        <is>
          <t>GND-02</t>
        </is>
      </c>
      <c r="R23" s="11" t="n">
        <v>2</v>
      </c>
      <c r="S23" s="11" t="inlineStr">
        <is>
          <t>Gantungan</t>
        </is>
      </c>
      <c r="T23" s="12">
        <f>IF(Q23="","",IFERROR(INDEX(DAFTAR_FIXTURE!$B$2:$B$51,MATCH(Q23,DAFTAR_FIXTURE!$A$2:$A$51,0)),""))</f>
        <v/>
      </c>
      <c r="U23" s="12">
        <f>IF(Q23="","",IF(T23="","CEK ID FIXTURE tidak ada di DAFTAR_FIXTURE",IF(R23="","CEK ZONA NO kosong",IF(ISNA(MATCH(T23&amp;"|"&amp;R23,LAYOUT!$E$2:$E$80,0)),"CEK ZONA NO di luar layout",IF(S23&lt;&gt;INDEX(LAYOUT!$D$2:$D$80,MATCH(T23&amp;"|"&amp;R23,LAYOUT!$E$2:$E$80,0)),"CEK JENIS ZONA",IF($D23="","Zona STOCK",IF($E23="","CEK SKU DESCRIPTION kosong","OK")))))))</f>
        <v/>
      </c>
      <c r="V23" s="11" t="inlineStr">
        <is>
          <t>GND-02</t>
        </is>
      </c>
      <c r="W23" s="11" t="n">
        <v>3</v>
      </c>
      <c r="X23" s="11" t="inlineStr">
        <is>
          <t>Gantungan</t>
        </is>
      </c>
      <c r="Y23" s="12">
        <f>IF(V23="","",IFERROR(INDEX(DAFTAR_FIXTURE!$B$2:$B$51,MATCH(V23,DAFTAR_FIXTURE!$A$2:$A$51,0)),""))</f>
        <v/>
      </c>
      <c r="Z23" s="12">
        <f>IF(V23="","",IF(Y23="","CEK ID FIXTURE tidak ada di DAFTAR_FIXTURE",IF(W23="","CEK ZONA NO kosong",IF(ISNA(MATCH(Y23&amp;"|"&amp;W23,LAYOUT!$E$2:$E$80,0)),"CEK ZONA NO di luar layout",IF(X23&lt;&gt;INDEX(LAYOUT!$D$2:$D$80,MATCH(Y23&amp;"|"&amp;W23,LAYOUT!$E$2:$E$80,0)),"CEK JENIS ZONA",IF($D23="","Zona STOCK",IF($E23="","CEK SKU DESCRIPTION kosong","OK")))))))</f>
        <v/>
      </c>
    </row>
    <row r="24">
      <c r="A24" s="10" t="inlineStr">
        <is>
          <t>Homeware</t>
        </is>
      </c>
      <c r="B24" s="10" t="inlineStr">
        <is>
          <t>Kitchenware</t>
        </is>
      </c>
      <c r="C24" s="10" t="inlineStr">
        <is>
          <t>Kitchen Tools</t>
        </is>
      </c>
      <c r="D24" s="10" t="inlineStr">
        <is>
          <t>10198150</t>
        </is>
      </c>
      <c r="E24" s="10" t="inlineStr">
        <is>
          <t>TANTA NYLON TONGS 9 INCH</t>
        </is>
      </c>
      <c r="F24" s="10" t="n"/>
      <c r="G24" s="10" t="inlineStr">
        <is>
          <t>ALAT MASAK</t>
        </is>
      </c>
      <c r="H24" s="10" t="inlineStr">
        <is>
          <t>C1. KITCHEN TOOLS</t>
        </is>
      </c>
      <c r="I24" s="10" t="inlineStr">
        <is>
          <t>TANTA NYLON</t>
        </is>
      </c>
      <c r="J24" s="10" t="n"/>
      <c r="K24" s="10" t="n"/>
      <c r="L24" s="11" t="inlineStr">
        <is>
          <t>GND-02</t>
        </is>
      </c>
      <c r="M24" s="11" t="n">
        <v>1</v>
      </c>
      <c r="N24" s="11" t="inlineStr">
        <is>
          <t>Gantungan</t>
        </is>
      </c>
      <c r="O24" s="12">
        <f>IF(L24="","",IFERROR(INDEX(DAFTAR_FIXTURE!$B$2:$B$51,MATCH(L24,DAFTAR_FIXTURE!$A$2:$A$51,0)),""))</f>
        <v/>
      </c>
      <c r="P24" s="12">
        <f>IF(AND($D24="",L24=""),"",IF(L24="",IF(AND(Q24="",V24=""),"Belum ditempatkan",""),IF(O24="","CEK ID FIXTURE tidak ada di DAFTAR_FIXTURE",IF(M24="","CEK ZONA NO kosong",IF(ISNA(MATCH(O24&amp;"|"&amp;M24,LAYOUT!$E$2:$E$80,0)),"CEK ZONA NO di luar layout",IF(N24&lt;&gt;INDEX(LAYOUT!$D$2:$D$80,MATCH(O24&amp;"|"&amp;M24,LAYOUT!$E$2:$E$80,0)),"CEK JENIS ZONA",IF($D24="","Zona STOCK",IF($E24="","CEK SKU DESCRIPTION kosong","OK"))))))))</f>
        <v/>
      </c>
      <c r="Q24" s="11" t="inlineStr">
        <is>
          <t>GND-02</t>
        </is>
      </c>
      <c r="R24" s="11" t="n">
        <v>2</v>
      </c>
      <c r="S24" s="11" t="inlineStr">
        <is>
          <t>Gantungan</t>
        </is>
      </c>
      <c r="T24" s="12">
        <f>IF(Q24="","",IFERROR(INDEX(DAFTAR_FIXTURE!$B$2:$B$51,MATCH(Q24,DAFTAR_FIXTURE!$A$2:$A$51,0)),""))</f>
        <v/>
      </c>
      <c r="U24" s="12">
        <f>IF(Q24="","",IF(T24="","CEK ID FIXTURE tidak ada di DAFTAR_FIXTURE",IF(R24="","CEK ZONA NO kosong",IF(ISNA(MATCH(T24&amp;"|"&amp;R24,LAYOUT!$E$2:$E$80,0)),"CEK ZONA NO di luar layout",IF(S24&lt;&gt;INDEX(LAYOUT!$D$2:$D$80,MATCH(T24&amp;"|"&amp;R24,LAYOUT!$E$2:$E$80,0)),"CEK JENIS ZONA",IF($D24="","Zona STOCK",IF($E24="","CEK SKU DESCRIPTION kosong","OK")))))))</f>
        <v/>
      </c>
      <c r="V24" s="11" t="inlineStr">
        <is>
          <t>GND-02</t>
        </is>
      </c>
      <c r="W24" s="11" t="n">
        <v>3</v>
      </c>
      <c r="X24" s="11" t="inlineStr">
        <is>
          <t>Gantungan</t>
        </is>
      </c>
      <c r="Y24" s="12">
        <f>IF(V24="","",IFERROR(INDEX(DAFTAR_FIXTURE!$B$2:$B$51,MATCH(V24,DAFTAR_FIXTURE!$A$2:$A$51,0)),""))</f>
        <v/>
      </c>
      <c r="Z24" s="12">
        <f>IF(V24="","",IF(Y24="","CEK ID FIXTURE tidak ada di DAFTAR_FIXTURE",IF(W24="","CEK ZONA NO kosong",IF(ISNA(MATCH(Y24&amp;"|"&amp;W24,LAYOUT!$E$2:$E$80,0)),"CEK ZONA NO di luar layout",IF(X24&lt;&gt;INDEX(LAYOUT!$D$2:$D$80,MATCH(Y24&amp;"|"&amp;W24,LAYOUT!$E$2:$E$80,0)),"CEK JENIS ZONA",IF($D24="","Zona STOCK",IF($E24="","CEK SKU DESCRIPTION kosong","OK")))))))</f>
        <v/>
      </c>
    </row>
    <row r="25">
      <c r="A25" s="10" t="inlineStr">
        <is>
          <t>Homeware</t>
        </is>
      </c>
      <c r="B25" s="10" t="inlineStr">
        <is>
          <t>Kitchenware</t>
        </is>
      </c>
      <c r="C25" s="10" t="inlineStr">
        <is>
          <t>Kitchen Tools</t>
        </is>
      </c>
      <c r="D25" s="10" t="inlineStr">
        <is>
          <t>10198151</t>
        </is>
      </c>
      <c r="E25" s="10" t="inlineStr">
        <is>
          <t>TANTA NYLON TONGS 12 INCH</t>
        </is>
      </c>
      <c r="F25" s="10" t="n"/>
      <c r="G25" s="10" t="inlineStr">
        <is>
          <t>ALAT MASAK</t>
        </is>
      </c>
      <c r="H25" s="10" t="inlineStr">
        <is>
          <t>C1. KITCHEN TOOLS</t>
        </is>
      </c>
      <c r="I25" s="10" t="inlineStr">
        <is>
          <t>TANTA NYLON</t>
        </is>
      </c>
      <c r="J25" s="10" t="n"/>
      <c r="K25" s="10" t="n"/>
      <c r="L25" s="11" t="inlineStr">
        <is>
          <t>GND-02</t>
        </is>
      </c>
      <c r="M25" s="11" t="n">
        <v>1</v>
      </c>
      <c r="N25" s="11" t="inlineStr">
        <is>
          <t>Gantungan</t>
        </is>
      </c>
      <c r="O25" s="12">
        <f>IF(L25="","",IFERROR(INDEX(DAFTAR_FIXTURE!$B$2:$B$51,MATCH(L25,DAFTAR_FIXTURE!$A$2:$A$51,0)),""))</f>
        <v/>
      </c>
      <c r="P25" s="12">
        <f>IF(AND($D25="",L25=""),"",IF(L25="",IF(AND(Q25="",V25=""),"Belum ditempatkan",""),IF(O25="","CEK ID FIXTURE tidak ada di DAFTAR_FIXTURE",IF(M25="","CEK ZONA NO kosong",IF(ISNA(MATCH(O25&amp;"|"&amp;M25,LAYOUT!$E$2:$E$80,0)),"CEK ZONA NO di luar layout",IF(N25&lt;&gt;INDEX(LAYOUT!$D$2:$D$80,MATCH(O25&amp;"|"&amp;M25,LAYOUT!$E$2:$E$80,0)),"CEK JENIS ZONA",IF($D25="","Zona STOCK",IF($E25="","CEK SKU DESCRIPTION kosong","OK"))))))))</f>
        <v/>
      </c>
      <c r="Q25" s="11" t="inlineStr">
        <is>
          <t>GND-02</t>
        </is>
      </c>
      <c r="R25" s="11" t="n">
        <v>2</v>
      </c>
      <c r="S25" s="11" t="inlineStr">
        <is>
          <t>Gantungan</t>
        </is>
      </c>
      <c r="T25" s="12">
        <f>IF(Q25="","",IFERROR(INDEX(DAFTAR_FIXTURE!$B$2:$B$51,MATCH(Q25,DAFTAR_FIXTURE!$A$2:$A$51,0)),""))</f>
        <v/>
      </c>
      <c r="U25" s="12">
        <f>IF(Q25="","",IF(T25="","CEK ID FIXTURE tidak ada di DAFTAR_FIXTURE",IF(R25="","CEK ZONA NO kosong",IF(ISNA(MATCH(T25&amp;"|"&amp;R25,LAYOUT!$E$2:$E$80,0)),"CEK ZONA NO di luar layout",IF(S25&lt;&gt;INDEX(LAYOUT!$D$2:$D$80,MATCH(T25&amp;"|"&amp;R25,LAYOUT!$E$2:$E$80,0)),"CEK JENIS ZONA",IF($D25="","Zona STOCK",IF($E25="","CEK SKU DESCRIPTION kosong","OK")))))))</f>
        <v/>
      </c>
      <c r="V25" s="11" t="inlineStr">
        <is>
          <t>GND-02</t>
        </is>
      </c>
      <c r="W25" s="11" t="n">
        <v>3</v>
      </c>
      <c r="X25" s="11" t="inlineStr">
        <is>
          <t>Gantungan</t>
        </is>
      </c>
      <c r="Y25" s="12">
        <f>IF(V25="","",IFERROR(INDEX(DAFTAR_FIXTURE!$B$2:$B$51,MATCH(V25,DAFTAR_FIXTURE!$A$2:$A$51,0)),""))</f>
        <v/>
      </c>
      <c r="Z25" s="12">
        <f>IF(V25="","",IF(Y25="","CEK ID FIXTURE tidak ada di DAFTAR_FIXTURE",IF(W25="","CEK ZONA NO kosong",IF(ISNA(MATCH(Y25&amp;"|"&amp;W25,LAYOUT!$E$2:$E$80,0)),"CEK ZONA NO di luar layout",IF(X25&lt;&gt;INDEX(LAYOUT!$D$2:$D$80,MATCH(Y25&amp;"|"&amp;W25,LAYOUT!$E$2:$E$80,0)),"CEK JENIS ZONA",IF($D25="","Zona STOCK",IF($E25="","CEK SKU DESCRIPTION kosong","OK")))))))</f>
        <v/>
      </c>
    </row>
    <row r="26">
      <c r="A26" s="10" t="inlineStr">
        <is>
          <t>Homeware</t>
        </is>
      </c>
      <c r="B26" s="10" t="inlineStr">
        <is>
          <t>Kitchenware</t>
        </is>
      </c>
      <c r="C26" s="10" t="inlineStr">
        <is>
          <t>Kitchen Tools</t>
        </is>
      </c>
      <c r="D26" s="10" t="inlineStr">
        <is>
          <t>10198152</t>
        </is>
      </c>
      <c r="E26" s="10" t="inlineStr">
        <is>
          <t>TANTA S/S SOLID TURNER M</t>
        </is>
      </c>
      <c r="F26" s="10" t="n"/>
      <c r="G26" s="10" t="inlineStr">
        <is>
          <t>ALAT MASAK</t>
        </is>
      </c>
      <c r="H26" s="10" t="inlineStr">
        <is>
          <t>C1. KITCHEN TOOLS</t>
        </is>
      </c>
      <c r="I26" s="10" t="inlineStr">
        <is>
          <t>TANTA S/S</t>
        </is>
      </c>
      <c r="J26" s="10" t="n"/>
      <c r="K26" s="10" t="n"/>
      <c r="L26" s="11" t="inlineStr">
        <is>
          <t>GND-02</t>
        </is>
      </c>
      <c r="M26" s="11" t="n">
        <v>1</v>
      </c>
      <c r="N26" s="11" t="inlineStr">
        <is>
          <t>Gantungan</t>
        </is>
      </c>
      <c r="O26" s="12">
        <f>IF(L26="","",IFERROR(INDEX(DAFTAR_FIXTURE!$B$2:$B$51,MATCH(L26,DAFTAR_FIXTURE!$A$2:$A$51,0)),""))</f>
        <v/>
      </c>
      <c r="P26" s="12">
        <f>IF(AND($D26="",L26=""),"",IF(L26="",IF(AND(Q26="",V26=""),"Belum ditempatkan",""),IF(O26="","CEK ID FIXTURE tidak ada di DAFTAR_FIXTURE",IF(M26="","CEK ZONA NO kosong",IF(ISNA(MATCH(O26&amp;"|"&amp;M26,LAYOUT!$E$2:$E$80,0)),"CEK ZONA NO di luar layout",IF(N26&lt;&gt;INDEX(LAYOUT!$D$2:$D$80,MATCH(O26&amp;"|"&amp;M26,LAYOUT!$E$2:$E$80,0)),"CEK JENIS ZONA",IF($D26="","Zona STOCK",IF($E26="","CEK SKU DESCRIPTION kosong","OK"))))))))</f>
        <v/>
      </c>
      <c r="Q26" s="11" t="inlineStr">
        <is>
          <t>GND-02</t>
        </is>
      </c>
      <c r="R26" s="11" t="n">
        <v>2</v>
      </c>
      <c r="S26" s="11" t="inlineStr">
        <is>
          <t>Gantungan</t>
        </is>
      </c>
      <c r="T26" s="12">
        <f>IF(Q26="","",IFERROR(INDEX(DAFTAR_FIXTURE!$B$2:$B$51,MATCH(Q26,DAFTAR_FIXTURE!$A$2:$A$51,0)),""))</f>
        <v/>
      </c>
      <c r="U26" s="12">
        <f>IF(Q26="","",IF(T26="","CEK ID FIXTURE tidak ada di DAFTAR_FIXTURE",IF(R26="","CEK ZONA NO kosong",IF(ISNA(MATCH(T26&amp;"|"&amp;R26,LAYOUT!$E$2:$E$80,0)),"CEK ZONA NO di luar layout",IF(S26&lt;&gt;INDEX(LAYOUT!$D$2:$D$80,MATCH(T26&amp;"|"&amp;R26,LAYOUT!$E$2:$E$80,0)),"CEK JENIS ZONA",IF($D26="","Zona STOCK",IF($E26="","CEK SKU DESCRIPTION kosong","OK")))))))</f>
        <v/>
      </c>
      <c r="V26" s="11" t="inlineStr">
        <is>
          <t>GND-02</t>
        </is>
      </c>
      <c r="W26" s="11" t="n">
        <v>3</v>
      </c>
      <c r="X26" s="11" t="inlineStr">
        <is>
          <t>Gantungan</t>
        </is>
      </c>
      <c r="Y26" s="12">
        <f>IF(V26="","",IFERROR(INDEX(DAFTAR_FIXTURE!$B$2:$B$51,MATCH(V26,DAFTAR_FIXTURE!$A$2:$A$51,0)),""))</f>
        <v/>
      </c>
      <c r="Z26" s="12">
        <f>IF(V26="","",IF(Y26="","CEK ID FIXTURE tidak ada di DAFTAR_FIXTURE",IF(W26="","CEK ZONA NO kosong",IF(ISNA(MATCH(Y26&amp;"|"&amp;W26,LAYOUT!$E$2:$E$80,0)),"CEK ZONA NO di luar layout",IF(X26&lt;&gt;INDEX(LAYOUT!$D$2:$D$80,MATCH(Y26&amp;"|"&amp;W26,LAYOUT!$E$2:$E$80,0)),"CEK JENIS ZONA",IF($D26="","Zona STOCK",IF($E26="","CEK SKU DESCRIPTION kosong","OK")))))))</f>
        <v/>
      </c>
    </row>
    <row r="27">
      <c r="A27" s="10" t="inlineStr">
        <is>
          <t>Homeware</t>
        </is>
      </c>
      <c r="B27" s="10" t="inlineStr">
        <is>
          <t>Kitchenware</t>
        </is>
      </c>
      <c r="C27" s="10" t="inlineStr">
        <is>
          <t>Kitchen Tools</t>
        </is>
      </c>
      <c r="D27" s="10" t="inlineStr">
        <is>
          <t>10198154</t>
        </is>
      </c>
      <c r="E27" s="10" t="inlineStr">
        <is>
          <t>TANTA S/S LADLE</t>
        </is>
      </c>
      <c r="F27" s="10" t="n"/>
      <c r="G27" s="10" t="inlineStr">
        <is>
          <t>ALAT MASAK</t>
        </is>
      </c>
      <c r="H27" s="10" t="inlineStr">
        <is>
          <t>C1. KITCHEN TOOLS</t>
        </is>
      </c>
      <c r="I27" s="10" t="inlineStr">
        <is>
          <t>TANTA S/S</t>
        </is>
      </c>
      <c r="J27" s="10" t="n"/>
      <c r="K27" s="10" t="n"/>
      <c r="L27" s="11" t="inlineStr">
        <is>
          <t>GND-02</t>
        </is>
      </c>
      <c r="M27" s="11" t="n">
        <v>1</v>
      </c>
      <c r="N27" s="11" t="inlineStr">
        <is>
          <t>Gantungan</t>
        </is>
      </c>
      <c r="O27" s="12">
        <f>IF(L27="","",IFERROR(INDEX(DAFTAR_FIXTURE!$B$2:$B$51,MATCH(L27,DAFTAR_FIXTURE!$A$2:$A$51,0)),""))</f>
        <v/>
      </c>
      <c r="P27" s="12">
        <f>IF(AND($D27="",L27=""),"",IF(L27="",IF(AND(Q27="",V27=""),"Belum ditempatkan",""),IF(O27="","CEK ID FIXTURE tidak ada di DAFTAR_FIXTURE",IF(M27="","CEK ZONA NO kosong",IF(ISNA(MATCH(O27&amp;"|"&amp;M27,LAYOUT!$E$2:$E$80,0)),"CEK ZONA NO di luar layout",IF(N27&lt;&gt;INDEX(LAYOUT!$D$2:$D$80,MATCH(O27&amp;"|"&amp;M27,LAYOUT!$E$2:$E$80,0)),"CEK JENIS ZONA",IF($D27="","Zona STOCK",IF($E27="","CEK SKU DESCRIPTION kosong","OK"))))))))</f>
        <v/>
      </c>
      <c r="Q27" s="11" t="inlineStr">
        <is>
          <t>GND-02</t>
        </is>
      </c>
      <c r="R27" s="11" t="n">
        <v>2</v>
      </c>
      <c r="S27" s="11" t="inlineStr">
        <is>
          <t>Gantungan</t>
        </is>
      </c>
      <c r="T27" s="12">
        <f>IF(Q27="","",IFERROR(INDEX(DAFTAR_FIXTURE!$B$2:$B$51,MATCH(Q27,DAFTAR_FIXTURE!$A$2:$A$51,0)),""))</f>
        <v/>
      </c>
      <c r="U27" s="12">
        <f>IF(Q27="","",IF(T27="","CEK ID FIXTURE tidak ada di DAFTAR_FIXTURE",IF(R27="","CEK ZONA NO kosong",IF(ISNA(MATCH(T27&amp;"|"&amp;R27,LAYOUT!$E$2:$E$80,0)),"CEK ZONA NO di luar layout",IF(S27&lt;&gt;INDEX(LAYOUT!$D$2:$D$80,MATCH(T27&amp;"|"&amp;R27,LAYOUT!$E$2:$E$80,0)),"CEK JENIS ZONA",IF($D27="","Zona STOCK",IF($E27="","CEK SKU DESCRIPTION kosong","OK")))))))</f>
        <v/>
      </c>
      <c r="V27" s="11" t="inlineStr">
        <is>
          <t>GND-02</t>
        </is>
      </c>
      <c r="W27" s="11" t="n">
        <v>3</v>
      </c>
      <c r="X27" s="11" t="inlineStr">
        <is>
          <t>Gantungan</t>
        </is>
      </c>
      <c r="Y27" s="12">
        <f>IF(V27="","",IFERROR(INDEX(DAFTAR_FIXTURE!$B$2:$B$51,MATCH(V27,DAFTAR_FIXTURE!$A$2:$A$51,0)),""))</f>
        <v/>
      </c>
      <c r="Z27" s="12">
        <f>IF(V27="","",IF(Y27="","CEK ID FIXTURE tidak ada di DAFTAR_FIXTURE",IF(W27="","CEK ZONA NO kosong",IF(ISNA(MATCH(Y27&amp;"|"&amp;W27,LAYOUT!$E$2:$E$80,0)),"CEK ZONA NO di luar layout",IF(X27&lt;&gt;INDEX(LAYOUT!$D$2:$D$80,MATCH(Y27&amp;"|"&amp;W27,LAYOUT!$E$2:$E$80,0)),"CEK JENIS ZONA",IF($D27="","Zona STOCK",IF($E27="","CEK SKU DESCRIPTION kosong","OK")))))))</f>
        <v/>
      </c>
    </row>
    <row r="28">
      <c r="A28" s="10" t="inlineStr">
        <is>
          <t>Homeware</t>
        </is>
      </c>
      <c r="B28" s="10" t="inlineStr">
        <is>
          <t>Kitchenware</t>
        </is>
      </c>
      <c r="C28" s="10" t="inlineStr">
        <is>
          <t>Kitchen Tools</t>
        </is>
      </c>
      <c r="D28" s="10" t="inlineStr">
        <is>
          <t>10198156</t>
        </is>
      </c>
      <c r="E28" s="10" t="inlineStr">
        <is>
          <t>TANTA NYLON SLOTTED TURNER M</t>
        </is>
      </c>
      <c r="F28" s="10" t="n"/>
      <c r="G28" s="10" t="inlineStr">
        <is>
          <t>ALAT MASAK</t>
        </is>
      </c>
      <c r="H28" s="10" t="inlineStr">
        <is>
          <t>C1. KITCHEN TOOLS</t>
        </is>
      </c>
      <c r="I28" s="10" t="inlineStr">
        <is>
          <t>TANTA NYLON</t>
        </is>
      </c>
      <c r="J28" s="10" t="n"/>
      <c r="K28" s="10" t="n"/>
      <c r="L28" s="11" t="inlineStr">
        <is>
          <t>GND-02</t>
        </is>
      </c>
      <c r="M28" s="11" t="n">
        <v>1</v>
      </c>
      <c r="N28" s="11" t="inlineStr">
        <is>
          <t>Gantungan</t>
        </is>
      </c>
      <c r="O28" s="12">
        <f>IF(L28="","",IFERROR(INDEX(DAFTAR_FIXTURE!$B$2:$B$51,MATCH(L28,DAFTAR_FIXTURE!$A$2:$A$51,0)),""))</f>
        <v/>
      </c>
      <c r="P28" s="12">
        <f>IF(AND($D28="",L28=""),"",IF(L28="",IF(AND(Q28="",V28=""),"Belum ditempatkan",""),IF(O28="","CEK ID FIXTURE tidak ada di DAFTAR_FIXTURE",IF(M28="","CEK ZONA NO kosong",IF(ISNA(MATCH(O28&amp;"|"&amp;M28,LAYOUT!$E$2:$E$80,0)),"CEK ZONA NO di luar layout",IF(N28&lt;&gt;INDEX(LAYOUT!$D$2:$D$80,MATCH(O28&amp;"|"&amp;M28,LAYOUT!$E$2:$E$80,0)),"CEK JENIS ZONA",IF($D28="","Zona STOCK",IF($E28="","CEK SKU DESCRIPTION kosong","OK"))))))))</f>
        <v/>
      </c>
      <c r="Q28" s="11" t="inlineStr">
        <is>
          <t>GND-02</t>
        </is>
      </c>
      <c r="R28" s="11" t="n">
        <v>2</v>
      </c>
      <c r="S28" s="11" t="inlineStr">
        <is>
          <t>Gantungan</t>
        </is>
      </c>
      <c r="T28" s="12">
        <f>IF(Q28="","",IFERROR(INDEX(DAFTAR_FIXTURE!$B$2:$B$51,MATCH(Q28,DAFTAR_FIXTURE!$A$2:$A$51,0)),""))</f>
        <v/>
      </c>
      <c r="U28" s="12">
        <f>IF(Q28="","",IF(T28="","CEK ID FIXTURE tidak ada di DAFTAR_FIXTURE",IF(R28="","CEK ZONA NO kosong",IF(ISNA(MATCH(T28&amp;"|"&amp;R28,LAYOUT!$E$2:$E$80,0)),"CEK ZONA NO di luar layout",IF(S28&lt;&gt;INDEX(LAYOUT!$D$2:$D$80,MATCH(T28&amp;"|"&amp;R28,LAYOUT!$E$2:$E$80,0)),"CEK JENIS ZONA",IF($D28="","Zona STOCK",IF($E28="","CEK SKU DESCRIPTION kosong","OK")))))))</f>
        <v/>
      </c>
      <c r="V28" s="11" t="inlineStr">
        <is>
          <t>GND-02</t>
        </is>
      </c>
      <c r="W28" s="11" t="n">
        <v>3</v>
      </c>
      <c r="X28" s="11" t="inlineStr">
        <is>
          <t>Gantungan</t>
        </is>
      </c>
      <c r="Y28" s="12">
        <f>IF(V28="","",IFERROR(INDEX(DAFTAR_FIXTURE!$B$2:$B$51,MATCH(V28,DAFTAR_FIXTURE!$A$2:$A$51,0)),""))</f>
        <v/>
      </c>
      <c r="Z28" s="12">
        <f>IF(V28="","",IF(Y28="","CEK ID FIXTURE tidak ada di DAFTAR_FIXTURE",IF(W28="","CEK ZONA NO kosong",IF(ISNA(MATCH(Y28&amp;"|"&amp;W28,LAYOUT!$E$2:$E$80,0)),"CEK ZONA NO di luar layout",IF(X28&lt;&gt;INDEX(LAYOUT!$D$2:$D$80,MATCH(Y28&amp;"|"&amp;W28,LAYOUT!$E$2:$E$80,0)),"CEK JENIS ZONA",IF($D28="","Zona STOCK",IF($E28="","CEK SKU DESCRIPTION kosong","OK")))))))</f>
        <v/>
      </c>
    </row>
    <row r="29">
      <c r="A29" s="10" t="inlineStr">
        <is>
          <t>Homeware</t>
        </is>
      </c>
      <c r="B29" s="10" t="inlineStr">
        <is>
          <t>Kitchenware</t>
        </is>
      </c>
      <c r="C29" s="10" t="inlineStr">
        <is>
          <t>Kitchen Tools</t>
        </is>
      </c>
      <c r="D29" s="10" t="inlineStr">
        <is>
          <t>10198157</t>
        </is>
      </c>
      <c r="E29" s="10" t="inlineStr">
        <is>
          <t>TANTA NYLON SOLID TURNER L</t>
        </is>
      </c>
      <c r="F29" s="10" t="n"/>
      <c r="G29" s="10" t="inlineStr">
        <is>
          <t>ALAT MASAK</t>
        </is>
      </c>
      <c r="H29" s="10" t="inlineStr">
        <is>
          <t>C1. KITCHEN TOOLS</t>
        </is>
      </c>
      <c r="I29" s="10" t="inlineStr">
        <is>
          <t>TANTA NYLON</t>
        </is>
      </c>
      <c r="J29" s="10" t="n"/>
      <c r="K29" s="10" t="n"/>
      <c r="L29" s="11" t="inlineStr">
        <is>
          <t>GND-02</t>
        </is>
      </c>
      <c r="M29" s="11" t="n">
        <v>1</v>
      </c>
      <c r="N29" s="11" t="inlineStr">
        <is>
          <t>Gantungan</t>
        </is>
      </c>
      <c r="O29" s="12">
        <f>IF(L29="","",IFERROR(INDEX(DAFTAR_FIXTURE!$B$2:$B$51,MATCH(L29,DAFTAR_FIXTURE!$A$2:$A$51,0)),""))</f>
        <v/>
      </c>
      <c r="P29" s="12">
        <f>IF(AND($D29="",L29=""),"",IF(L29="",IF(AND(Q29="",V29=""),"Belum ditempatkan",""),IF(O29="","CEK ID FIXTURE tidak ada di DAFTAR_FIXTURE",IF(M29="","CEK ZONA NO kosong",IF(ISNA(MATCH(O29&amp;"|"&amp;M29,LAYOUT!$E$2:$E$80,0)),"CEK ZONA NO di luar layout",IF(N29&lt;&gt;INDEX(LAYOUT!$D$2:$D$80,MATCH(O29&amp;"|"&amp;M29,LAYOUT!$E$2:$E$80,0)),"CEK JENIS ZONA",IF($D29="","Zona STOCK",IF($E29="","CEK SKU DESCRIPTION kosong","OK"))))))))</f>
        <v/>
      </c>
      <c r="Q29" s="11" t="inlineStr">
        <is>
          <t>GND-02</t>
        </is>
      </c>
      <c r="R29" s="11" t="n">
        <v>2</v>
      </c>
      <c r="S29" s="11" t="inlineStr">
        <is>
          <t>Gantungan</t>
        </is>
      </c>
      <c r="T29" s="12">
        <f>IF(Q29="","",IFERROR(INDEX(DAFTAR_FIXTURE!$B$2:$B$51,MATCH(Q29,DAFTAR_FIXTURE!$A$2:$A$51,0)),""))</f>
        <v/>
      </c>
      <c r="U29" s="12">
        <f>IF(Q29="","",IF(T29="","CEK ID FIXTURE tidak ada di DAFTAR_FIXTURE",IF(R29="","CEK ZONA NO kosong",IF(ISNA(MATCH(T29&amp;"|"&amp;R29,LAYOUT!$E$2:$E$80,0)),"CEK ZONA NO di luar layout",IF(S29&lt;&gt;INDEX(LAYOUT!$D$2:$D$80,MATCH(T29&amp;"|"&amp;R29,LAYOUT!$E$2:$E$80,0)),"CEK JENIS ZONA",IF($D29="","Zona STOCK",IF($E29="","CEK SKU DESCRIPTION kosong","OK")))))))</f>
        <v/>
      </c>
      <c r="V29" s="11" t="inlineStr">
        <is>
          <t>GND-02</t>
        </is>
      </c>
      <c r="W29" s="11" t="n">
        <v>3</v>
      </c>
      <c r="X29" s="11" t="inlineStr">
        <is>
          <t>Gantungan</t>
        </is>
      </c>
      <c r="Y29" s="12">
        <f>IF(V29="","",IFERROR(INDEX(DAFTAR_FIXTURE!$B$2:$B$51,MATCH(V29,DAFTAR_FIXTURE!$A$2:$A$51,0)),""))</f>
        <v/>
      </c>
      <c r="Z29" s="12">
        <f>IF(V29="","",IF(Y29="","CEK ID FIXTURE tidak ada di DAFTAR_FIXTURE",IF(W29="","CEK ZONA NO kosong",IF(ISNA(MATCH(Y29&amp;"|"&amp;W29,LAYOUT!$E$2:$E$80,0)),"CEK ZONA NO di luar layout",IF(X29&lt;&gt;INDEX(LAYOUT!$D$2:$D$80,MATCH(Y29&amp;"|"&amp;W29,LAYOUT!$E$2:$E$80,0)),"CEK JENIS ZONA",IF($D29="","Zona STOCK",IF($E29="","CEK SKU DESCRIPTION kosong","OK")))))))</f>
        <v/>
      </c>
    </row>
    <row r="30">
      <c r="A30" s="10" t="inlineStr">
        <is>
          <t>Homeware</t>
        </is>
      </c>
      <c r="B30" s="10" t="inlineStr">
        <is>
          <t>Kitchenware</t>
        </is>
      </c>
      <c r="C30" s="10" t="inlineStr">
        <is>
          <t>Kitchen Tools</t>
        </is>
      </c>
      <c r="D30" s="10" t="inlineStr">
        <is>
          <t>10198159</t>
        </is>
      </c>
      <c r="E30" s="10" t="inlineStr">
        <is>
          <t>TANTA NYLON LADLE</t>
        </is>
      </c>
      <c r="F30" s="10" t="n"/>
      <c r="G30" s="10" t="inlineStr">
        <is>
          <t>ALAT MASAK</t>
        </is>
      </c>
      <c r="H30" s="10" t="inlineStr">
        <is>
          <t>C1. KITCHEN TOOLS</t>
        </is>
      </c>
      <c r="I30" s="10" t="inlineStr">
        <is>
          <t>TANTA NYLON</t>
        </is>
      </c>
      <c r="J30" s="10" t="n"/>
      <c r="K30" s="10" t="n"/>
      <c r="L30" s="11" t="inlineStr">
        <is>
          <t>GND-02</t>
        </is>
      </c>
      <c r="M30" s="11" t="n">
        <v>1</v>
      </c>
      <c r="N30" s="11" t="inlineStr">
        <is>
          <t>Gantungan</t>
        </is>
      </c>
      <c r="O30" s="12">
        <f>IF(L30="","",IFERROR(INDEX(DAFTAR_FIXTURE!$B$2:$B$51,MATCH(L30,DAFTAR_FIXTURE!$A$2:$A$51,0)),""))</f>
        <v/>
      </c>
      <c r="P30" s="12">
        <f>IF(AND($D30="",L30=""),"",IF(L30="",IF(AND(Q30="",V30=""),"Belum ditempatkan",""),IF(O30="","CEK ID FIXTURE tidak ada di DAFTAR_FIXTURE",IF(M30="","CEK ZONA NO kosong",IF(ISNA(MATCH(O30&amp;"|"&amp;M30,LAYOUT!$E$2:$E$80,0)),"CEK ZONA NO di luar layout",IF(N30&lt;&gt;INDEX(LAYOUT!$D$2:$D$80,MATCH(O30&amp;"|"&amp;M30,LAYOUT!$E$2:$E$80,0)),"CEK JENIS ZONA",IF($D30="","Zona STOCK",IF($E30="","CEK SKU DESCRIPTION kosong","OK"))))))))</f>
        <v/>
      </c>
      <c r="Q30" s="11" t="inlineStr">
        <is>
          <t>GND-02</t>
        </is>
      </c>
      <c r="R30" s="11" t="n">
        <v>2</v>
      </c>
      <c r="S30" s="11" t="inlineStr">
        <is>
          <t>Gantungan</t>
        </is>
      </c>
      <c r="T30" s="12">
        <f>IF(Q30="","",IFERROR(INDEX(DAFTAR_FIXTURE!$B$2:$B$51,MATCH(Q30,DAFTAR_FIXTURE!$A$2:$A$51,0)),""))</f>
        <v/>
      </c>
      <c r="U30" s="12">
        <f>IF(Q30="","",IF(T30="","CEK ID FIXTURE tidak ada di DAFTAR_FIXTURE",IF(R30="","CEK ZONA NO kosong",IF(ISNA(MATCH(T30&amp;"|"&amp;R30,LAYOUT!$E$2:$E$80,0)),"CEK ZONA NO di luar layout",IF(S30&lt;&gt;INDEX(LAYOUT!$D$2:$D$80,MATCH(T30&amp;"|"&amp;R30,LAYOUT!$E$2:$E$80,0)),"CEK JENIS ZONA",IF($D30="","Zona STOCK",IF($E30="","CEK SKU DESCRIPTION kosong","OK")))))))</f>
        <v/>
      </c>
      <c r="V30" s="11" t="inlineStr">
        <is>
          <t>GND-02</t>
        </is>
      </c>
      <c r="W30" s="11" t="n">
        <v>3</v>
      </c>
      <c r="X30" s="11" t="inlineStr">
        <is>
          <t>Gantungan</t>
        </is>
      </c>
      <c r="Y30" s="12">
        <f>IF(V30="","",IFERROR(INDEX(DAFTAR_FIXTURE!$B$2:$B$51,MATCH(V30,DAFTAR_FIXTURE!$A$2:$A$51,0)),""))</f>
        <v/>
      </c>
      <c r="Z30" s="12">
        <f>IF(V30="","",IF(Y30="","CEK ID FIXTURE tidak ada di DAFTAR_FIXTURE",IF(W30="","CEK ZONA NO kosong",IF(ISNA(MATCH(Y30&amp;"|"&amp;W30,LAYOUT!$E$2:$E$80,0)),"CEK ZONA NO di luar layout",IF(X30&lt;&gt;INDEX(LAYOUT!$D$2:$D$80,MATCH(Y30&amp;"|"&amp;W30,LAYOUT!$E$2:$E$80,0)),"CEK JENIS ZONA",IF($D30="","Zona STOCK",IF($E30="","CEK SKU DESCRIPTION kosong","OK")))))))</f>
        <v/>
      </c>
    </row>
    <row r="31">
      <c r="A31" s="10" t="inlineStr">
        <is>
          <t>Homeware</t>
        </is>
      </c>
      <c r="B31" s="10" t="inlineStr">
        <is>
          <t>Kitchenware</t>
        </is>
      </c>
      <c r="C31" s="10" t="inlineStr">
        <is>
          <t>Kitchen Tools</t>
        </is>
      </c>
      <c r="D31" s="10" t="inlineStr">
        <is>
          <t>10198160</t>
        </is>
      </c>
      <c r="E31" s="10" t="inlineStr">
        <is>
          <t>TANTA NYLON WHISK</t>
        </is>
      </c>
      <c r="F31" s="10" t="n"/>
      <c r="G31" s="10" t="inlineStr">
        <is>
          <t>ALAT MASAK</t>
        </is>
      </c>
      <c r="H31" s="10" t="inlineStr">
        <is>
          <t>C1. KITCHEN TOOLS</t>
        </is>
      </c>
      <c r="I31" s="10" t="inlineStr">
        <is>
          <t>TANTA NYLON</t>
        </is>
      </c>
      <c r="J31" s="10" t="n"/>
      <c r="K31" s="10" t="n"/>
      <c r="L31" s="11" t="inlineStr">
        <is>
          <t>GND-02</t>
        </is>
      </c>
      <c r="M31" s="11" t="n">
        <v>1</v>
      </c>
      <c r="N31" s="11" t="inlineStr">
        <is>
          <t>Gantungan</t>
        </is>
      </c>
      <c r="O31" s="12">
        <f>IF(L31="","",IFERROR(INDEX(DAFTAR_FIXTURE!$B$2:$B$51,MATCH(L31,DAFTAR_FIXTURE!$A$2:$A$51,0)),""))</f>
        <v/>
      </c>
      <c r="P31" s="12">
        <f>IF(AND($D31="",L31=""),"",IF(L31="",IF(AND(Q31="",V31=""),"Belum ditempatkan",""),IF(O31="","CEK ID FIXTURE tidak ada di DAFTAR_FIXTURE",IF(M31="","CEK ZONA NO kosong",IF(ISNA(MATCH(O31&amp;"|"&amp;M31,LAYOUT!$E$2:$E$80,0)),"CEK ZONA NO di luar layout",IF(N31&lt;&gt;INDEX(LAYOUT!$D$2:$D$80,MATCH(O31&amp;"|"&amp;M31,LAYOUT!$E$2:$E$80,0)),"CEK JENIS ZONA",IF($D31="","Zona STOCK",IF($E31="","CEK SKU DESCRIPTION kosong","OK"))))))))</f>
        <v/>
      </c>
      <c r="Q31" s="11" t="inlineStr">
        <is>
          <t>GND-02</t>
        </is>
      </c>
      <c r="R31" s="11" t="n">
        <v>2</v>
      </c>
      <c r="S31" s="11" t="inlineStr">
        <is>
          <t>Gantungan</t>
        </is>
      </c>
      <c r="T31" s="12">
        <f>IF(Q31="","",IFERROR(INDEX(DAFTAR_FIXTURE!$B$2:$B$51,MATCH(Q31,DAFTAR_FIXTURE!$A$2:$A$51,0)),""))</f>
        <v/>
      </c>
      <c r="U31" s="12">
        <f>IF(Q31="","",IF(T31="","CEK ID FIXTURE tidak ada di DAFTAR_FIXTURE",IF(R31="","CEK ZONA NO kosong",IF(ISNA(MATCH(T31&amp;"|"&amp;R31,LAYOUT!$E$2:$E$80,0)),"CEK ZONA NO di luar layout",IF(S31&lt;&gt;INDEX(LAYOUT!$D$2:$D$80,MATCH(T31&amp;"|"&amp;R31,LAYOUT!$E$2:$E$80,0)),"CEK JENIS ZONA",IF($D31="","Zona STOCK",IF($E31="","CEK SKU DESCRIPTION kosong","OK")))))))</f>
        <v/>
      </c>
      <c r="V31" s="11" t="inlineStr">
        <is>
          <t>GND-02</t>
        </is>
      </c>
      <c r="W31" s="11" t="n">
        <v>3</v>
      </c>
      <c r="X31" s="11" t="inlineStr">
        <is>
          <t>Gantungan</t>
        </is>
      </c>
      <c r="Y31" s="12">
        <f>IF(V31="","",IFERROR(INDEX(DAFTAR_FIXTURE!$B$2:$B$51,MATCH(V31,DAFTAR_FIXTURE!$A$2:$A$51,0)),""))</f>
        <v/>
      </c>
      <c r="Z31" s="12">
        <f>IF(V31="","",IF(Y31="","CEK ID FIXTURE tidak ada di DAFTAR_FIXTURE",IF(W31="","CEK ZONA NO kosong",IF(ISNA(MATCH(Y31&amp;"|"&amp;W31,LAYOUT!$E$2:$E$80,0)),"CEK ZONA NO di luar layout",IF(X31&lt;&gt;INDEX(LAYOUT!$D$2:$D$80,MATCH(Y31&amp;"|"&amp;W31,LAYOUT!$E$2:$E$80,0)),"CEK JENIS ZONA",IF($D31="","Zona STOCK",IF($E31="","CEK SKU DESCRIPTION kosong","OK")))))))</f>
        <v/>
      </c>
    </row>
    <row r="32">
      <c r="A32" s="10" t="inlineStr">
        <is>
          <t>Homeware</t>
        </is>
      </c>
      <c r="B32" s="10" t="inlineStr">
        <is>
          <t>Kitchenware</t>
        </is>
      </c>
      <c r="C32" s="10" t="inlineStr">
        <is>
          <t>Kitchen Tools</t>
        </is>
      </c>
      <c r="D32" s="10" t="inlineStr">
        <is>
          <t>10198149</t>
        </is>
      </c>
      <c r="E32" s="10" t="inlineStr">
        <is>
          <t>TANTA STRAINER DIA 10CM</t>
        </is>
      </c>
      <c r="F32" s="10" t="n"/>
      <c r="G32" s="10" t="inlineStr">
        <is>
          <t>ALAT MASAK</t>
        </is>
      </c>
      <c r="H32" s="10" t="inlineStr">
        <is>
          <t>C1. KITCHEN TOOLS</t>
        </is>
      </c>
      <c r="I32" s="10" t="inlineStr">
        <is>
          <t>TANTA S/S</t>
        </is>
      </c>
      <c r="J32" s="10" t="n"/>
      <c r="K32" s="10" t="n"/>
      <c r="L32" s="11" t="inlineStr">
        <is>
          <t>GND-02</t>
        </is>
      </c>
      <c r="M32" s="11" t="n">
        <v>4</v>
      </c>
      <c r="N32" s="11" t="inlineStr">
        <is>
          <t>Gantungan</t>
        </is>
      </c>
      <c r="O32" s="12">
        <f>IF(L32="","",IFERROR(INDEX(DAFTAR_FIXTURE!$B$2:$B$51,MATCH(L32,DAFTAR_FIXTURE!$A$2:$A$51,0)),""))</f>
        <v/>
      </c>
      <c r="P32" s="12">
        <f>IF(AND($D32="",L32=""),"",IF(L32="",IF(AND(Q32="",V32=""),"Belum ditempatkan",""),IF(O32="","CEK ID FIXTURE tidak ada di DAFTAR_FIXTURE",IF(M32="","CEK ZONA NO kosong",IF(ISNA(MATCH(O32&amp;"|"&amp;M32,LAYOUT!$E$2:$E$80,0)),"CEK ZONA NO di luar layout",IF(N32&lt;&gt;INDEX(LAYOUT!$D$2:$D$80,MATCH(O32&amp;"|"&amp;M32,LAYOUT!$E$2:$E$80,0)),"CEK JENIS ZONA",IF($D32="","Zona STOCK",IF($E32="","CEK SKU DESCRIPTION kosong","OK"))))))))</f>
        <v/>
      </c>
      <c r="Q32" s="11" t="inlineStr">
        <is>
          <t>GND-02</t>
        </is>
      </c>
      <c r="R32" s="11" t="n">
        <v>2</v>
      </c>
      <c r="S32" s="11" t="inlineStr">
        <is>
          <t>Gantungan</t>
        </is>
      </c>
      <c r="T32" s="12">
        <f>IF(Q32="","",IFERROR(INDEX(DAFTAR_FIXTURE!$B$2:$B$51,MATCH(Q32,DAFTAR_FIXTURE!$A$2:$A$51,0)),""))</f>
        <v/>
      </c>
      <c r="U32" s="12">
        <f>IF(Q32="","",IF(T32="","CEK ID FIXTURE tidak ada di DAFTAR_FIXTURE",IF(R32="","CEK ZONA NO kosong",IF(ISNA(MATCH(T32&amp;"|"&amp;R32,LAYOUT!$E$2:$E$80,0)),"CEK ZONA NO di luar layout",IF(S32&lt;&gt;INDEX(LAYOUT!$D$2:$D$80,MATCH(T32&amp;"|"&amp;R32,LAYOUT!$E$2:$E$80,0)),"CEK JENIS ZONA",IF($D32="","Zona STOCK",IF($E32="","CEK SKU DESCRIPTION kosong","OK")))))))</f>
        <v/>
      </c>
      <c r="V32" s="11" t="inlineStr">
        <is>
          <t>GND-02</t>
        </is>
      </c>
      <c r="W32" s="11" t="n">
        <v>3</v>
      </c>
      <c r="X32" s="11" t="inlineStr">
        <is>
          <t>Gantungan</t>
        </is>
      </c>
      <c r="Y32" s="12">
        <f>IF(V32="","",IFERROR(INDEX(DAFTAR_FIXTURE!$B$2:$B$51,MATCH(V32,DAFTAR_FIXTURE!$A$2:$A$51,0)),""))</f>
        <v/>
      </c>
      <c r="Z32" s="12">
        <f>IF(V32="","",IF(Y32="","CEK ID FIXTURE tidak ada di DAFTAR_FIXTURE",IF(W32="","CEK ZONA NO kosong",IF(ISNA(MATCH(Y32&amp;"|"&amp;W32,LAYOUT!$E$2:$E$80,0)),"CEK ZONA NO di luar layout",IF(X32&lt;&gt;INDEX(LAYOUT!$D$2:$D$80,MATCH(Y32&amp;"|"&amp;W32,LAYOUT!$E$2:$E$80,0)),"CEK JENIS ZONA",IF($D32="","Zona STOCK",IF($E32="","CEK SKU DESCRIPTION kosong","OK")))))))</f>
        <v/>
      </c>
    </row>
    <row r="33">
      <c r="A33" s="10" t="inlineStr">
        <is>
          <t>Homeware</t>
        </is>
      </c>
      <c r="B33" s="10" t="inlineStr">
        <is>
          <t>Kitchenware</t>
        </is>
      </c>
      <c r="C33" s="10" t="inlineStr">
        <is>
          <t>Kitchen Tools</t>
        </is>
      </c>
      <c r="D33" s="10" t="inlineStr">
        <is>
          <t>10198150</t>
        </is>
      </c>
      <c r="E33" s="10" t="inlineStr">
        <is>
          <t>TANTA NYLON TONGS 9 INCH</t>
        </is>
      </c>
      <c r="F33" s="10" t="n"/>
      <c r="G33" s="10" t="inlineStr">
        <is>
          <t>ALAT MASAK</t>
        </is>
      </c>
      <c r="H33" s="10" t="inlineStr">
        <is>
          <t>C1. KITCHEN TOOLS</t>
        </is>
      </c>
      <c r="I33" s="10" t="inlineStr">
        <is>
          <t>TANTA NYLON</t>
        </is>
      </c>
      <c r="J33" s="10" t="n"/>
      <c r="K33" s="10" t="n"/>
      <c r="L33" s="11" t="inlineStr">
        <is>
          <t>GND-02</t>
        </is>
      </c>
      <c r="M33" s="11" t="n">
        <v>4</v>
      </c>
      <c r="N33" s="11" t="inlineStr">
        <is>
          <t>Gantungan</t>
        </is>
      </c>
      <c r="O33" s="12">
        <f>IF(L33="","",IFERROR(INDEX(DAFTAR_FIXTURE!$B$2:$B$51,MATCH(L33,DAFTAR_FIXTURE!$A$2:$A$51,0)),""))</f>
        <v/>
      </c>
      <c r="P33" s="12">
        <f>IF(AND($D33="",L33=""),"",IF(L33="",IF(AND(Q33="",V33=""),"Belum ditempatkan",""),IF(O33="","CEK ID FIXTURE tidak ada di DAFTAR_FIXTURE",IF(M33="","CEK ZONA NO kosong",IF(ISNA(MATCH(O33&amp;"|"&amp;M33,LAYOUT!$E$2:$E$80,0)),"CEK ZONA NO di luar layout",IF(N33&lt;&gt;INDEX(LAYOUT!$D$2:$D$80,MATCH(O33&amp;"|"&amp;M33,LAYOUT!$E$2:$E$80,0)),"CEK JENIS ZONA",IF($D33="","Zona STOCK",IF($E33="","CEK SKU DESCRIPTION kosong","OK"))))))))</f>
        <v/>
      </c>
      <c r="Q33" s="11" t="inlineStr">
        <is>
          <t>GND-02</t>
        </is>
      </c>
      <c r="R33" s="11" t="n">
        <v>2</v>
      </c>
      <c r="S33" s="11" t="inlineStr">
        <is>
          <t>Gantungan</t>
        </is>
      </c>
      <c r="T33" s="12">
        <f>IF(Q33="","",IFERROR(INDEX(DAFTAR_FIXTURE!$B$2:$B$51,MATCH(Q33,DAFTAR_FIXTURE!$A$2:$A$51,0)),""))</f>
        <v/>
      </c>
      <c r="U33" s="12">
        <f>IF(Q33="","",IF(T33="","CEK ID FIXTURE tidak ada di DAFTAR_FIXTURE",IF(R33="","CEK ZONA NO kosong",IF(ISNA(MATCH(T33&amp;"|"&amp;R33,LAYOUT!$E$2:$E$80,0)),"CEK ZONA NO di luar layout",IF(S33&lt;&gt;INDEX(LAYOUT!$D$2:$D$80,MATCH(T33&amp;"|"&amp;R33,LAYOUT!$E$2:$E$80,0)),"CEK JENIS ZONA",IF($D33="","Zona STOCK",IF($E33="","CEK SKU DESCRIPTION kosong","OK")))))))</f>
        <v/>
      </c>
      <c r="V33" s="11" t="inlineStr">
        <is>
          <t>GND-02</t>
        </is>
      </c>
      <c r="W33" s="11" t="n">
        <v>3</v>
      </c>
      <c r="X33" s="11" t="inlineStr">
        <is>
          <t>Gantungan</t>
        </is>
      </c>
      <c r="Y33" s="12">
        <f>IF(V33="","",IFERROR(INDEX(DAFTAR_FIXTURE!$B$2:$B$51,MATCH(V33,DAFTAR_FIXTURE!$A$2:$A$51,0)),""))</f>
        <v/>
      </c>
      <c r="Z33" s="12">
        <f>IF(V33="","",IF(Y33="","CEK ID FIXTURE tidak ada di DAFTAR_FIXTURE",IF(W33="","CEK ZONA NO kosong",IF(ISNA(MATCH(Y33&amp;"|"&amp;W33,LAYOUT!$E$2:$E$80,0)),"CEK ZONA NO di luar layout",IF(X33&lt;&gt;INDEX(LAYOUT!$D$2:$D$80,MATCH(Y33&amp;"|"&amp;W33,LAYOUT!$E$2:$E$80,0)),"CEK JENIS ZONA",IF($D33="","Zona STOCK",IF($E33="","CEK SKU DESCRIPTION kosong","OK")))))))</f>
        <v/>
      </c>
    </row>
    <row r="34">
      <c r="A34" s="10" t="inlineStr">
        <is>
          <t>Homeware</t>
        </is>
      </c>
      <c r="B34" s="10" t="inlineStr">
        <is>
          <t>Kitchenware</t>
        </is>
      </c>
      <c r="C34" s="10" t="inlineStr">
        <is>
          <t>Kitchen Tools</t>
        </is>
      </c>
      <c r="D34" s="10" t="inlineStr">
        <is>
          <t>10198151</t>
        </is>
      </c>
      <c r="E34" s="10" t="inlineStr">
        <is>
          <t>TANTA NYLON TONGS 12 INCH</t>
        </is>
      </c>
      <c r="F34" s="10" t="n"/>
      <c r="G34" s="10" t="inlineStr">
        <is>
          <t>ALAT MASAK</t>
        </is>
      </c>
      <c r="H34" s="10" t="inlineStr">
        <is>
          <t>C1. KITCHEN TOOLS</t>
        </is>
      </c>
      <c r="I34" s="10" t="inlineStr">
        <is>
          <t>TANTA NYLON</t>
        </is>
      </c>
      <c r="J34" s="10" t="n"/>
      <c r="K34" s="10" t="n"/>
      <c r="L34" s="11" t="inlineStr">
        <is>
          <t>GND-02</t>
        </is>
      </c>
      <c r="M34" s="11" t="n">
        <v>4</v>
      </c>
      <c r="N34" s="11" t="inlineStr">
        <is>
          <t>Gantungan</t>
        </is>
      </c>
      <c r="O34" s="12">
        <f>IF(L34="","",IFERROR(INDEX(DAFTAR_FIXTURE!$B$2:$B$51,MATCH(L34,DAFTAR_FIXTURE!$A$2:$A$51,0)),""))</f>
        <v/>
      </c>
      <c r="P34" s="12">
        <f>IF(AND($D34="",L34=""),"",IF(L34="",IF(AND(Q34="",V34=""),"Belum ditempatkan",""),IF(O34="","CEK ID FIXTURE tidak ada di DAFTAR_FIXTURE",IF(M34="","CEK ZONA NO kosong",IF(ISNA(MATCH(O34&amp;"|"&amp;M34,LAYOUT!$E$2:$E$80,0)),"CEK ZONA NO di luar layout",IF(N34&lt;&gt;INDEX(LAYOUT!$D$2:$D$80,MATCH(O34&amp;"|"&amp;M34,LAYOUT!$E$2:$E$80,0)),"CEK JENIS ZONA",IF($D34="","Zona STOCK",IF($E34="","CEK SKU DESCRIPTION kosong","OK"))))))))</f>
        <v/>
      </c>
      <c r="Q34" s="11" t="inlineStr">
        <is>
          <t>GND-02</t>
        </is>
      </c>
      <c r="R34" s="11" t="n">
        <v>2</v>
      </c>
      <c r="S34" s="11" t="inlineStr">
        <is>
          <t>Gantungan</t>
        </is>
      </c>
      <c r="T34" s="12">
        <f>IF(Q34="","",IFERROR(INDEX(DAFTAR_FIXTURE!$B$2:$B$51,MATCH(Q34,DAFTAR_FIXTURE!$A$2:$A$51,0)),""))</f>
        <v/>
      </c>
      <c r="U34" s="12">
        <f>IF(Q34="","",IF(T34="","CEK ID FIXTURE tidak ada di DAFTAR_FIXTURE",IF(R34="","CEK ZONA NO kosong",IF(ISNA(MATCH(T34&amp;"|"&amp;R34,LAYOUT!$E$2:$E$80,0)),"CEK ZONA NO di luar layout",IF(S34&lt;&gt;INDEX(LAYOUT!$D$2:$D$80,MATCH(T34&amp;"|"&amp;R34,LAYOUT!$E$2:$E$80,0)),"CEK JENIS ZONA",IF($D34="","Zona STOCK",IF($E34="","CEK SKU DESCRIPTION kosong","OK")))))))</f>
        <v/>
      </c>
      <c r="V34" s="11" t="inlineStr">
        <is>
          <t>GND-02</t>
        </is>
      </c>
      <c r="W34" s="11" t="n">
        <v>3</v>
      </c>
      <c r="X34" s="11" t="inlineStr">
        <is>
          <t>Gantungan</t>
        </is>
      </c>
      <c r="Y34" s="12">
        <f>IF(V34="","",IFERROR(INDEX(DAFTAR_FIXTURE!$B$2:$B$51,MATCH(V34,DAFTAR_FIXTURE!$A$2:$A$51,0)),""))</f>
        <v/>
      </c>
      <c r="Z34" s="12">
        <f>IF(V34="","",IF(Y34="","CEK ID FIXTURE tidak ada di DAFTAR_FIXTURE",IF(W34="","CEK ZONA NO kosong",IF(ISNA(MATCH(Y34&amp;"|"&amp;W34,LAYOUT!$E$2:$E$80,0)),"CEK ZONA NO di luar layout",IF(X34&lt;&gt;INDEX(LAYOUT!$D$2:$D$80,MATCH(Y34&amp;"|"&amp;W34,LAYOUT!$E$2:$E$80,0)),"CEK JENIS ZONA",IF($D34="","Zona STOCK",IF($E34="","CEK SKU DESCRIPTION kosong","OK")))))))</f>
        <v/>
      </c>
    </row>
    <row r="35">
      <c r="A35" s="10" t="inlineStr">
        <is>
          <t>Homeware</t>
        </is>
      </c>
      <c r="B35" s="10" t="inlineStr">
        <is>
          <t>Kitchenware</t>
        </is>
      </c>
      <c r="C35" s="10" t="inlineStr">
        <is>
          <t>Kitchen Tools</t>
        </is>
      </c>
      <c r="D35" s="10" t="inlineStr">
        <is>
          <t>10198152</t>
        </is>
      </c>
      <c r="E35" s="10" t="inlineStr">
        <is>
          <t>TANTA S/S SOLID TURNER M</t>
        </is>
      </c>
      <c r="F35" s="10" t="n"/>
      <c r="G35" s="10" t="inlineStr">
        <is>
          <t>ALAT MASAK</t>
        </is>
      </c>
      <c r="H35" s="10" t="inlineStr">
        <is>
          <t>C1. KITCHEN TOOLS</t>
        </is>
      </c>
      <c r="I35" s="10" t="inlineStr">
        <is>
          <t>TANTA S/S</t>
        </is>
      </c>
      <c r="J35" s="10" t="n"/>
      <c r="K35" s="10" t="n"/>
      <c r="L35" s="11" t="inlineStr">
        <is>
          <t>GND-02</t>
        </is>
      </c>
      <c r="M35" s="11" t="n">
        <v>4</v>
      </c>
      <c r="N35" s="11" t="inlineStr">
        <is>
          <t>Gantungan</t>
        </is>
      </c>
      <c r="O35" s="12">
        <f>IF(L35="","",IFERROR(INDEX(DAFTAR_FIXTURE!$B$2:$B$51,MATCH(L35,DAFTAR_FIXTURE!$A$2:$A$51,0)),""))</f>
        <v/>
      </c>
      <c r="P35" s="12">
        <f>IF(AND($D35="",L35=""),"",IF(L35="",IF(AND(Q35="",V35=""),"Belum ditempatkan",""),IF(O35="","CEK ID FIXTURE tidak ada di DAFTAR_FIXTURE",IF(M35="","CEK ZONA NO kosong",IF(ISNA(MATCH(O35&amp;"|"&amp;M35,LAYOUT!$E$2:$E$80,0)),"CEK ZONA NO di luar layout",IF(N35&lt;&gt;INDEX(LAYOUT!$D$2:$D$80,MATCH(O35&amp;"|"&amp;M35,LAYOUT!$E$2:$E$80,0)),"CEK JENIS ZONA",IF($D35="","Zona STOCK",IF($E35="","CEK SKU DESCRIPTION kosong","OK"))))))))</f>
        <v/>
      </c>
      <c r="Q35" s="11" t="inlineStr">
        <is>
          <t>GND-02</t>
        </is>
      </c>
      <c r="R35" s="11" t="n">
        <v>2</v>
      </c>
      <c r="S35" s="11" t="inlineStr">
        <is>
          <t>Gantungan</t>
        </is>
      </c>
      <c r="T35" s="12">
        <f>IF(Q35="","",IFERROR(INDEX(DAFTAR_FIXTURE!$B$2:$B$51,MATCH(Q35,DAFTAR_FIXTURE!$A$2:$A$51,0)),""))</f>
        <v/>
      </c>
      <c r="U35" s="12">
        <f>IF(Q35="","",IF(T35="","CEK ID FIXTURE tidak ada di DAFTAR_FIXTURE",IF(R35="","CEK ZONA NO kosong",IF(ISNA(MATCH(T35&amp;"|"&amp;R35,LAYOUT!$E$2:$E$80,0)),"CEK ZONA NO di luar layout",IF(S35&lt;&gt;INDEX(LAYOUT!$D$2:$D$80,MATCH(T35&amp;"|"&amp;R35,LAYOUT!$E$2:$E$80,0)),"CEK JENIS ZONA",IF($D35="","Zona STOCK",IF($E35="","CEK SKU DESCRIPTION kosong","OK")))))))</f>
        <v/>
      </c>
      <c r="V35" s="11" t="inlineStr">
        <is>
          <t>GND-02</t>
        </is>
      </c>
      <c r="W35" s="11" t="n">
        <v>3</v>
      </c>
      <c r="X35" s="11" t="inlineStr">
        <is>
          <t>Gantungan</t>
        </is>
      </c>
      <c r="Y35" s="12">
        <f>IF(V35="","",IFERROR(INDEX(DAFTAR_FIXTURE!$B$2:$B$51,MATCH(V35,DAFTAR_FIXTURE!$A$2:$A$51,0)),""))</f>
        <v/>
      </c>
      <c r="Z35" s="12">
        <f>IF(V35="","",IF(Y35="","CEK ID FIXTURE tidak ada di DAFTAR_FIXTURE",IF(W35="","CEK ZONA NO kosong",IF(ISNA(MATCH(Y35&amp;"|"&amp;W35,LAYOUT!$E$2:$E$80,0)),"CEK ZONA NO di luar layout",IF(X35&lt;&gt;INDEX(LAYOUT!$D$2:$D$80,MATCH(Y35&amp;"|"&amp;W35,LAYOUT!$E$2:$E$80,0)),"CEK JENIS ZONA",IF($D35="","Zona STOCK",IF($E35="","CEK SKU DESCRIPTION kosong","OK")))))))</f>
        <v/>
      </c>
    </row>
    <row r="36">
      <c r="A36" s="10" t="inlineStr">
        <is>
          <t>Homeware</t>
        </is>
      </c>
      <c r="B36" s="10" t="inlineStr">
        <is>
          <t>Kitchenware</t>
        </is>
      </c>
      <c r="C36" s="10" t="inlineStr">
        <is>
          <t>Kitchen Tools</t>
        </is>
      </c>
      <c r="D36" s="10" t="inlineStr">
        <is>
          <t>10198154</t>
        </is>
      </c>
      <c r="E36" s="10" t="inlineStr">
        <is>
          <t>TANTA S/S LADLE</t>
        </is>
      </c>
      <c r="F36" s="10" t="n"/>
      <c r="G36" s="10" t="inlineStr">
        <is>
          <t>ALAT MASAK</t>
        </is>
      </c>
      <c r="H36" s="10" t="inlineStr">
        <is>
          <t>C1. KITCHEN TOOLS</t>
        </is>
      </c>
      <c r="I36" s="10" t="inlineStr">
        <is>
          <t>TANTA S/S</t>
        </is>
      </c>
      <c r="J36" s="10" t="n"/>
      <c r="K36" s="10" t="n"/>
      <c r="L36" s="11" t="inlineStr">
        <is>
          <t>GND-02</t>
        </is>
      </c>
      <c r="M36" s="11" t="n">
        <v>4</v>
      </c>
      <c r="N36" s="11" t="inlineStr">
        <is>
          <t>Gantungan</t>
        </is>
      </c>
      <c r="O36" s="12">
        <f>IF(L36="","",IFERROR(INDEX(DAFTAR_FIXTURE!$B$2:$B$51,MATCH(L36,DAFTAR_FIXTURE!$A$2:$A$51,0)),""))</f>
        <v/>
      </c>
      <c r="P36" s="12">
        <f>IF(AND($D36="",L36=""),"",IF(L36="",IF(AND(Q36="",V36=""),"Belum ditempatkan",""),IF(O36="","CEK ID FIXTURE tidak ada di DAFTAR_FIXTURE",IF(M36="","CEK ZONA NO kosong",IF(ISNA(MATCH(O36&amp;"|"&amp;M36,LAYOUT!$E$2:$E$80,0)),"CEK ZONA NO di luar layout",IF(N36&lt;&gt;INDEX(LAYOUT!$D$2:$D$80,MATCH(O36&amp;"|"&amp;M36,LAYOUT!$E$2:$E$80,0)),"CEK JENIS ZONA",IF($D36="","Zona STOCK",IF($E36="","CEK SKU DESCRIPTION kosong","OK"))))))))</f>
        <v/>
      </c>
      <c r="Q36" s="11" t="inlineStr">
        <is>
          <t>GND-02</t>
        </is>
      </c>
      <c r="R36" s="11" t="n">
        <v>2</v>
      </c>
      <c r="S36" s="11" t="inlineStr">
        <is>
          <t>Gantungan</t>
        </is>
      </c>
      <c r="T36" s="12">
        <f>IF(Q36="","",IFERROR(INDEX(DAFTAR_FIXTURE!$B$2:$B$51,MATCH(Q36,DAFTAR_FIXTURE!$A$2:$A$51,0)),""))</f>
        <v/>
      </c>
      <c r="U36" s="12">
        <f>IF(Q36="","",IF(T36="","CEK ID FIXTURE tidak ada di DAFTAR_FIXTURE",IF(R36="","CEK ZONA NO kosong",IF(ISNA(MATCH(T36&amp;"|"&amp;R36,LAYOUT!$E$2:$E$80,0)),"CEK ZONA NO di luar layout",IF(S36&lt;&gt;INDEX(LAYOUT!$D$2:$D$80,MATCH(T36&amp;"|"&amp;R36,LAYOUT!$E$2:$E$80,0)),"CEK JENIS ZONA",IF($D36="","Zona STOCK",IF($E36="","CEK SKU DESCRIPTION kosong","OK")))))))</f>
        <v/>
      </c>
      <c r="V36" s="11" t="inlineStr">
        <is>
          <t>GND-02</t>
        </is>
      </c>
      <c r="W36" s="11" t="n">
        <v>3</v>
      </c>
      <c r="X36" s="11" t="inlineStr">
        <is>
          <t>Gantungan</t>
        </is>
      </c>
      <c r="Y36" s="12">
        <f>IF(V36="","",IFERROR(INDEX(DAFTAR_FIXTURE!$B$2:$B$51,MATCH(V36,DAFTAR_FIXTURE!$A$2:$A$51,0)),""))</f>
        <v/>
      </c>
      <c r="Z36" s="12">
        <f>IF(V36="","",IF(Y36="","CEK ID FIXTURE tidak ada di DAFTAR_FIXTURE",IF(W36="","CEK ZONA NO kosong",IF(ISNA(MATCH(Y36&amp;"|"&amp;W36,LAYOUT!$E$2:$E$80,0)),"CEK ZONA NO di luar layout",IF(X36&lt;&gt;INDEX(LAYOUT!$D$2:$D$80,MATCH(Y36&amp;"|"&amp;W36,LAYOUT!$E$2:$E$80,0)),"CEK JENIS ZONA",IF($D36="","Zona STOCK",IF($E36="","CEK SKU DESCRIPTION kosong","OK")))))))</f>
        <v/>
      </c>
    </row>
    <row r="37">
      <c r="A37" s="10" t="inlineStr">
        <is>
          <t>Homeware</t>
        </is>
      </c>
      <c r="B37" s="10" t="inlineStr">
        <is>
          <t>Kitchenware</t>
        </is>
      </c>
      <c r="C37" s="10" t="inlineStr">
        <is>
          <t>Kitchen Tools</t>
        </is>
      </c>
      <c r="D37" s="10" t="inlineStr">
        <is>
          <t>10198156</t>
        </is>
      </c>
      <c r="E37" s="10" t="inlineStr">
        <is>
          <t>TANTA NYLON SLOTTED TURNER M</t>
        </is>
      </c>
      <c r="F37" s="10" t="n"/>
      <c r="G37" s="10" t="inlineStr">
        <is>
          <t>ALAT MASAK</t>
        </is>
      </c>
      <c r="H37" s="10" t="inlineStr">
        <is>
          <t>C1. KITCHEN TOOLS</t>
        </is>
      </c>
      <c r="I37" s="10" t="inlineStr">
        <is>
          <t>TANTA NYLON</t>
        </is>
      </c>
      <c r="J37" s="10" t="n"/>
      <c r="K37" s="10" t="n"/>
      <c r="L37" s="11" t="inlineStr">
        <is>
          <t>GND-02</t>
        </is>
      </c>
      <c r="M37" s="11" t="n">
        <v>4</v>
      </c>
      <c r="N37" s="11" t="inlineStr">
        <is>
          <t>Gantungan</t>
        </is>
      </c>
      <c r="O37" s="12">
        <f>IF(L37="","",IFERROR(INDEX(DAFTAR_FIXTURE!$B$2:$B$51,MATCH(L37,DAFTAR_FIXTURE!$A$2:$A$51,0)),""))</f>
        <v/>
      </c>
      <c r="P37" s="12">
        <f>IF(AND($D37="",L37=""),"",IF(L37="",IF(AND(Q37="",V37=""),"Belum ditempatkan",""),IF(O37="","CEK ID FIXTURE tidak ada di DAFTAR_FIXTURE",IF(M37="","CEK ZONA NO kosong",IF(ISNA(MATCH(O37&amp;"|"&amp;M37,LAYOUT!$E$2:$E$80,0)),"CEK ZONA NO di luar layout",IF(N37&lt;&gt;INDEX(LAYOUT!$D$2:$D$80,MATCH(O37&amp;"|"&amp;M37,LAYOUT!$E$2:$E$80,0)),"CEK JENIS ZONA",IF($D37="","Zona STOCK",IF($E37="","CEK SKU DESCRIPTION kosong","OK"))))))))</f>
        <v/>
      </c>
      <c r="Q37" s="11" t="inlineStr">
        <is>
          <t>GND-02</t>
        </is>
      </c>
      <c r="R37" s="11" t="n">
        <v>2</v>
      </c>
      <c r="S37" s="11" t="inlineStr">
        <is>
          <t>Gantungan</t>
        </is>
      </c>
      <c r="T37" s="12">
        <f>IF(Q37="","",IFERROR(INDEX(DAFTAR_FIXTURE!$B$2:$B$51,MATCH(Q37,DAFTAR_FIXTURE!$A$2:$A$51,0)),""))</f>
        <v/>
      </c>
      <c r="U37" s="12">
        <f>IF(Q37="","",IF(T37="","CEK ID FIXTURE tidak ada di DAFTAR_FIXTURE",IF(R37="","CEK ZONA NO kosong",IF(ISNA(MATCH(T37&amp;"|"&amp;R37,LAYOUT!$E$2:$E$80,0)),"CEK ZONA NO di luar layout",IF(S37&lt;&gt;INDEX(LAYOUT!$D$2:$D$80,MATCH(T37&amp;"|"&amp;R37,LAYOUT!$E$2:$E$80,0)),"CEK JENIS ZONA",IF($D37="","Zona STOCK",IF($E37="","CEK SKU DESCRIPTION kosong","OK")))))))</f>
        <v/>
      </c>
      <c r="V37" s="11" t="inlineStr">
        <is>
          <t>GND-02</t>
        </is>
      </c>
      <c r="W37" s="11" t="n">
        <v>3</v>
      </c>
      <c r="X37" s="11" t="inlineStr">
        <is>
          <t>Gantungan</t>
        </is>
      </c>
      <c r="Y37" s="12">
        <f>IF(V37="","",IFERROR(INDEX(DAFTAR_FIXTURE!$B$2:$B$51,MATCH(V37,DAFTAR_FIXTURE!$A$2:$A$51,0)),""))</f>
        <v/>
      </c>
      <c r="Z37" s="12">
        <f>IF(V37="","",IF(Y37="","CEK ID FIXTURE tidak ada di DAFTAR_FIXTURE",IF(W37="","CEK ZONA NO kosong",IF(ISNA(MATCH(Y37&amp;"|"&amp;W37,LAYOUT!$E$2:$E$80,0)),"CEK ZONA NO di luar layout",IF(X37&lt;&gt;INDEX(LAYOUT!$D$2:$D$80,MATCH(Y37&amp;"|"&amp;W37,LAYOUT!$E$2:$E$80,0)),"CEK JENIS ZONA",IF($D37="","Zona STOCK",IF($E37="","CEK SKU DESCRIPTION kosong","OK")))))))</f>
        <v/>
      </c>
    </row>
    <row r="38">
      <c r="A38" s="10" t="inlineStr">
        <is>
          <t>Homeware</t>
        </is>
      </c>
      <c r="B38" s="10" t="inlineStr">
        <is>
          <t>Kitchenware</t>
        </is>
      </c>
      <c r="C38" s="10" t="inlineStr">
        <is>
          <t>Kitchen Tools</t>
        </is>
      </c>
      <c r="D38" s="10" t="inlineStr">
        <is>
          <t>10198157</t>
        </is>
      </c>
      <c r="E38" s="10" t="inlineStr">
        <is>
          <t>TANTA NYLON SOLID TURNER L</t>
        </is>
      </c>
      <c r="F38" s="10" t="n"/>
      <c r="G38" s="10" t="inlineStr">
        <is>
          <t>ALAT MASAK</t>
        </is>
      </c>
      <c r="H38" s="10" t="inlineStr">
        <is>
          <t>C1. KITCHEN TOOLS</t>
        </is>
      </c>
      <c r="I38" s="10" t="inlineStr">
        <is>
          <t>TANTA NYLON</t>
        </is>
      </c>
      <c r="J38" s="10" t="n"/>
      <c r="K38" s="10" t="n"/>
      <c r="L38" s="11" t="inlineStr">
        <is>
          <t>GND-02</t>
        </is>
      </c>
      <c r="M38" s="11" t="n">
        <v>4</v>
      </c>
      <c r="N38" s="11" t="inlineStr">
        <is>
          <t>Gantungan</t>
        </is>
      </c>
      <c r="O38" s="12">
        <f>IF(L38="","",IFERROR(INDEX(DAFTAR_FIXTURE!$B$2:$B$51,MATCH(L38,DAFTAR_FIXTURE!$A$2:$A$51,0)),""))</f>
        <v/>
      </c>
      <c r="P38" s="12">
        <f>IF(AND($D38="",L38=""),"",IF(L38="",IF(AND(Q38="",V38=""),"Belum ditempatkan",""),IF(O38="","CEK ID FIXTURE tidak ada di DAFTAR_FIXTURE",IF(M38="","CEK ZONA NO kosong",IF(ISNA(MATCH(O38&amp;"|"&amp;M38,LAYOUT!$E$2:$E$80,0)),"CEK ZONA NO di luar layout",IF(N38&lt;&gt;INDEX(LAYOUT!$D$2:$D$80,MATCH(O38&amp;"|"&amp;M38,LAYOUT!$E$2:$E$80,0)),"CEK JENIS ZONA",IF($D38="","Zona STOCK",IF($E38="","CEK SKU DESCRIPTION kosong","OK"))))))))</f>
        <v/>
      </c>
      <c r="Q38" s="11" t="inlineStr">
        <is>
          <t>GND-02</t>
        </is>
      </c>
      <c r="R38" s="11" t="n">
        <v>2</v>
      </c>
      <c r="S38" s="11" t="inlineStr">
        <is>
          <t>Gantungan</t>
        </is>
      </c>
      <c r="T38" s="12">
        <f>IF(Q38="","",IFERROR(INDEX(DAFTAR_FIXTURE!$B$2:$B$51,MATCH(Q38,DAFTAR_FIXTURE!$A$2:$A$51,0)),""))</f>
        <v/>
      </c>
      <c r="U38" s="12">
        <f>IF(Q38="","",IF(T38="","CEK ID FIXTURE tidak ada di DAFTAR_FIXTURE",IF(R38="","CEK ZONA NO kosong",IF(ISNA(MATCH(T38&amp;"|"&amp;R38,LAYOUT!$E$2:$E$80,0)),"CEK ZONA NO di luar layout",IF(S38&lt;&gt;INDEX(LAYOUT!$D$2:$D$80,MATCH(T38&amp;"|"&amp;R38,LAYOUT!$E$2:$E$80,0)),"CEK JENIS ZONA",IF($D38="","Zona STOCK",IF($E38="","CEK SKU DESCRIPTION kosong","OK")))))))</f>
        <v/>
      </c>
      <c r="V38" s="11" t="inlineStr">
        <is>
          <t>GND-02</t>
        </is>
      </c>
      <c r="W38" s="11" t="n">
        <v>3</v>
      </c>
      <c r="X38" s="11" t="inlineStr">
        <is>
          <t>Gantungan</t>
        </is>
      </c>
      <c r="Y38" s="12">
        <f>IF(V38="","",IFERROR(INDEX(DAFTAR_FIXTURE!$B$2:$B$51,MATCH(V38,DAFTAR_FIXTURE!$A$2:$A$51,0)),""))</f>
        <v/>
      </c>
      <c r="Z38" s="12">
        <f>IF(V38="","",IF(Y38="","CEK ID FIXTURE tidak ada di DAFTAR_FIXTURE",IF(W38="","CEK ZONA NO kosong",IF(ISNA(MATCH(Y38&amp;"|"&amp;W38,LAYOUT!$E$2:$E$80,0)),"CEK ZONA NO di luar layout",IF(X38&lt;&gt;INDEX(LAYOUT!$D$2:$D$80,MATCH(Y38&amp;"|"&amp;W38,LAYOUT!$E$2:$E$80,0)),"CEK JENIS ZONA",IF($D38="","Zona STOCK",IF($E38="","CEK SKU DESCRIPTION kosong","OK")))))))</f>
        <v/>
      </c>
    </row>
    <row r="39">
      <c r="A39" s="10" t="inlineStr">
        <is>
          <t>Homeware</t>
        </is>
      </c>
      <c r="B39" s="10" t="inlineStr">
        <is>
          <t>Kitchenware</t>
        </is>
      </c>
      <c r="C39" s="10" t="inlineStr">
        <is>
          <t>Kitchen Tools</t>
        </is>
      </c>
      <c r="D39" s="10" t="inlineStr">
        <is>
          <t>10198159</t>
        </is>
      </c>
      <c r="E39" s="10" t="inlineStr">
        <is>
          <t>TANTA NYLON LADLE</t>
        </is>
      </c>
      <c r="F39" s="10" t="n"/>
      <c r="G39" s="10" t="inlineStr">
        <is>
          <t>ALAT MASAK</t>
        </is>
      </c>
      <c r="H39" s="10" t="inlineStr">
        <is>
          <t>C1. KITCHEN TOOLS</t>
        </is>
      </c>
      <c r="I39" s="10" t="inlineStr">
        <is>
          <t>TANTA NYLON</t>
        </is>
      </c>
      <c r="J39" s="10" t="n"/>
      <c r="K39" s="10" t="n"/>
      <c r="L39" s="11" t="inlineStr">
        <is>
          <t>GND-02</t>
        </is>
      </c>
      <c r="M39" s="11" t="n">
        <v>4</v>
      </c>
      <c r="N39" s="11" t="inlineStr">
        <is>
          <t>Gantungan</t>
        </is>
      </c>
      <c r="O39" s="12">
        <f>IF(L39="","",IFERROR(INDEX(DAFTAR_FIXTURE!$B$2:$B$51,MATCH(L39,DAFTAR_FIXTURE!$A$2:$A$51,0)),""))</f>
        <v/>
      </c>
      <c r="P39" s="12">
        <f>IF(AND($D39="",L39=""),"",IF(L39="",IF(AND(Q39="",V39=""),"Belum ditempatkan",""),IF(O39="","CEK ID FIXTURE tidak ada di DAFTAR_FIXTURE",IF(M39="","CEK ZONA NO kosong",IF(ISNA(MATCH(O39&amp;"|"&amp;M39,LAYOUT!$E$2:$E$80,0)),"CEK ZONA NO di luar layout",IF(N39&lt;&gt;INDEX(LAYOUT!$D$2:$D$80,MATCH(O39&amp;"|"&amp;M39,LAYOUT!$E$2:$E$80,0)),"CEK JENIS ZONA",IF($D39="","Zona STOCK",IF($E39="","CEK SKU DESCRIPTION kosong","OK"))))))))</f>
        <v/>
      </c>
      <c r="Q39" s="11" t="inlineStr">
        <is>
          <t>GND-02</t>
        </is>
      </c>
      <c r="R39" s="11" t="n">
        <v>2</v>
      </c>
      <c r="S39" s="11" t="inlineStr">
        <is>
          <t>Gantungan</t>
        </is>
      </c>
      <c r="T39" s="12">
        <f>IF(Q39="","",IFERROR(INDEX(DAFTAR_FIXTURE!$B$2:$B$51,MATCH(Q39,DAFTAR_FIXTURE!$A$2:$A$51,0)),""))</f>
        <v/>
      </c>
      <c r="U39" s="12">
        <f>IF(Q39="","",IF(T39="","CEK ID FIXTURE tidak ada di DAFTAR_FIXTURE",IF(R39="","CEK ZONA NO kosong",IF(ISNA(MATCH(T39&amp;"|"&amp;R39,LAYOUT!$E$2:$E$80,0)),"CEK ZONA NO di luar layout",IF(S39&lt;&gt;INDEX(LAYOUT!$D$2:$D$80,MATCH(T39&amp;"|"&amp;R39,LAYOUT!$E$2:$E$80,0)),"CEK JENIS ZONA",IF($D39="","Zona STOCK",IF($E39="","CEK SKU DESCRIPTION kosong","OK")))))))</f>
        <v/>
      </c>
      <c r="V39" s="11" t="inlineStr">
        <is>
          <t>GND-02</t>
        </is>
      </c>
      <c r="W39" s="11" t="n">
        <v>3</v>
      </c>
      <c r="X39" s="11" t="inlineStr">
        <is>
          <t>Gantungan</t>
        </is>
      </c>
      <c r="Y39" s="12">
        <f>IF(V39="","",IFERROR(INDEX(DAFTAR_FIXTURE!$B$2:$B$51,MATCH(V39,DAFTAR_FIXTURE!$A$2:$A$51,0)),""))</f>
        <v/>
      </c>
      <c r="Z39" s="12">
        <f>IF(V39="","",IF(Y39="","CEK ID FIXTURE tidak ada di DAFTAR_FIXTURE",IF(W39="","CEK ZONA NO kosong",IF(ISNA(MATCH(Y39&amp;"|"&amp;W39,LAYOUT!$E$2:$E$80,0)),"CEK ZONA NO di luar layout",IF(X39&lt;&gt;INDEX(LAYOUT!$D$2:$D$80,MATCH(Y39&amp;"|"&amp;W39,LAYOUT!$E$2:$E$80,0)),"CEK JENIS ZONA",IF($D39="","Zona STOCK",IF($E39="","CEK SKU DESCRIPTION kosong","OK")))))))</f>
        <v/>
      </c>
    </row>
    <row r="40">
      <c r="A40" s="10" t="inlineStr">
        <is>
          <t>Homeware</t>
        </is>
      </c>
      <c r="B40" s="10" t="inlineStr">
        <is>
          <t>Kitchenware</t>
        </is>
      </c>
      <c r="C40" s="10" t="inlineStr">
        <is>
          <t>Kitchen Tools</t>
        </is>
      </c>
      <c r="D40" s="10" t="inlineStr">
        <is>
          <t>10198160</t>
        </is>
      </c>
      <c r="E40" s="10" t="inlineStr">
        <is>
          <t>TANTA NYLON WHISK</t>
        </is>
      </c>
      <c r="F40" s="10" t="n"/>
      <c r="G40" s="10" t="inlineStr">
        <is>
          <t>ALAT MASAK</t>
        </is>
      </c>
      <c r="H40" s="10" t="inlineStr">
        <is>
          <t>C1. KITCHEN TOOLS</t>
        </is>
      </c>
      <c r="I40" s="10" t="inlineStr">
        <is>
          <t>TANTA NYLON</t>
        </is>
      </c>
      <c r="J40" s="10" t="n"/>
      <c r="K40" s="10" t="n"/>
      <c r="L40" s="11" t="inlineStr">
        <is>
          <t>GND-02</t>
        </is>
      </c>
      <c r="M40" s="11" t="n">
        <v>4</v>
      </c>
      <c r="N40" s="11" t="inlineStr">
        <is>
          <t>Gantungan</t>
        </is>
      </c>
      <c r="O40" s="12">
        <f>IF(L40="","",IFERROR(INDEX(DAFTAR_FIXTURE!$B$2:$B$51,MATCH(L40,DAFTAR_FIXTURE!$A$2:$A$51,0)),""))</f>
        <v/>
      </c>
      <c r="P40" s="12">
        <f>IF(AND($D40="",L40=""),"",IF(L40="",IF(AND(Q40="",V40=""),"Belum ditempatkan",""),IF(O40="","CEK ID FIXTURE tidak ada di DAFTAR_FIXTURE",IF(M40="","CEK ZONA NO kosong",IF(ISNA(MATCH(O40&amp;"|"&amp;M40,LAYOUT!$E$2:$E$80,0)),"CEK ZONA NO di luar layout",IF(N40&lt;&gt;INDEX(LAYOUT!$D$2:$D$80,MATCH(O40&amp;"|"&amp;M40,LAYOUT!$E$2:$E$80,0)),"CEK JENIS ZONA",IF($D40="","Zona STOCK",IF($E40="","CEK SKU DESCRIPTION kosong","OK"))))))))</f>
        <v/>
      </c>
      <c r="Q40" s="11" t="inlineStr">
        <is>
          <t>GND-02</t>
        </is>
      </c>
      <c r="R40" s="11" t="n">
        <v>2</v>
      </c>
      <c r="S40" s="11" t="inlineStr">
        <is>
          <t>Gantungan</t>
        </is>
      </c>
      <c r="T40" s="12">
        <f>IF(Q40="","",IFERROR(INDEX(DAFTAR_FIXTURE!$B$2:$B$51,MATCH(Q40,DAFTAR_FIXTURE!$A$2:$A$51,0)),""))</f>
        <v/>
      </c>
      <c r="U40" s="12">
        <f>IF(Q40="","",IF(T40="","CEK ID FIXTURE tidak ada di DAFTAR_FIXTURE",IF(R40="","CEK ZONA NO kosong",IF(ISNA(MATCH(T40&amp;"|"&amp;R40,LAYOUT!$E$2:$E$80,0)),"CEK ZONA NO di luar layout",IF(S40&lt;&gt;INDEX(LAYOUT!$D$2:$D$80,MATCH(T40&amp;"|"&amp;R40,LAYOUT!$E$2:$E$80,0)),"CEK JENIS ZONA",IF($D40="","Zona STOCK",IF($E40="","CEK SKU DESCRIPTION kosong","OK")))))))</f>
        <v/>
      </c>
      <c r="V40" s="11" t="inlineStr">
        <is>
          <t>GND-02</t>
        </is>
      </c>
      <c r="W40" s="11" t="n">
        <v>3</v>
      </c>
      <c r="X40" s="11" t="inlineStr">
        <is>
          <t>Gantungan</t>
        </is>
      </c>
      <c r="Y40" s="12">
        <f>IF(V40="","",IFERROR(INDEX(DAFTAR_FIXTURE!$B$2:$B$51,MATCH(V40,DAFTAR_FIXTURE!$A$2:$A$51,0)),""))</f>
        <v/>
      </c>
      <c r="Z40" s="12">
        <f>IF(V40="","",IF(Y40="","CEK ID FIXTURE tidak ada di DAFTAR_FIXTURE",IF(W40="","CEK ZONA NO kosong",IF(ISNA(MATCH(Y40&amp;"|"&amp;W40,LAYOUT!$E$2:$E$80,0)),"CEK ZONA NO di luar layout",IF(X40&lt;&gt;INDEX(LAYOUT!$D$2:$D$80,MATCH(Y40&amp;"|"&amp;W40,LAYOUT!$E$2:$E$80,0)),"CEK JENIS ZONA",IF($D40="","Zona STOCK",IF($E40="","CEK SKU DESCRIPTION kosong","OK")))))))</f>
        <v/>
      </c>
    </row>
    <row r="41">
      <c r="A41" s="10" t="inlineStr">
        <is>
          <t>Homeware</t>
        </is>
      </c>
      <c r="B41" s="10" t="inlineStr">
        <is>
          <t>Kitchenware</t>
        </is>
      </c>
      <c r="C41" s="10" t="inlineStr">
        <is>
          <t>Kitchen Tools</t>
        </is>
      </c>
      <c r="D41" s="10" t="inlineStr">
        <is>
          <t>10198149</t>
        </is>
      </c>
      <c r="E41" s="10" t="inlineStr">
        <is>
          <t>TANTA STRAINER DIA 10CM</t>
        </is>
      </c>
      <c r="F41" s="10" t="n"/>
      <c r="G41" s="10" t="inlineStr">
        <is>
          <t>ALAT MASAK</t>
        </is>
      </c>
      <c r="H41" s="10" t="inlineStr">
        <is>
          <t>C1. KITCHEN TOOLS</t>
        </is>
      </c>
      <c r="I41" s="10" t="inlineStr">
        <is>
          <t>TANTA S/S</t>
        </is>
      </c>
      <c r="J41" s="10" t="n"/>
      <c r="K41" s="10" t="n"/>
      <c r="L41" s="11" t="inlineStr">
        <is>
          <t>GND-02</t>
        </is>
      </c>
      <c r="M41" s="11" t="n">
        <v>4</v>
      </c>
      <c r="N41" s="11" t="inlineStr">
        <is>
          <t>Gantungan</t>
        </is>
      </c>
      <c r="O41" s="12">
        <f>IF(L41="","",IFERROR(INDEX(DAFTAR_FIXTURE!$B$2:$B$51,MATCH(L41,DAFTAR_FIXTURE!$A$2:$A$51,0)),""))</f>
        <v/>
      </c>
      <c r="P41" s="12">
        <f>IF(AND($D41="",L41=""),"",IF(L41="",IF(AND(Q41="",V41=""),"Belum ditempatkan",""),IF(O41="","CEK ID FIXTURE tidak ada di DAFTAR_FIXTURE",IF(M41="","CEK ZONA NO kosong",IF(ISNA(MATCH(O41&amp;"|"&amp;M41,LAYOUT!$E$2:$E$80,0)),"CEK ZONA NO di luar layout",IF(N41&lt;&gt;INDEX(LAYOUT!$D$2:$D$80,MATCH(O41&amp;"|"&amp;M41,LAYOUT!$E$2:$E$80,0)),"CEK JENIS ZONA",IF($D41="","Zona STOCK",IF($E41="","CEK SKU DESCRIPTION kosong","OK"))))))))</f>
        <v/>
      </c>
      <c r="Q41" s="11" t="n"/>
      <c r="R41" s="11" t="n"/>
      <c r="S41" s="11" t="n"/>
      <c r="T41" s="12">
        <f>IF(Q41="","",IFERROR(INDEX(DAFTAR_FIXTURE!$B$2:$B$51,MATCH(Q41,DAFTAR_FIXTURE!$A$2:$A$51,0)),""))</f>
        <v/>
      </c>
      <c r="U41" s="12">
        <f>IF(Q41="","",IF(T41="","CEK ID FIXTURE tidak ada di DAFTAR_FIXTURE",IF(R41="","CEK ZONA NO kosong",IF(ISNA(MATCH(T41&amp;"|"&amp;R41,LAYOUT!$E$2:$E$80,0)),"CEK ZONA NO di luar layout",IF(S41&lt;&gt;INDEX(LAYOUT!$D$2:$D$80,MATCH(T41&amp;"|"&amp;R41,LAYOUT!$E$2:$E$80,0)),"CEK JENIS ZONA",IF($D41="","Zona STOCK",IF($E41="","CEK SKU DESCRIPTION kosong","OK")))))))</f>
        <v/>
      </c>
      <c r="V41" s="11" t="n"/>
      <c r="W41" s="11" t="n"/>
      <c r="X41" s="11" t="n"/>
      <c r="Y41" s="12">
        <f>IF(V41="","",IFERROR(INDEX(DAFTAR_FIXTURE!$B$2:$B$51,MATCH(V41,DAFTAR_FIXTURE!$A$2:$A$51,0)),""))</f>
        <v/>
      </c>
      <c r="Z41" s="12">
        <f>IF(V41="","",IF(Y41="","CEK ID FIXTURE tidak ada di DAFTAR_FIXTURE",IF(W41="","CEK ZONA NO kosong",IF(ISNA(MATCH(Y41&amp;"|"&amp;W41,LAYOUT!$E$2:$E$80,0)),"CEK ZONA NO di luar layout",IF(X41&lt;&gt;INDEX(LAYOUT!$D$2:$D$80,MATCH(Y41&amp;"|"&amp;W41,LAYOUT!$E$2:$E$80,0)),"CEK JENIS ZONA",IF($D41="","Zona STOCK",IF($E41="","CEK SKU DESCRIPTION kosong","OK")))))))</f>
        <v/>
      </c>
    </row>
    <row r="42">
      <c r="A42" s="10" t="inlineStr">
        <is>
          <t>Homeware</t>
        </is>
      </c>
      <c r="B42" s="10" t="inlineStr">
        <is>
          <t>Kitchenware</t>
        </is>
      </c>
      <c r="C42" s="10" t="inlineStr">
        <is>
          <t>Kitchen Tools</t>
        </is>
      </c>
      <c r="D42" s="10" t="inlineStr">
        <is>
          <t>10198150</t>
        </is>
      </c>
      <c r="E42" s="10" t="inlineStr">
        <is>
          <t>TANTA NYLON TONGS 9 INCH</t>
        </is>
      </c>
      <c r="F42" s="10" t="n"/>
      <c r="G42" s="10" t="inlineStr">
        <is>
          <t>ALAT MASAK</t>
        </is>
      </c>
      <c r="H42" s="10" t="inlineStr">
        <is>
          <t>C1. KITCHEN TOOLS</t>
        </is>
      </c>
      <c r="I42" s="10" t="inlineStr">
        <is>
          <t>TANTA NYLON</t>
        </is>
      </c>
      <c r="J42" s="10" t="n"/>
      <c r="K42" s="10" t="n"/>
      <c r="L42" s="11" t="inlineStr">
        <is>
          <t>GND-02</t>
        </is>
      </c>
      <c r="M42" s="11" t="n">
        <v>4</v>
      </c>
      <c r="N42" s="11" t="inlineStr">
        <is>
          <t>Gantungan</t>
        </is>
      </c>
      <c r="O42" s="12">
        <f>IF(L42="","",IFERROR(INDEX(DAFTAR_FIXTURE!$B$2:$B$51,MATCH(L42,DAFTAR_FIXTURE!$A$2:$A$51,0)),""))</f>
        <v/>
      </c>
      <c r="P42" s="12">
        <f>IF(AND($D42="",L42=""),"",IF(L42="",IF(AND(Q42="",V42=""),"Belum ditempatkan",""),IF(O42="","CEK ID FIXTURE tidak ada di DAFTAR_FIXTURE",IF(M42="","CEK ZONA NO kosong",IF(ISNA(MATCH(O42&amp;"|"&amp;M42,LAYOUT!$E$2:$E$80,0)),"CEK ZONA NO di luar layout",IF(N42&lt;&gt;INDEX(LAYOUT!$D$2:$D$80,MATCH(O42&amp;"|"&amp;M42,LAYOUT!$E$2:$E$80,0)),"CEK JENIS ZONA",IF($D42="","Zona STOCK",IF($E42="","CEK SKU DESCRIPTION kosong","OK"))))))))</f>
        <v/>
      </c>
      <c r="Q42" s="11" t="inlineStr">
        <is>
          <t>WLL-03</t>
        </is>
      </c>
      <c r="R42" s="11" t="n">
        <v>3</v>
      </c>
      <c r="S42" s="11" t="inlineStr">
        <is>
          <t>Rak</t>
        </is>
      </c>
      <c r="T42" s="12">
        <f>IF(Q42="","",IFERROR(INDEX(DAFTAR_FIXTURE!$B$2:$B$51,MATCH(Q42,DAFTAR_FIXTURE!$A$2:$A$51,0)),""))</f>
        <v/>
      </c>
      <c r="U42" s="12">
        <f>IF(Q42="","",IF(T42="","CEK ID FIXTURE tidak ada di DAFTAR_FIXTURE",IF(R42="","CEK ZONA NO kosong",IF(ISNA(MATCH(T42&amp;"|"&amp;R42,LAYOUT!$E$2:$E$80,0)),"CEK ZONA NO di luar layout",IF(S42&lt;&gt;INDEX(LAYOUT!$D$2:$D$80,MATCH(T42&amp;"|"&amp;R42,LAYOUT!$E$2:$E$80,0)),"CEK JENIS ZONA",IF($D42="","Zona STOCK",IF($E42="","CEK SKU DESCRIPTION kosong","OK")))))))</f>
        <v/>
      </c>
      <c r="V42" s="11" t="n"/>
      <c r="W42" s="11" t="n"/>
      <c r="X42" s="11" t="n"/>
      <c r="Y42" s="12">
        <f>IF(V42="","",IFERROR(INDEX(DAFTAR_FIXTURE!$B$2:$B$51,MATCH(V42,DAFTAR_FIXTURE!$A$2:$A$51,0)),""))</f>
        <v/>
      </c>
      <c r="Z42" s="12">
        <f>IF(V42="","",IF(Y42="","CEK ID FIXTURE tidak ada di DAFTAR_FIXTURE",IF(W42="","CEK ZONA NO kosong",IF(ISNA(MATCH(Y42&amp;"|"&amp;W42,LAYOUT!$E$2:$E$80,0)),"CEK ZONA NO di luar layout",IF(X42&lt;&gt;INDEX(LAYOUT!$D$2:$D$80,MATCH(Y42&amp;"|"&amp;W42,LAYOUT!$E$2:$E$80,0)),"CEK JENIS ZONA",IF($D42="","Zona STOCK",IF($E42="","CEK SKU DESCRIPTION kosong","OK")))))))</f>
        <v/>
      </c>
    </row>
    <row r="43">
      <c r="A43" s="10" t="inlineStr">
        <is>
          <t>Homeware</t>
        </is>
      </c>
      <c r="B43" s="10" t="inlineStr">
        <is>
          <t>Kitchenware</t>
        </is>
      </c>
      <c r="C43" s="10" t="inlineStr">
        <is>
          <t>Kitchen Tools</t>
        </is>
      </c>
      <c r="D43" s="10" t="inlineStr">
        <is>
          <t>10198151</t>
        </is>
      </c>
      <c r="E43" s="10" t="inlineStr">
        <is>
          <t>TANTA NYLON TONGS 12 INCH</t>
        </is>
      </c>
      <c r="F43" s="10" t="n"/>
      <c r="G43" s="10" t="inlineStr">
        <is>
          <t>ALAT MASAK</t>
        </is>
      </c>
      <c r="H43" s="10" t="inlineStr">
        <is>
          <t>C1. KITCHEN TOOLS</t>
        </is>
      </c>
      <c r="I43" s="10" t="inlineStr">
        <is>
          <t>TANTA NYLON</t>
        </is>
      </c>
      <c r="J43" s="10" t="n"/>
      <c r="K43" s="10" t="n"/>
      <c r="L43" s="11" t="inlineStr">
        <is>
          <t>GND-02</t>
        </is>
      </c>
      <c r="M43" s="11" t="n">
        <v>4</v>
      </c>
      <c r="N43" s="11" t="inlineStr">
        <is>
          <t>Gantungan</t>
        </is>
      </c>
      <c r="O43" s="12">
        <f>IF(L43="","",IFERROR(INDEX(DAFTAR_FIXTURE!$B$2:$B$51,MATCH(L43,DAFTAR_FIXTURE!$A$2:$A$51,0)),""))</f>
        <v/>
      </c>
      <c r="P43" s="12">
        <f>IF(AND($D43="",L43=""),"",IF(L43="",IF(AND(Q43="",V43=""),"Belum ditempatkan",""),IF(O43="","CEK ID FIXTURE tidak ada di DAFTAR_FIXTURE",IF(M43="","CEK ZONA NO kosong",IF(ISNA(MATCH(O43&amp;"|"&amp;M43,LAYOUT!$E$2:$E$80,0)),"CEK ZONA NO di luar layout",IF(N43&lt;&gt;INDEX(LAYOUT!$D$2:$D$80,MATCH(O43&amp;"|"&amp;M43,LAYOUT!$E$2:$E$80,0)),"CEK JENIS ZONA",IF($D43="","Zona STOCK",IF($E43="","CEK SKU DESCRIPTION kosong","OK"))))))))</f>
        <v/>
      </c>
      <c r="Q43" s="11" t="inlineStr">
        <is>
          <t>WLL-03</t>
        </is>
      </c>
      <c r="R43" s="11" t="n">
        <v>3</v>
      </c>
      <c r="S43" s="11" t="inlineStr">
        <is>
          <t>Rak</t>
        </is>
      </c>
      <c r="T43" s="12">
        <f>IF(Q43="","",IFERROR(INDEX(DAFTAR_FIXTURE!$B$2:$B$51,MATCH(Q43,DAFTAR_FIXTURE!$A$2:$A$51,0)),""))</f>
        <v/>
      </c>
      <c r="U43" s="12">
        <f>IF(Q43="","",IF(T43="","CEK ID FIXTURE tidak ada di DAFTAR_FIXTURE",IF(R43="","CEK ZONA NO kosong",IF(ISNA(MATCH(T43&amp;"|"&amp;R43,LAYOUT!$E$2:$E$80,0)),"CEK ZONA NO di luar layout",IF(S43&lt;&gt;INDEX(LAYOUT!$D$2:$D$80,MATCH(T43&amp;"|"&amp;R43,LAYOUT!$E$2:$E$80,0)),"CEK JENIS ZONA",IF($D43="","Zona STOCK",IF($E43="","CEK SKU DESCRIPTION kosong","OK")))))))</f>
        <v/>
      </c>
      <c r="V43" s="11" t="n"/>
      <c r="W43" s="11" t="n"/>
      <c r="X43" s="11" t="n"/>
      <c r="Y43" s="12">
        <f>IF(V43="","",IFERROR(INDEX(DAFTAR_FIXTURE!$B$2:$B$51,MATCH(V43,DAFTAR_FIXTURE!$A$2:$A$51,0)),""))</f>
        <v/>
      </c>
      <c r="Z43" s="12">
        <f>IF(V43="","",IF(Y43="","CEK ID FIXTURE tidak ada di DAFTAR_FIXTURE",IF(W43="","CEK ZONA NO kosong",IF(ISNA(MATCH(Y43&amp;"|"&amp;W43,LAYOUT!$E$2:$E$80,0)),"CEK ZONA NO di luar layout",IF(X43&lt;&gt;INDEX(LAYOUT!$D$2:$D$80,MATCH(Y43&amp;"|"&amp;W43,LAYOUT!$E$2:$E$80,0)),"CEK JENIS ZONA",IF($D43="","Zona STOCK",IF($E43="","CEK SKU DESCRIPTION kosong","OK")))))))</f>
        <v/>
      </c>
    </row>
    <row r="44">
      <c r="A44" s="10" t="inlineStr">
        <is>
          <t>Homeware</t>
        </is>
      </c>
      <c r="B44" s="10" t="inlineStr">
        <is>
          <t>Kitchenware</t>
        </is>
      </c>
      <c r="C44" s="10" t="inlineStr">
        <is>
          <t>Kitchen Tools</t>
        </is>
      </c>
      <c r="D44" s="10" t="inlineStr">
        <is>
          <t>10198152</t>
        </is>
      </c>
      <c r="E44" s="10" t="inlineStr">
        <is>
          <t>TANTA S/S SOLID TURNER M</t>
        </is>
      </c>
      <c r="F44" s="10" t="n"/>
      <c r="G44" s="10" t="inlineStr">
        <is>
          <t>ALAT MASAK</t>
        </is>
      </c>
      <c r="H44" s="10" t="inlineStr">
        <is>
          <t>C1. KITCHEN TOOLS</t>
        </is>
      </c>
      <c r="I44" s="10" t="inlineStr">
        <is>
          <t>TANTA S/S</t>
        </is>
      </c>
      <c r="J44" s="10" t="n"/>
      <c r="K44" s="10" t="n"/>
      <c r="L44" s="11" t="inlineStr">
        <is>
          <t>GND-02</t>
        </is>
      </c>
      <c r="M44" s="11" t="n">
        <v>4</v>
      </c>
      <c r="N44" s="11" t="inlineStr">
        <is>
          <t>Gantungan</t>
        </is>
      </c>
      <c r="O44" s="12">
        <f>IF(L44="","",IFERROR(INDEX(DAFTAR_FIXTURE!$B$2:$B$51,MATCH(L44,DAFTAR_FIXTURE!$A$2:$A$51,0)),""))</f>
        <v/>
      </c>
      <c r="P44" s="12">
        <f>IF(AND($D44="",L44=""),"",IF(L44="",IF(AND(Q44="",V44=""),"Belum ditempatkan",""),IF(O44="","CEK ID FIXTURE tidak ada di DAFTAR_FIXTURE",IF(M44="","CEK ZONA NO kosong",IF(ISNA(MATCH(O44&amp;"|"&amp;M44,LAYOUT!$E$2:$E$80,0)),"CEK ZONA NO di luar layout",IF(N44&lt;&gt;INDEX(LAYOUT!$D$2:$D$80,MATCH(O44&amp;"|"&amp;M44,LAYOUT!$E$2:$E$80,0)),"CEK JENIS ZONA",IF($D44="","Zona STOCK",IF($E44="","CEK SKU DESCRIPTION kosong","OK"))))))))</f>
        <v/>
      </c>
      <c r="Q44" s="11" t="inlineStr">
        <is>
          <t>WLL-03</t>
        </is>
      </c>
      <c r="R44" s="11" t="n">
        <v>3</v>
      </c>
      <c r="S44" s="11" t="inlineStr">
        <is>
          <t>Rak</t>
        </is>
      </c>
      <c r="T44" s="12">
        <f>IF(Q44="","",IFERROR(INDEX(DAFTAR_FIXTURE!$B$2:$B$51,MATCH(Q44,DAFTAR_FIXTURE!$A$2:$A$51,0)),""))</f>
        <v/>
      </c>
      <c r="U44" s="12">
        <f>IF(Q44="","",IF(T44="","CEK ID FIXTURE tidak ada di DAFTAR_FIXTURE",IF(R44="","CEK ZONA NO kosong",IF(ISNA(MATCH(T44&amp;"|"&amp;R44,LAYOUT!$E$2:$E$80,0)),"CEK ZONA NO di luar layout",IF(S44&lt;&gt;INDEX(LAYOUT!$D$2:$D$80,MATCH(T44&amp;"|"&amp;R44,LAYOUT!$E$2:$E$80,0)),"CEK JENIS ZONA",IF($D44="","Zona STOCK",IF($E44="","CEK SKU DESCRIPTION kosong","OK")))))))</f>
        <v/>
      </c>
      <c r="V44" s="11" t="n"/>
      <c r="W44" s="11" t="n"/>
      <c r="X44" s="11" t="n"/>
      <c r="Y44" s="12">
        <f>IF(V44="","",IFERROR(INDEX(DAFTAR_FIXTURE!$B$2:$B$51,MATCH(V44,DAFTAR_FIXTURE!$A$2:$A$51,0)),""))</f>
        <v/>
      </c>
      <c r="Z44" s="12">
        <f>IF(V44="","",IF(Y44="","CEK ID FIXTURE tidak ada di DAFTAR_FIXTURE",IF(W44="","CEK ZONA NO kosong",IF(ISNA(MATCH(Y44&amp;"|"&amp;W44,LAYOUT!$E$2:$E$80,0)),"CEK ZONA NO di luar layout",IF(X44&lt;&gt;INDEX(LAYOUT!$D$2:$D$80,MATCH(Y44&amp;"|"&amp;W44,LAYOUT!$E$2:$E$80,0)),"CEK JENIS ZONA",IF($D44="","Zona STOCK",IF($E44="","CEK SKU DESCRIPTION kosong","OK")))))))</f>
        <v/>
      </c>
    </row>
    <row r="45">
      <c r="A45" s="10" t="inlineStr">
        <is>
          <t>Homeware</t>
        </is>
      </c>
      <c r="B45" s="10" t="inlineStr">
        <is>
          <t>Kitchenware</t>
        </is>
      </c>
      <c r="C45" s="10" t="inlineStr">
        <is>
          <t>Kitchen Tools</t>
        </is>
      </c>
      <c r="D45" s="10" t="inlineStr">
        <is>
          <t>10198154</t>
        </is>
      </c>
      <c r="E45" s="10" t="inlineStr">
        <is>
          <t>TANTA S/S LADLE</t>
        </is>
      </c>
      <c r="F45" s="10" t="n"/>
      <c r="G45" s="10" t="inlineStr">
        <is>
          <t>ALAT MASAK</t>
        </is>
      </c>
      <c r="H45" s="10" t="inlineStr">
        <is>
          <t>C1. KITCHEN TOOLS</t>
        </is>
      </c>
      <c r="I45" s="10" t="inlineStr">
        <is>
          <t>TANTA S/S</t>
        </is>
      </c>
      <c r="J45" s="10" t="n"/>
      <c r="K45" s="10" t="n"/>
      <c r="L45" s="11" t="inlineStr">
        <is>
          <t>GND-02</t>
        </is>
      </c>
      <c r="M45" s="11" t="n">
        <v>4</v>
      </c>
      <c r="N45" s="11" t="inlineStr">
        <is>
          <t>Gantungan</t>
        </is>
      </c>
      <c r="O45" s="12">
        <f>IF(L45="","",IFERROR(INDEX(DAFTAR_FIXTURE!$B$2:$B$51,MATCH(L45,DAFTAR_FIXTURE!$A$2:$A$51,0)),""))</f>
        <v/>
      </c>
      <c r="P45" s="12">
        <f>IF(AND($D45="",L45=""),"",IF(L45="",IF(AND(Q45="",V45=""),"Belum ditempatkan",""),IF(O45="","CEK ID FIXTURE tidak ada di DAFTAR_FIXTURE",IF(M45="","CEK ZONA NO kosong",IF(ISNA(MATCH(O45&amp;"|"&amp;M45,LAYOUT!$E$2:$E$80,0)),"CEK ZONA NO di luar layout",IF(N45&lt;&gt;INDEX(LAYOUT!$D$2:$D$80,MATCH(O45&amp;"|"&amp;M45,LAYOUT!$E$2:$E$80,0)),"CEK JENIS ZONA",IF($D45="","Zona STOCK",IF($E45="","CEK SKU DESCRIPTION kosong","OK"))))))))</f>
        <v/>
      </c>
      <c r="Q45" s="11" t="n"/>
      <c r="R45" s="11" t="n"/>
      <c r="S45" s="11" t="n"/>
      <c r="T45" s="12">
        <f>IF(Q45="","",IFERROR(INDEX(DAFTAR_FIXTURE!$B$2:$B$51,MATCH(Q45,DAFTAR_FIXTURE!$A$2:$A$51,0)),""))</f>
        <v/>
      </c>
      <c r="U45" s="12">
        <f>IF(Q45="","",IF(T45="","CEK ID FIXTURE tidak ada di DAFTAR_FIXTURE",IF(R45="","CEK ZONA NO kosong",IF(ISNA(MATCH(T45&amp;"|"&amp;R45,LAYOUT!$E$2:$E$80,0)),"CEK ZONA NO di luar layout",IF(S45&lt;&gt;INDEX(LAYOUT!$D$2:$D$80,MATCH(T45&amp;"|"&amp;R45,LAYOUT!$E$2:$E$80,0)),"CEK JENIS ZONA",IF($D45="","Zona STOCK",IF($E45="","CEK SKU DESCRIPTION kosong","OK")))))))</f>
        <v/>
      </c>
      <c r="V45" s="11" t="n"/>
      <c r="W45" s="11" t="n"/>
      <c r="X45" s="11" t="n"/>
      <c r="Y45" s="12">
        <f>IF(V45="","",IFERROR(INDEX(DAFTAR_FIXTURE!$B$2:$B$51,MATCH(V45,DAFTAR_FIXTURE!$A$2:$A$51,0)),""))</f>
        <v/>
      </c>
      <c r="Z45" s="12">
        <f>IF(V45="","",IF(Y45="","CEK ID FIXTURE tidak ada di DAFTAR_FIXTURE",IF(W45="","CEK ZONA NO kosong",IF(ISNA(MATCH(Y45&amp;"|"&amp;W45,LAYOUT!$E$2:$E$80,0)),"CEK ZONA NO di luar layout",IF(X45&lt;&gt;INDEX(LAYOUT!$D$2:$D$80,MATCH(Y45&amp;"|"&amp;W45,LAYOUT!$E$2:$E$80,0)),"CEK JENIS ZONA",IF($D45="","Zona STOCK",IF($E45="","CEK SKU DESCRIPTION kosong","OK")))))))</f>
        <v/>
      </c>
    </row>
    <row r="46">
      <c r="A46" s="10" t="inlineStr">
        <is>
          <t>Homeware</t>
        </is>
      </c>
      <c r="B46" s="10" t="inlineStr">
        <is>
          <t>Kitchenware</t>
        </is>
      </c>
      <c r="C46" s="10" t="inlineStr">
        <is>
          <t>Kitchen Tools</t>
        </is>
      </c>
      <c r="D46" s="10" t="inlineStr">
        <is>
          <t>10198156</t>
        </is>
      </c>
      <c r="E46" s="10" t="inlineStr">
        <is>
          <t>TANTA NYLON SLOTTED TURNER M</t>
        </is>
      </c>
      <c r="F46" s="10" t="n"/>
      <c r="G46" s="10" t="inlineStr">
        <is>
          <t>ALAT MASAK</t>
        </is>
      </c>
      <c r="H46" s="10" t="inlineStr">
        <is>
          <t>C1. KITCHEN TOOLS</t>
        </is>
      </c>
      <c r="I46" s="10" t="inlineStr">
        <is>
          <t>TANTA NYLON</t>
        </is>
      </c>
      <c r="J46" s="10" t="n"/>
      <c r="K46" s="10" t="n"/>
      <c r="L46" s="11" t="inlineStr">
        <is>
          <t>GND-02</t>
        </is>
      </c>
      <c r="M46" s="11" t="n">
        <v>4</v>
      </c>
      <c r="N46" s="11" t="inlineStr">
        <is>
          <t>Gantungan</t>
        </is>
      </c>
      <c r="O46" s="12">
        <f>IF(L46="","",IFERROR(INDEX(DAFTAR_FIXTURE!$B$2:$B$51,MATCH(L46,DAFTAR_FIXTURE!$A$2:$A$51,0)),""))</f>
        <v/>
      </c>
      <c r="P46" s="12">
        <f>IF(AND($D46="",L46=""),"",IF(L46="",IF(AND(Q46="",V46=""),"Belum ditempatkan",""),IF(O46="","CEK ID FIXTURE tidak ada di DAFTAR_FIXTURE",IF(M46="","CEK ZONA NO kosong",IF(ISNA(MATCH(O46&amp;"|"&amp;M46,LAYOUT!$E$2:$E$80,0)),"CEK ZONA NO di luar layout",IF(N46&lt;&gt;INDEX(LAYOUT!$D$2:$D$80,MATCH(O46&amp;"|"&amp;M46,LAYOUT!$E$2:$E$80,0)),"CEK JENIS ZONA",IF($D46="","Zona STOCK",IF($E46="","CEK SKU DESCRIPTION kosong","OK"))))))))</f>
        <v/>
      </c>
      <c r="Q46" s="11" t="n"/>
      <c r="R46" s="11" t="n"/>
      <c r="S46" s="11" t="n"/>
      <c r="T46" s="12">
        <f>IF(Q46="","",IFERROR(INDEX(DAFTAR_FIXTURE!$B$2:$B$51,MATCH(Q46,DAFTAR_FIXTURE!$A$2:$A$51,0)),""))</f>
        <v/>
      </c>
      <c r="U46" s="12">
        <f>IF(Q46="","",IF(T46="","CEK ID FIXTURE tidak ada di DAFTAR_FIXTURE",IF(R46="","CEK ZONA NO kosong",IF(ISNA(MATCH(T46&amp;"|"&amp;R46,LAYOUT!$E$2:$E$80,0)),"CEK ZONA NO di luar layout",IF(S46&lt;&gt;INDEX(LAYOUT!$D$2:$D$80,MATCH(T46&amp;"|"&amp;R46,LAYOUT!$E$2:$E$80,0)),"CEK JENIS ZONA",IF($D46="","Zona STOCK",IF($E46="","CEK SKU DESCRIPTION kosong","OK")))))))</f>
        <v/>
      </c>
      <c r="V46" s="11" t="n"/>
      <c r="W46" s="11" t="n"/>
      <c r="X46" s="11" t="n"/>
      <c r="Y46" s="12">
        <f>IF(V46="","",IFERROR(INDEX(DAFTAR_FIXTURE!$B$2:$B$51,MATCH(V46,DAFTAR_FIXTURE!$A$2:$A$51,0)),""))</f>
        <v/>
      </c>
      <c r="Z46" s="12">
        <f>IF(V46="","",IF(Y46="","CEK ID FIXTURE tidak ada di DAFTAR_FIXTURE",IF(W46="","CEK ZONA NO kosong",IF(ISNA(MATCH(Y46&amp;"|"&amp;W46,LAYOUT!$E$2:$E$80,0)),"CEK ZONA NO di luar layout",IF(X46&lt;&gt;INDEX(LAYOUT!$D$2:$D$80,MATCH(Y46&amp;"|"&amp;W46,LAYOUT!$E$2:$E$80,0)),"CEK JENIS ZONA",IF($D46="","Zona STOCK",IF($E46="","CEK SKU DESCRIPTION kosong","OK")))))))</f>
        <v/>
      </c>
    </row>
    <row r="47">
      <c r="A47" s="10" t="inlineStr">
        <is>
          <t>Homeware</t>
        </is>
      </c>
      <c r="B47" s="10" t="inlineStr">
        <is>
          <t>Kitchenware</t>
        </is>
      </c>
      <c r="C47" s="10" t="inlineStr">
        <is>
          <t>Kitchen Tools</t>
        </is>
      </c>
      <c r="D47" s="10" t="inlineStr">
        <is>
          <t>10198157</t>
        </is>
      </c>
      <c r="E47" s="10" t="inlineStr">
        <is>
          <t>TANTA NYLON SOLID TURNER L</t>
        </is>
      </c>
      <c r="F47" s="10" t="n"/>
      <c r="G47" s="10" t="inlineStr">
        <is>
          <t>ALAT MASAK</t>
        </is>
      </c>
      <c r="H47" s="10" t="inlineStr">
        <is>
          <t>C1. KITCHEN TOOLS</t>
        </is>
      </c>
      <c r="I47" s="10" t="inlineStr">
        <is>
          <t>TANTA NYLON</t>
        </is>
      </c>
      <c r="J47" s="10" t="n"/>
      <c r="K47" s="10" t="n"/>
      <c r="L47" s="11" t="inlineStr">
        <is>
          <t>GND-02</t>
        </is>
      </c>
      <c r="M47" s="11" t="n">
        <v>4</v>
      </c>
      <c r="N47" s="11" t="inlineStr">
        <is>
          <t>Gantungan</t>
        </is>
      </c>
      <c r="O47" s="12">
        <f>IF(L47="","",IFERROR(INDEX(DAFTAR_FIXTURE!$B$2:$B$51,MATCH(L47,DAFTAR_FIXTURE!$A$2:$A$51,0)),""))</f>
        <v/>
      </c>
      <c r="P47" s="12">
        <f>IF(AND($D47="",L47=""),"",IF(L47="",IF(AND(Q47="",V47=""),"Belum ditempatkan",""),IF(O47="","CEK ID FIXTURE tidak ada di DAFTAR_FIXTURE",IF(M47="","CEK ZONA NO kosong",IF(ISNA(MATCH(O47&amp;"|"&amp;M47,LAYOUT!$E$2:$E$80,0)),"CEK ZONA NO di luar layout",IF(N47&lt;&gt;INDEX(LAYOUT!$D$2:$D$80,MATCH(O47&amp;"|"&amp;M47,LAYOUT!$E$2:$E$80,0)),"CEK JENIS ZONA",IF($D47="","Zona STOCK",IF($E47="","CEK SKU DESCRIPTION kosong","OK"))))))))</f>
        <v/>
      </c>
      <c r="Q47" s="11" t="n"/>
      <c r="R47" s="11" t="n"/>
      <c r="S47" s="11" t="n"/>
      <c r="T47" s="12">
        <f>IF(Q47="","",IFERROR(INDEX(DAFTAR_FIXTURE!$B$2:$B$51,MATCH(Q47,DAFTAR_FIXTURE!$A$2:$A$51,0)),""))</f>
        <v/>
      </c>
      <c r="U47" s="12">
        <f>IF(Q47="","",IF(T47="","CEK ID FIXTURE tidak ada di DAFTAR_FIXTURE",IF(R47="","CEK ZONA NO kosong",IF(ISNA(MATCH(T47&amp;"|"&amp;R47,LAYOUT!$E$2:$E$80,0)),"CEK ZONA NO di luar layout",IF(S47&lt;&gt;INDEX(LAYOUT!$D$2:$D$80,MATCH(T47&amp;"|"&amp;R47,LAYOUT!$E$2:$E$80,0)),"CEK JENIS ZONA",IF($D47="","Zona STOCK",IF($E47="","CEK SKU DESCRIPTION kosong","OK")))))))</f>
        <v/>
      </c>
      <c r="V47" s="11" t="n"/>
      <c r="W47" s="11" t="n"/>
      <c r="X47" s="11" t="n"/>
      <c r="Y47" s="12">
        <f>IF(V47="","",IFERROR(INDEX(DAFTAR_FIXTURE!$B$2:$B$51,MATCH(V47,DAFTAR_FIXTURE!$A$2:$A$51,0)),""))</f>
        <v/>
      </c>
      <c r="Z47" s="12">
        <f>IF(V47="","",IF(Y47="","CEK ID FIXTURE tidak ada di DAFTAR_FIXTURE",IF(W47="","CEK ZONA NO kosong",IF(ISNA(MATCH(Y47&amp;"|"&amp;W47,LAYOUT!$E$2:$E$80,0)),"CEK ZONA NO di luar layout",IF(X47&lt;&gt;INDEX(LAYOUT!$D$2:$D$80,MATCH(Y47&amp;"|"&amp;W47,LAYOUT!$E$2:$E$80,0)),"CEK JENIS ZONA",IF($D47="","Zona STOCK",IF($E47="","CEK SKU DESCRIPTION kosong","OK")))))))</f>
        <v/>
      </c>
    </row>
    <row r="48">
      <c r="A48" s="10" t="inlineStr">
        <is>
          <t>Homeware</t>
        </is>
      </c>
      <c r="B48" s="10" t="inlineStr">
        <is>
          <t>Kitchenware</t>
        </is>
      </c>
      <c r="C48" s="10" t="inlineStr">
        <is>
          <t>Kitchen Tools</t>
        </is>
      </c>
      <c r="D48" s="10" t="inlineStr">
        <is>
          <t>10198159</t>
        </is>
      </c>
      <c r="E48" s="10" t="inlineStr">
        <is>
          <t>TANTA NYLON LADLE</t>
        </is>
      </c>
      <c r="F48" s="10" t="n"/>
      <c r="G48" s="10" t="inlineStr">
        <is>
          <t>ALAT MASAK</t>
        </is>
      </c>
      <c r="H48" s="10" t="inlineStr">
        <is>
          <t>C1. KITCHEN TOOLS</t>
        </is>
      </c>
      <c r="I48" s="10" t="inlineStr">
        <is>
          <t>TANTA NYLON</t>
        </is>
      </c>
      <c r="J48" s="10" t="n"/>
      <c r="K48" s="10" t="n"/>
      <c r="L48" s="11" t="inlineStr">
        <is>
          <t>GND-02</t>
        </is>
      </c>
      <c r="M48" s="11" t="n">
        <v>4</v>
      </c>
      <c r="N48" s="11" t="inlineStr">
        <is>
          <t>Gantungan</t>
        </is>
      </c>
      <c r="O48" s="12">
        <f>IF(L48="","",IFERROR(INDEX(DAFTAR_FIXTURE!$B$2:$B$51,MATCH(L48,DAFTAR_FIXTURE!$A$2:$A$51,0)),""))</f>
        <v/>
      </c>
      <c r="P48" s="12">
        <f>IF(AND($D48="",L48=""),"",IF(L48="",IF(AND(Q48="",V48=""),"Belum ditempatkan",""),IF(O48="","CEK ID FIXTURE tidak ada di DAFTAR_FIXTURE",IF(M48="","CEK ZONA NO kosong",IF(ISNA(MATCH(O48&amp;"|"&amp;M48,LAYOUT!$E$2:$E$80,0)),"CEK ZONA NO di luar layout",IF(N48&lt;&gt;INDEX(LAYOUT!$D$2:$D$80,MATCH(O48&amp;"|"&amp;M48,LAYOUT!$E$2:$E$80,0)),"CEK JENIS ZONA",IF($D48="","Zona STOCK",IF($E48="","CEK SKU DESCRIPTION kosong","OK"))))))))</f>
        <v/>
      </c>
      <c r="Q48" s="11" t="n"/>
      <c r="R48" s="11" t="n"/>
      <c r="S48" s="11" t="n"/>
      <c r="T48" s="12">
        <f>IF(Q48="","",IFERROR(INDEX(DAFTAR_FIXTURE!$B$2:$B$51,MATCH(Q48,DAFTAR_FIXTURE!$A$2:$A$51,0)),""))</f>
        <v/>
      </c>
      <c r="U48" s="12">
        <f>IF(Q48="","",IF(T48="","CEK ID FIXTURE tidak ada di DAFTAR_FIXTURE",IF(R48="","CEK ZONA NO kosong",IF(ISNA(MATCH(T48&amp;"|"&amp;R48,LAYOUT!$E$2:$E$80,0)),"CEK ZONA NO di luar layout",IF(S48&lt;&gt;INDEX(LAYOUT!$D$2:$D$80,MATCH(T48&amp;"|"&amp;R48,LAYOUT!$E$2:$E$80,0)),"CEK JENIS ZONA",IF($D48="","Zona STOCK",IF($E48="","CEK SKU DESCRIPTION kosong","OK")))))))</f>
        <v/>
      </c>
      <c r="V48" s="11" t="n"/>
      <c r="W48" s="11" t="n"/>
      <c r="X48" s="11" t="n"/>
      <c r="Y48" s="12">
        <f>IF(V48="","",IFERROR(INDEX(DAFTAR_FIXTURE!$B$2:$B$51,MATCH(V48,DAFTAR_FIXTURE!$A$2:$A$51,0)),""))</f>
        <v/>
      </c>
      <c r="Z48" s="12">
        <f>IF(V48="","",IF(Y48="","CEK ID FIXTURE tidak ada di DAFTAR_FIXTURE",IF(W48="","CEK ZONA NO kosong",IF(ISNA(MATCH(Y48&amp;"|"&amp;W48,LAYOUT!$E$2:$E$80,0)),"CEK ZONA NO di luar layout",IF(X48&lt;&gt;INDEX(LAYOUT!$D$2:$D$80,MATCH(Y48&amp;"|"&amp;W48,LAYOUT!$E$2:$E$80,0)),"CEK JENIS ZONA",IF($D48="","Zona STOCK",IF($E48="","CEK SKU DESCRIPTION kosong","OK")))))))</f>
        <v/>
      </c>
    </row>
    <row r="49">
      <c r="A49" s="10" t="inlineStr">
        <is>
          <t>Homeware</t>
        </is>
      </c>
      <c r="B49" s="10" t="inlineStr">
        <is>
          <t>Kitchenware</t>
        </is>
      </c>
      <c r="C49" s="10" t="inlineStr">
        <is>
          <t>Kitchen Tools</t>
        </is>
      </c>
      <c r="D49" s="10" t="inlineStr">
        <is>
          <t>10198160</t>
        </is>
      </c>
      <c r="E49" s="10" t="inlineStr">
        <is>
          <t>TANTA NYLON WHISK</t>
        </is>
      </c>
      <c r="F49" s="10" t="n"/>
      <c r="G49" s="10" t="inlineStr">
        <is>
          <t>ALAT MASAK</t>
        </is>
      </c>
      <c r="H49" s="10" t="inlineStr">
        <is>
          <t>C1. KITCHEN TOOLS</t>
        </is>
      </c>
      <c r="I49" s="10" t="inlineStr">
        <is>
          <t>TANTA NYLON</t>
        </is>
      </c>
      <c r="J49" s="10" t="n"/>
      <c r="K49" s="10" t="n"/>
      <c r="L49" s="11" t="inlineStr">
        <is>
          <t>GND-02</t>
        </is>
      </c>
      <c r="M49" s="11" t="n">
        <v>4</v>
      </c>
      <c r="N49" s="11" t="inlineStr">
        <is>
          <t>Gantungan</t>
        </is>
      </c>
      <c r="O49" s="12">
        <f>IF(L49="","",IFERROR(INDEX(DAFTAR_FIXTURE!$B$2:$B$51,MATCH(L49,DAFTAR_FIXTURE!$A$2:$A$51,0)),""))</f>
        <v/>
      </c>
      <c r="P49" s="12">
        <f>IF(AND($D49="",L49=""),"",IF(L49="",IF(AND(Q49="",V49=""),"Belum ditempatkan",""),IF(O49="","CEK ID FIXTURE tidak ada di DAFTAR_FIXTURE",IF(M49="","CEK ZONA NO kosong",IF(ISNA(MATCH(O49&amp;"|"&amp;M49,LAYOUT!$E$2:$E$80,0)),"CEK ZONA NO di luar layout",IF(N49&lt;&gt;INDEX(LAYOUT!$D$2:$D$80,MATCH(O49&amp;"|"&amp;M49,LAYOUT!$E$2:$E$80,0)),"CEK JENIS ZONA",IF($D49="","Zona STOCK",IF($E49="","CEK SKU DESCRIPTION kosong","OK"))))))))</f>
        <v/>
      </c>
      <c r="Q49" s="11" t="n"/>
      <c r="R49" s="11" t="n"/>
      <c r="S49" s="11" t="n"/>
      <c r="T49" s="12">
        <f>IF(Q49="","",IFERROR(INDEX(DAFTAR_FIXTURE!$B$2:$B$51,MATCH(Q49,DAFTAR_FIXTURE!$A$2:$A$51,0)),""))</f>
        <v/>
      </c>
      <c r="U49" s="12">
        <f>IF(Q49="","",IF(T49="","CEK ID FIXTURE tidak ada di DAFTAR_FIXTURE",IF(R49="","CEK ZONA NO kosong",IF(ISNA(MATCH(T49&amp;"|"&amp;R49,LAYOUT!$E$2:$E$80,0)),"CEK ZONA NO di luar layout",IF(S49&lt;&gt;INDEX(LAYOUT!$D$2:$D$80,MATCH(T49&amp;"|"&amp;R49,LAYOUT!$E$2:$E$80,0)),"CEK JENIS ZONA",IF($D49="","Zona STOCK",IF($E49="","CEK SKU DESCRIPTION kosong","OK")))))))</f>
        <v/>
      </c>
      <c r="V49" s="11" t="n"/>
      <c r="W49" s="11" t="n"/>
      <c r="X49" s="11" t="n"/>
      <c r="Y49" s="12">
        <f>IF(V49="","",IFERROR(INDEX(DAFTAR_FIXTURE!$B$2:$B$51,MATCH(V49,DAFTAR_FIXTURE!$A$2:$A$51,0)),""))</f>
        <v/>
      </c>
      <c r="Z49" s="12">
        <f>IF(V49="","",IF(Y49="","CEK ID FIXTURE tidak ada di DAFTAR_FIXTURE",IF(W49="","CEK ZONA NO kosong",IF(ISNA(MATCH(Y49&amp;"|"&amp;W49,LAYOUT!$E$2:$E$80,0)),"CEK ZONA NO di luar layout",IF(X49&lt;&gt;INDEX(LAYOUT!$D$2:$D$80,MATCH(Y49&amp;"|"&amp;W49,LAYOUT!$E$2:$E$80,0)),"CEK JENIS ZONA",IF($D49="","Zona STOCK",IF($E49="","CEK SKU DESCRIPTION kosong","OK")))))))</f>
        <v/>
      </c>
    </row>
    <row r="50">
      <c r="A50" s="10" t="inlineStr">
        <is>
          <t>Homeware</t>
        </is>
      </c>
      <c r="B50" s="10" t="inlineStr">
        <is>
          <t>Cookware</t>
        </is>
      </c>
      <c r="C50" s="10" t="inlineStr">
        <is>
          <t>Pots &amp; Pans</t>
        </is>
      </c>
      <c r="D50" s="10" t="inlineStr">
        <is>
          <t>10421603</t>
        </is>
      </c>
      <c r="E50" s="10" t="inlineStr">
        <is>
          <t>KINGSTON SAUCEPAN WITH LID 16CM GREEN</t>
        </is>
      </c>
      <c r="F50" s="10" t="n"/>
      <c r="G50" s="10" t="inlineStr">
        <is>
          <t>MASAK</t>
        </is>
      </c>
      <c r="H50" s="10" t="inlineStr">
        <is>
          <t>B2. COOKWARE</t>
        </is>
      </c>
      <c r="I50" s="10" t="inlineStr">
        <is>
          <t>KINGSTON</t>
        </is>
      </c>
      <c r="J50" s="10" t="n"/>
      <c r="K50" s="10" t="n"/>
      <c r="L50" s="11" t="inlineStr">
        <is>
          <t>END-01</t>
        </is>
      </c>
      <c r="M50" s="11" t="n">
        <v>1</v>
      </c>
      <c r="N50" s="11" t="inlineStr">
        <is>
          <t>Rak</t>
        </is>
      </c>
      <c r="O50" s="12">
        <f>IF(L50="","",IFERROR(INDEX(DAFTAR_FIXTURE!$B$2:$B$51,MATCH(L50,DAFTAR_FIXTURE!$A$2:$A$51,0)),""))</f>
        <v/>
      </c>
      <c r="P50" s="12">
        <f>IF(AND($D50="",L50=""),"",IF(L50="",IF(AND(Q50="",V50=""),"Belum ditempatkan",""),IF(O50="","CEK ID FIXTURE tidak ada di DAFTAR_FIXTURE",IF(M50="","CEK ZONA NO kosong",IF(ISNA(MATCH(O50&amp;"|"&amp;M50,LAYOUT!$E$2:$E$80,0)),"CEK ZONA NO di luar layout",IF(N50&lt;&gt;INDEX(LAYOUT!$D$2:$D$80,MATCH(O50&amp;"|"&amp;M50,LAYOUT!$E$2:$E$80,0)),"CEK JENIS ZONA",IF($D50="","Zona STOCK",IF($E50="","CEK SKU DESCRIPTION kosong","OK"))))))))</f>
        <v/>
      </c>
      <c r="Q50" s="11" t="n"/>
      <c r="R50" s="11" t="n"/>
      <c r="S50" s="11" t="n"/>
      <c r="T50" s="12">
        <f>IF(Q50="","",IFERROR(INDEX(DAFTAR_FIXTURE!$B$2:$B$51,MATCH(Q50,DAFTAR_FIXTURE!$A$2:$A$51,0)),""))</f>
        <v/>
      </c>
      <c r="U50" s="12">
        <f>IF(Q50="","",IF(T50="","CEK ID FIXTURE tidak ada di DAFTAR_FIXTURE",IF(R50="","CEK ZONA NO kosong",IF(ISNA(MATCH(T50&amp;"|"&amp;R50,LAYOUT!$E$2:$E$80,0)),"CEK ZONA NO di luar layout",IF(S50&lt;&gt;INDEX(LAYOUT!$D$2:$D$80,MATCH(T50&amp;"|"&amp;R50,LAYOUT!$E$2:$E$80,0)),"CEK JENIS ZONA",IF($D50="","Zona STOCK",IF($E50="","CEK SKU DESCRIPTION kosong","OK")))))))</f>
        <v/>
      </c>
      <c r="V50" s="11" t="n"/>
      <c r="W50" s="11" t="n"/>
      <c r="X50" s="11" t="n"/>
      <c r="Y50" s="12">
        <f>IF(V50="","",IFERROR(INDEX(DAFTAR_FIXTURE!$B$2:$B$51,MATCH(V50,DAFTAR_FIXTURE!$A$2:$A$51,0)),""))</f>
        <v/>
      </c>
      <c r="Z50" s="12">
        <f>IF(V50="","",IF(Y50="","CEK ID FIXTURE tidak ada di DAFTAR_FIXTURE",IF(W50="","CEK ZONA NO kosong",IF(ISNA(MATCH(Y50&amp;"|"&amp;W50,LAYOUT!$E$2:$E$80,0)),"CEK ZONA NO di luar layout",IF(X50&lt;&gt;INDEX(LAYOUT!$D$2:$D$80,MATCH(Y50&amp;"|"&amp;W50,LAYOUT!$E$2:$E$80,0)),"CEK JENIS ZONA",IF($D50="","Zona STOCK",IF($E50="","CEK SKU DESCRIPTION kosong","OK")))))))</f>
        <v/>
      </c>
    </row>
    <row r="51">
      <c r="A51" s="10" t="inlineStr">
        <is>
          <t>Homeware</t>
        </is>
      </c>
      <c r="B51" s="10" t="inlineStr">
        <is>
          <t>Cookware</t>
        </is>
      </c>
      <c r="C51" s="10" t="inlineStr">
        <is>
          <t>Pots &amp; Pans</t>
        </is>
      </c>
      <c r="D51" s="10" t="inlineStr">
        <is>
          <t>10421608</t>
        </is>
      </c>
      <c r="E51" s="10" t="inlineStr">
        <is>
          <t>KINGSTON CASSEROLE WITH LID 20 CM GREEN</t>
        </is>
      </c>
      <c r="F51" s="10" t="n"/>
      <c r="G51" s="10" t="inlineStr">
        <is>
          <t>MASAK</t>
        </is>
      </c>
      <c r="H51" s="10" t="inlineStr">
        <is>
          <t>B2. COOKWARE</t>
        </is>
      </c>
      <c r="I51" s="10" t="inlineStr">
        <is>
          <t>KINGSTON</t>
        </is>
      </c>
      <c r="J51" s="10" t="n"/>
      <c r="K51" s="10" t="n"/>
      <c r="L51" s="11" t="inlineStr">
        <is>
          <t>END-01</t>
        </is>
      </c>
      <c r="M51" s="11" t="n">
        <v>2</v>
      </c>
      <c r="N51" s="11" t="inlineStr">
        <is>
          <t>Rak</t>
        </is>
      </c>
      <c r="O51" s="12">
        <f>IF(L51="","",IFERROR(INDEX(DAFTAR_FIXTURE!$B$2:$B$51,MATCH(L51,DAFTAR_FIXTURE!$A$2:$A$51,0)),""))</f>
        <v/>
      </c>
      <c r="P51" s="12">
        <f>IF(AND($D51="",L51=""),"",IF(L51="",IF(AND(Q51="",V51=""),"Belum ditempatkan",""),IF(O51="","CEK ID FIXTURE tidak ada di DAFTAR_FIXTURE",IF(M51="","CEK ZONA NO kosong",IF(ISNA(MATCH(O51&amp;"|"&amp;M51,LAYOUT!$E$2:$E$80,0)),"CEK ZONA NO di luar layout",IF(N51&lt;&gt;INDEX(LAYOUT!$D$2:$D$80,MATCH(O51&amp;"|"&amp;M51,LAYOUT!$E$2:$E$80,0)),"CEK JENIS ZONA",IF($D51="","Zona STOCK",IF($E51="","CEK SKU DESCRIPTION kosong","OK"))))))))</f>
        <v/>
      </c>
      <c r="Q51" s="11" t="n"/>
      <c r="R51" s="11" t="n"/>
      <c r="S51" s="11" t="n"/>
      <c r="T51" s="12">
        <f>IF(Q51="","",IFERROR(INDEX(DAFTAR_FIXTURE!$B$2:$B$51,MATCH(Q51,DAFTAR_FIXTURE!$A$2:$A$51,0)),""))</f>
        <v/>
      </c>
      <c r="U51" s="12">
        <f>IF(Q51="","",IF(T51="","CEK ID FIXTURE tidak ada di DAFTAR_FIXTURE",IF(R51="","CEK ZONA NO kosong",IF(ISNA(MATCH(T51&amp;"|"&amp;R51,LAYOUT!$E$2:$E$80,0)),"CEK ZONA NO di luar layout",IF(S51&lt;&gt;INDEX(LAYOUT!$D$2:$D$80,MATCH(T51&amp;"|"&amp;R51,LAYOUT!$E$2:$E$80,0)),"CEK JENIS ZONA",IF($D51="","Zona STOCK",IF($E51="","CEK SKU DESCRIPTION kosong","OK")))))))</f>
        <v/>
      </c>
      <c r="V51" s="11" t="n"/>
      <c r="W51" s="11" t="n"/>
      <c r="X51" s="11" t="n"/>
      <c r="Y51" s="12">
        <f>IF(V51="","",IFERROR(INDEX(DAFTAR_FIXTURE!$B$2:$B$51,MATCH(V51,DAFTAR_FIXTURE!$A$2:$A$51,0)),""))</f>
        <v/>
      </c>
      <c r="Z51" s="12">
        <f>IF(V51="","",IF(Y51="","CEK ID FIXTURE tidak ada di DAFTAR_FIXTURE",IF(W51="","CEK ZONA NO kosong",IF(ISNA(MATCH(Y51&amp;"|"&amp;W51,LAYOUT!$E$2:$E$80,0)),"CEK ZONA NO di luar layout",IF(X51&lt;&gt;INDEX(LAYOUT!$D$2:$D$80,MATCH(Y51&amp;"|"&amp;W51,LAYOUT!$E$2:$E$80,0)),"CEK JENIS ZONA",IF($D51="","Zona STOCK",IF($E51="","CEK SKU DESCRIPTION kosong","OK")))))))</f>
        <v/>
      </c>
    </row>
    <row r="52">
      <c r="A52" s="10" t="inlineStr">
        <is>
          <t>Homeware</t>
        </is>
      </c>
      <c r="B52" s="10" t="inlineStr">
        <is>
          <t>Cookware</t>
        </is>
      </c>
      <c r="C52" s="10" t="inlineStr">
        <is>
          <t>Pots &amp; Pans</t>
        </is>
      </c>
      <c r="D52" s="10" t="inlineStr">
        <is>
          <t>10421610</t>
        </is>
      </c>
      <c r="E52" s="10" t="inlineStr">
        <is>
          <t>KINGSTON GRILL PAN 24CM GREEN</t>
        </is>
      </c>
      <c r="F52" s="10" t="n"/>
      <c r="G52" s="10" t="inlineStr">
        <is>
          <t>MASAK</t>
        </is>
      </c>
      <c r="H52" s="10" t="inlineStr">
        <is>
          <t>B2. COOKWARE</t>
        </is>
      </c>
      <c r="I52" s="10" t="inlineStr">
        <is>
          <t>KINGSTON</t>
        </is>
      </c>
      <c r="J52" s="10" t="n"/>
      <c r="K52" s="10" t="n"/>
      <c r="L52" s="11" t="inlineStr">
        <is>
          <t>END-01</t>
        </is>
      </c>
      <c r="M52" s="11" t="n">
        <v>3</v>
      </c>
      <c r="N52" s="11" t="inlineStr">
        <is>
          <t>Rak</t>
        </is>
      </c>
      <c r="O52" s="12">
        <f>IF(L52="","",IFERROR(INDEX(DAFTAR_FIXTURE!$B$2:$B$51,MATCH(L52,DAFTAR_FIXTURE!$A$2:$A$51,0)),""))</f>
        <v/>
      </c>
      <c r="P52" s="12">
        <f>IF(AND($D52="",L52=""),"",IF(L52="",IF(AND(Q52="",V52=""),"Belum ditempatkan",""),IF(O52="","CEK ID FIXTURE tidak ada di DAFTAR_FIXTURE",IF(M52="","CEK ZONA NO kosong",IF(ISNA(MATCH(O52&amp;"|"&amp;M52,LAYOUT!$E$2:$E$80,0)),"CEK ZONA NO di luar layout",IF(N52&lt;&gt;INDEX(LAYOUT!$D$2:$D$80,MATCH(O52&amp;"|"&amp;M52,LAYOUT!$E$2:$E$80,0)),"CEK JENIS ZONA",IF($D52="","Zona STOCK",IF($E52="","CEK SKU DESCRIPTION kosong","OK"))))))))</f>
        <v/>
      </c>
      <c r="Q52" s="11" t="n"/>
      <c r="R52" s="11" t="n"/>
      <c r="S52" s="11" t="n"/>
      <c r="T52" s="12">
        <f>IF(Q52="","",IFERROR(INDEX(DAFTAR_FIXTURE!$B$2:$B$51,MATCH(Q52,DAFTAR_FIXTURE!$A$2:$A$51,0)),""))</f>
        <v/>
      </c>
      <c r="U52" s="12">
        <f>IF(Q52="","",IF(T52="","CEK ID FIXTURE tidak ada di DAFTAR_FIXTURE",IF(R52="","CEK ZONA NO kosong",IF(ISNA(MATCH(T52&amp;"|"&amp;R52,LAYOUT!$E$2:$E$80,0)),"CEK ZONA NO di luar layout",IF(S52&lt;&gt;INDEX(LAYOUT!$D$2:$D$80,MATCH(T52&amp;"|"&amp;R52,LAYOUT!$E$2:$E$80,0)),"CEK JENIS ZONA",IF($D52="","Zona STOCK",IF($E52="","CEK SKU DESCRIPTION kosong","OK")))))))</f>
        <v/>
      </c>
      <c r="V52" s="11" t="n"/>
      <c r="W52" s="11" t="n"/>
      <c r="X52" s="11" t="n"/>
      <c r="Y52" s="12">
        <f>IF(V52="","",IFERROR(INDEX(DAFTAR_FIXTURE!$B$2:$B$51,MATCH(V52,DAFTAR_FIXTURE!$A$2:$A$51,0)),""))</f>
        <v/>
      </c>
      <c r="Z52" s="12">
        <f>IF(V52="","",IF(Y52="","CEK ID FIXTURE tidak ada di DAFTAR_FIXTURE",IF(W52="","CEK ZONA NO kosong",IF(ISNA(MATCH(Y52&amp;"|"&amp;W52,LAYOUT!$E$2:$E$80,0)),"CEK ZONA NO di luar layout",IF(X52&lt;&gt;INDEX(LAYOUT!$D$2:$D$80,MATCH(Y52&amp;"|"&amp;W52,LAYOUT!$E$2:$E$80,0)),"CEK JENIS ZONA",IF($D52="","Zona STOCK",IF($E52="","CEK SKU DESCRIPTION kosong","OK")))))))</f>
        <v/>
      </c>
    </row>
    <row r="53">
      <c r="A53" s="10" t="inlineStr">
        <is>
          <t>Homeware</t>
        </is>
      </c>
      <c r="B53" s="10" t="inlineStr">
        <is>
          <t>Cookware</t>
        </is>
      </c>
      <c r="C53" s="10" t="inlineStr">
        <is>
          <t>Pots &amp; Pans</t>
        </is>
      </c>
      <c r="D53" s="10" t="inlineStr">
        <is>
          <t>10421614</t>
        </is>
      </c>
      <c r="E53" s="10" t="inlineStr">
        <is>
          <t>KIRA WOK 2 HANDLE W LID AND UTENSIL BRN</t>
        </is>
      </c>
      <c r="F53" s="10" t="n"/>
      <c r="G53" s="10" t="inlineStr">
        <is>
          <t>MASAK</t>
        </is>
      </c>
      <c r="H53" s="10" t="inlineStr">
        <is>
          <t>B2. COOKWARE</t>
        </is>
      </c>
      <c r="I53" s="10" t="inlineStr">
        <is>
          <t>KIRA</t>
        </is>
      </c>
      <c r="J53" s="10" t="n"/>
      <c r="K53" s="10" t="n"/>
      <c r="L53" s="11" t="inlineStr">
        <is>
          <t>END-01</t>
        </is>
      </c>
      <c r="M53" s="11" t="n">
        <v>4</v>
      </c>
      <c r="N53" s="11" t="inlineStr">
        <is>
          <t>Rak</t>
        </is>
      </c>
      <c r="O53" s="12">
        <f>IF(L53="","",IFERROR(INDEX(DAFTAR_FIXTURE!$B$2:$B$51,MATCH(L53,DAFTAR_FIXTURE!$A$2:$A$51,0)),""))</f>
        <v/>
      </c>
      <c r="P53" s="12">
        <f>IF(AND($D53="",L53=""),"",IF(L53="",IF(AND(Q53="",V53=""),"Belum ditempatkan",""),IF(O53="","CEK ID FIXTURE tidak ada di DAFTAR_FIXTURE",IF(M53="","CEK ZONA NO kosong",IF(ISNA(MATCH(O53&amp;"|"&amp;M53,LAYOUT!$E$2:$E$80,0)),"CEK ZONA NO di luar layout",IF(N53&lt;&gt;INDEX(LAYOUT!$D$2:$D$80,MATCH(O53&amp;"|"&amp;M53,LAYOUT!$E$2:$E$80,0)),"CEK JENIS ZONA",IF($D53="","Zona STOCK",IF($E53="","CEK SKU DESCRIPTION kosong","OK"))))))))</f>
        <v/>
      </c>
      <c r="Q53" s="11" t="n"/>
      <c r="R53" s="11" t="n"/>
      <c r="S53" s="11" t="n"/>
      <c r="T53" s="12">
        <f>IF(Q53="","",IFERROR(INDEX(DAFTAR_FIXTURE!$B$2:$B$51,MATCH(Q53,DAFTAR_FIXTURE!$A$2:$A$51,0)),""))</f>
        <v/>
      </c>
      <c r="U53" s="12">
        <f>IF(Q53="","",IF(T53="","CEK ID FIXTURE tidak ada di DAFTAR_FIXTURE",IF(R53="","CEK ZONA NO kosong",IF(ISNA(MATCH(T53&amp;"|"&amp;R53,LAYOUT!$E$2:$E$80,0)),"CEK ZONA NO di luar layout",IF(S53&lt;&gt;INDEX(LAYOUT!$D$2:$D$80,MATCH(T53&amp;"|"&amp;R53,LAYOUT!$E$2:$E$80,0)),"CEK JENIS ZONA",IF($D53="","Zona STOCK",IF($E53="","CEK SKU DESCRIPTION kosong","OK")))))))</f>
        <v/>
      </c>
      <c r="V53" s="11" t="n"/>
      <c r="W53" s="11" t="n"/>
      <c r="X53" s="11" t="n"/>
      <c r="Y53" s="12">
        <f>IF(V53="","",IFERROR(INDEX(DAFTAR_FIXTURE!$B$2:$B$51,MATCH(V53,DAFTAR_FIXTURE!$A$2:$A$51,0)),""))</f>
        <v/>
      </c>
      <c r="Z53" s="12">
        <f>IF(V53="","",IF(Y53="","CEK ID FIXTURE tidak ada di DAFTAR_FIXTURE",IF(W53="","CEK ZONA NO kosong",IF(ISNA(MATCH(Y53&amp;"|"&amp;W53,LAYOUT!$E$2:$E$80,0)),"CEK ZONA NO di luar layout",IF(X53&lt;&gt;INDEX(LAYOUT!$D$2:$D$80,MATCH(Y53&amp;"|"&amp;W53,LAYOUT!$E$2:$E$80,0)),"CEK JENIS ZONA",IF($D53="","Zona STOCK",IF($E53="","CEK SKU DESCRIPTION kosong","OK")))))))</f>
        <v/>
      </c>
    </row>
    <row r="54">
      <c r="A54" s="10" t="inlineStr">
        <is>
          <t>Homeware</t>
        </is>
      </c>
      <c r="B54" s="10" t="inlineStr">
        <is>
          <t>Drinkware</t>
        </is>
      </c>
      <c r="C54" s="10" t="inlineStr">
        <is>
          <t>Glassware</t>
        </is>
      </c>
      <c r="D54" s="10" t="inlineStr">
        <is>
          <t>10099887</t>
        </is>
      </c>
      <c r="E54" s="10" t="inlineStr">
        <is>
          <t>ELAN WATER GLASS SET 414ML (6)</t>
        </is>
      </c>
      <c r="F54" s="10" t="n"/>
      <c r="G54" s="10" t="inlineStr">
        <is>
          <t>MAKAN</t>
        </is>
      </c>
      <c r="H54" s="10" t="inlineStr">
        <is>
          <t>A1. GLASSWARE</t>
        </is>
      </c>
      <c r="I54" s="10" t="inlineStr">
        <is>
          <t>ELAN</t>
        </is>
      </c>
      <c r="J54" s="10" t="n"/>
      <c r="K54" s="10" t="n"/>
      <c r="L54" s="11" t="inlineStr">
        <is>
          <t>PLT-01</t>
        </is>
      </c>
      <c r="M54" s="11" t="n">
        <v>1</v>
      </c>
      <c r="N54" s="11" t="inlineStr">
        <is>
          <t>Rak</t>
        </is>
      </c>
      <c r="O54" s="12">
        <f>IF(L54="","",IFERROR(INDEX(DAFTAR_FIXTURE!$B$2:$B$51,MATCH(L54,DAFTAR_FIXTURE!$A$2:$A$51,0)),""))</f>
        <v/>
      </c>
      <c r="P54" s="12">
        <f>IF(AND($D54="",L54=""),"",IF(L54="",IF(AND(Q54="",V54=""),"Belum ditempatkan",""),IF(O54="","CEK ID FIXTURE tidak ada di DAFTAR_FIXTURE",IF(M54="","CEK ZONA NO kosong",IF(ISNA(MATCH(O54&amp;"|"&amp;M54,LAYOUT!$E$2:$E$80,0)),"CEK ZONA NO di luar layout",IF(N54&lt;&gt;INDEX(LAYOUT!$D$2:$D$80,MATCH(O54&amp;"|"&amp;M54,LAYOUT!$E$2:$E$80,0)),"CEK JENIS ZONA",IF($D54="","Zona STOCK",IF($E54="","CEK SKU DESCRIPTION kosong","OK"))))))))</f>
        <v/>
      </c>
      <c r="Q54" s="11" t="n"/>
      <c r="R54" s="11" t="n"/>
      <c r="S54" s="11" t="n"/>
      <c r="T54" s="12">
        <f>IF(Q54="","",IFERROR(INDEX(DAFTAR_FIXTURE!$B$2:$B$51,MATCH(Q54,DAFTAR_FIXTURE!$A$2:$A$51,0)),""))</f>
        <v/>
      </c>
      <c r="U54" s="12">
        <f>IF(Q54="","",IF(T54="","CEK ID FIXTURE tidak ada di DAFTAR_FIXTURE",IF(R54="","CEK ZONA NO kosong",IF(ISNA(MATCH(T54&amp;"|"&amp;R54,LAYOUT!$E$2:$E$80,0)),"CEK ZONA NO di luar layout",IF(S54&lt;&gt;INDEX(LAYOUT!$D$2:$D$80,MATCH(T54&amp;"|"&amp;R54,LAYOUT!$E$2:$E$80,0)),"CEK JENIS ZONA",IF($D54="","Zona STOCK",IF($E54="","CEK SKU DESCRIPTION kosong","OK")))))))</f>
        <v/>
      </c>
      <c r="V54" s="11" t="n"/>
      <c r="W54" s="11" t="n"/>
      <c r="X54" s="11" t="n"/>
      <c r="Y54" s="12">
        <f>IF(V54="","",IFERROR(INDEX(DAFTAR_FIXTURE!$B$2:$B$51,MATCH(V54,DAFTAR_FIXTURE!$A$2:$A$51,0)),""))</f>
        <v/>
      </c>
      <c r="Z54" s="12">
        <f>IF(V54="","",IF(Y54="","CEK ID FIXTURE tidak ada di DAFTAR_FIXTURE",IF(W54="","CEK ZONA NO kosong",IF(ISNA(MATCH(Y54&amp;"|"&amp;W54,LAYOUT!$E$2:$E$80,0)),"CEK ZONA NO di luar layout",IF(X54&lt;&gt;INDEX(LAYOUT!$D$2:$D$80,MATCH(Y54&amp;"|"&amp;W54,LAYOUT!$E$2:$E$80,0)),"CEK JENIS ZONA",IF($D54="","Zona STOCK",IF($E54="","CEK SKU DESCRIPTION kosong","OK")))))))</f>
        <v/>
      </c>
    </row>
    <row r="55">
      <c r="A55" s="10" t="inlineStr">
        <is>
          <t>Homeware</t>
        </is>
      </c>
      <c r="B55" s="10" t="inlineStr">
        <is>
          <t>Drinkware</t>
        </is>
      </c>
      <c r="C55" s="10" t="inlineStr">
        <is>
          <t>Glassware</t>
        </is>
      </c>
      <c r="D55" s="10" t="inlineStr">
        <is>
          <t>10099940</t>
        </is>
      </c>
      <c r="E55" s="10" t="inlineStr">
        <is>
          <t>INVERNESS WATER GLASS SET 355ML (6)</t>
        </is>
      </c>
      <c r="F55" s="10" t="n"/>
      <c r="G55" s="10" t="inlineStr">
        <is>
          <t>MAKAN</t>
        </is>
      </c>
      <c r="H55" s="10" t="inlineStr">
        <is>
          <t>A1. GLASSWARE</t>
        </is>
      </c>
      <c r="I55" s="10" t="inlineStr">
        <is>
          <t>INVERNESS</t>
        </is>
      </c>
      <c r="J55" s="10" t="n"/>
      <c r="K55" s="10" t="n"/>
      <c r="L55" s="11" t="inlineStr">
        <is>
          <t>PLT-01</t>
        </is>
      </c>
      <c r="M55" s="11" t="n">
        <v>1</v>
      </c>
      <c r="N55" s="11" t="inlineStr">
        <is>
          <t>Rak</t>
        </is>
      </c>
      <c r="O55" s="12">
        <f>IF(L55="","",IFERROR(INDEX(DAFTAR_FIXTURE!$B$2:$B$51,MATCH(L55,DAFTAR_FIXTURE!$A$2:$A$51,0)),""))</f>
        <v/>
      </c>
      <c r="P55" s="12">
        <f>IF(AND($D55="",L55=""),"",IF(L55="",IF(AND(Q55="",V55=""),"Belum ditempatkan",""),IF(O55="","CEK ID FIXTURE tidak ada di DAFTAR_FIXTURE",IF(M55="","CEK ZONA NO kosong",IF(ISNA(MATCH(O55&amp;"|"&amp;M55,LAYOUT!$E$2:$E$80,0)),"CEK ZONA NO di luar layout",IF(N55&lt;&gt;INDEX(LAYOUT!$D$2:$D$80,MATCH(O55&amp;"|"&amp;M55,LAYOUT!$E$2:$E$80,0)),"CEK JENIS ZONA",IF($D55="","Zona STOCK",IF($E55="","CEK SKU DESCRIPTION kosong","OK"))))))))</f>
        <v/>
      </c>
      <c r="Q55" s="11" t="n"/>
      <c r="R55" s="11" t="n"/>
      <c r="S55" s="11" t="n"/>
      <c r="T55" s="12">
        <f>IF(Q55="","",IFERROR(INDEX(DAFTAR_FIXTURE!$B$2:$B$51,MATCH(Q55,DAFTAR_FIXTURE!$A$2:$A$51,0)),""))</f>
        <v/>
      </c>
      <c r="U55" s="12">
        <f>IF(Q55="","",IF(T55="","CEK ID FIXTURE tidak ada di DAFTAR_FIXTURE",IF(R55="","CEK ZONA NO kosong",IF(ISNA(MATCH(T55&amp;"|"&amp;R55,LAYOUT!$E$2:$E$80,0)),"CEK ZONA NO di luar layout",IF(S55&lt;&gt;INDEX(LAYOUT!$D$2:$D$80,MATCH(T55&amp;"|"&amp;R55,LAYOUT!$E$2:$E$80,0)),"CEK JENIS ZONA",IF($D55="","Zona STOCK",IF($E55="","CEK SKU DESCRIPTION kosong","OK")))))))</f>
        <v/>
      </c>
      <c r="V55" s="11" t="n"/>
      <c r="W55" s="11" t="n"/>
      <c r="X55" s="11" t="n"/>
      <c r="Y55" s="12">
        <f>IF(V55="","",IFERROR(INDEX(DAFTAR_FIXTURE!$B$2:$B$51,MATCH(V55,DAFTAR_FIXTURE!$A$2:$A$51,0)),""))</f>
        <v/>
      </c>
      <c r="Z55" s="12">
        <f>IF(V55="","",IF(Y55="","CEK ID FIXTURE tidak ada di DAFTAR_FIXTURE",IF(W55="","CEK ZONA NO kosong",IF(ISNA(MATCH(Y55&amp;"|"&amp;W55,LAYOUT!$E$2:$E$80,0)),"CEK ZONA NO di luar layout",IF(X55&lt;&gt;INDEX(LAYOUT!$D$2:$D$80,MATCH(Y55&amp;"|"&amp;W55,LAYOUT!$E$2:$E$80,0)),"CEK JENIS ZONA",IF($D55="","Zona STOCK",IF($E55="","CEK SKU DESCRIPTION kosong","OK")))))))</f>
        <v/>
      </c>
    </row>
    <row r="56">
      <c r="A56" s="10" t="inlineStr">
        <is>
          <t>Homeware</t>
        </is>
      </c>
      <c r="B56" s="10" t="inlineStr">
        <is>
          <t>Tableware</t>
        </is>
      </c>
      <c r="C56" s="10" t="inlineStr">
        <is>
          <t>Serving Set</t>
        </is>
      </c>
      <c r="D56" s="10" t="inlineStr">
        <is>
          <t>10681572</t>
        </is>
      </c>
      <c r="E56" s="10" t="inlineStr">
        <is>
          <t>SERVING GLASS OVAL PLATER ZOE GOLD</t>
        </is>
      </c>
      <c r="F56" s="10" t="n"/>
      <c r="G56" s="10" t="inlineStr">
        <is>
          <t>MAKAN</t>
        </is>
      </c>
      <c r="H56" s="10" t="inlineStr">
        <is>
          <t>A2. SERVINGWARE</t>
        </is>
      </c>
      <c r="I56" s="10" t="inlineStr">
        <is>
          <t>W/GOLD RACK GLASS</t>
        </is>
      </c>
      <c r="J56" s="10" t="n"/>
      <c r="K56" s="10" t="n"/>
      <c r="L56" s="11" t="inlineStr">
        <is>
          <t>GND-01</t>
        </is>
      </c>
      <c r="M56" s="11" t="n">
        <v>3</v>
      </c>
      <c r="N56" s="11" t="inlineStr">
        <is>
          <t>Rak</t>
        </is>
      </c>
      <c r="O56" s="12">
        <f>IF(L56="","",IFERROR(INDEX(DAFTAR_FIXTURE!$B$2:$B$51,MATCH(L56,DAFTAR_FIXTURE!$A$2:$A$51,0)),""))</f>
        <v/>
      </c>
      <c r="P56" s="12">
        <f>IF(AND($D56="",L56=""),"",IF(L56="",IF(AND(Q56="",V56=""),"Belum ditempatkan",""),IF(O56="","CEK ID FIXTURE tidak ada di DAFTAR_FIXTURE",IF(M56="","CEK ZONA NO kosong",IF(ISNA(MATCH(O56&amp;"|"&amp;M56,LAYOUT!$E$2:$E$80,0)),"CEK ZONA NO di luar layout",IF(N56&lt;&gt;INDEX(LAYOUT!$D$2:$D$80,MATCH(O56&amp;"|"&amp;M56,LAYOUT!$E$2:$E$80,0)),"CEK JENIS ZONA",IF($D56="","Zona STOCK",IF($E56="","CEK SKU DESCRIPTION kosong","OK"))))))))</f>
        <v/>
      </c>
      <c r="Q56" s="11" t="inlineStr">
        <is>
          <t>WLL-02</t>
        </is>
      </c>
      <c r="R56" s="11" t="n">
        <v>4</v>
      </c>
      <c r="S56" s="11" t="inlineStr">
        <is>
          <t>Rak</t>
        </is>
      </c>
      <c r="T56" s="12">
        <f>IF(Q56="","",IFERROR(INDEX(DAFTAR_FIXTURE!$B$2:$B$51,MATCH(Q56,DAFTAR_FIXTURE!$A$2:$A$51,0)),""))</f>
        <v/>
      </c>
      <c r="U56" s="12">
        <f>IF(Q56="","",IF(T56="","CEK ID FIXTURE tidak ada di DAFTAR_FIXTURE",IF(R56="","CEK ZONA NO kosong",IF(ISNA(MATCH(T56&amp;"|"&amp;R56,LAYOUT!$E$2:$E$80,0)),"CEK ZONA NO di luar layout",IF(S56&lt;&gt;INDEX(LAYOUT!$D$2:$D$80,MATCH(T56&amp;"|"&amp;R56,LAYOUT!$E$2:$E$80,0)),"CEK JENIS ZONA",IF($D56="","Zona STOCK",IF($E56="","CEK SKU DESCRIPTION kosong","OK")))))))</f>
        <v/>
      </c>
      <c r="V56" s="11" t="n"/>
      <c r="W56" s="11" t="n"/>
      <c r="X56" s="11" t="n"/>
      <c r="Y56" s="12">
        <f>IF(V56="","",IFERROR(INDEX(DAFTAR_FIXTURE!$B$2:$B$51,MATCH(V56,DAFTAR_FIXTURE!$A$2:$A$51,0)),""))</f>
        <v/>
      </c>
      <c r="Z56" s="12">
        <f>IF(V56="","",IF(Y56="","CEK ID FIXTURE tidak ada di DAFTAR_FIXTURE",IF(W56="","CEK ZONA NO kosong",IF(ISNA(MATCH(Y56&amp;"|"&amp;W56,LAYOUT!$E$2:$E$80,0)),"CEK ZONA NO di luar layout",IF(X56&lt;&gt;INDEX(LAYOUT!$D$2:$D$80,MATCH(Y56&amp;"|"&amp;W56,LAYOUT!$E$2:$E$80,0)),"CEK JENIS ZONA",IF($D56="","Zona STOCK",IF($E56="","CEK SKU DESCRIPTION kosong","OK")))))))</f>
        <v/>
      </c>
    </row>
    <row r="57">
      <c r="A57" s="10" t="inlineStr">
        <is>
          <t>Homeware</t>
        </is>
      </c>
      <c r="B57" s="10" t="inlineStr">
        <is>
          <t>Tableware</t>
        </is>
      </c>
      <c r="C57" s="10" t="inlineStr">
        <is>
          <t>Serving Set</t>
        </is>
      </c>
      <c r="D57" s="10" t="inlineStr">
        <is>
          <t>10681573</t>
        </is>
      </c>
      <c r="E57" s="10" t="inlineStr">
        <is>
          <t>SERVING GLASS SQR TWO RACK ZENA GOLD</t>
        </is>
      </c>
      <c r="F57" s="10" t="n"/>
      <c r="G57" s="10" t="inlineStr">
        <is>
          <t>MAKAN</t>
        </is>
      </c>
      <c r="H57" s="10" t="inlineStr">
        <is>
          <t>A2. SERVINGWARE</t>
        </is>
      </c>
      <c r="I57" s="10" t="inlineStr">
        <is>
          <t>W/GOLD RACK GLASS</t>
        </is>
      </c>
      <c r="J57" s="10" t="n"/>
      <c r="K57" s="10" t="n"/>
      <c r="L57" s="11" t="inlineStr">
        <is>
          <t>GND-01</t>
        </is>
      </c>
      <c r="M57" s="11" t="n">
        <v>3</v>
      </c>
      <c r="N57" s="11" t="inlineStr">
        <is>
          <t>Rak</t>
        </is>
      </c>
      <c r="O57" s="12">
        <f>IF(L57="","",IFERROR(INDEX(DAFTAR_FIXTURE!$B$2:$B$51,MATCH(L57,DAFTAR_FIXTURE!$A$2:$A$51,0)),""))</f>
        <v/>
      </c>
      <c r="P57" s="12">
        <f>IF(AND($D57="",L57=""),"",IF(L57="",IF(AND(Q57="",V57=""),"Belum ditempatkan",""),IF(O57="","CEK ID FIXTURE tidak ada di DAFTAR_FIXTURE",IF(M57="","CEK ZONA NO kosong",IF(ISNA(MATCH(O57&amp;"|"&amp;M57,LAYOUT!$E$2:$E$80,0)),"CEK ZONA NO di luar layout",IF(N57&lt;&gt;INDEX(LAYOUT!$D$2:$D$80,MATCH(O57&amp;"|"&amp;M57,LAYOUT!$E$2:$E$80,0)),"CEK JENIS ZONA",IF($D57="","Zona STOCK",IF($E57="","CEK SKU DESCRIPTION kosong","OK"))))))))</f>
        <v/>
      </c>
      <c r="Q57" s="11" t="n"/>
      <c r="R57" s="11" t="n"/>
      <c r="S57" s="11" t="n"/>
      <c r="T57" s="12">
        <f>IF(Q57="","",IFERROR(INDEX(DAFTAR_FIXTURE!$B$2:$B$51,MATCH(Q57,DAFTAR_FIXTURE!$A$2:$A$51,0)),""))</f>
        <v/>
      </c>
      <c r="U57" s="12">
        <f>IF(Q57="","",IF(T57="","CEK ID FIXTURE tidak ada di DAFTAR_FIXTURE",IF(R57="","CEK ZONA NO kosong",IF(ISNA(MATCH(T57&amp;"|"&amp;R57,LAYOUT!$E$2:$E$80,0)),"CEK ZONA NO di luar layout",IF(S57&lt;&gt;INDEX(LAYOUT!$D$2:$D$80,MATCH(T57&amp;"|"&amp;R57,LAYOUT!$E$2:$E$80,0)),"CEK JENIS ZONA",IF($D57="","Zona STOCK",IF($E57="","CEK SKU DESCRIPTION kosong","OK")))))))</f>
        <v/>
      </c>
      <c r="V57" s="11" t="n"/>
      <c r="W57" s="11" t="n"/>
      <c r="X57" s="11" t="n"/>
      <c r="Y57" s="12">
        <f>IF(V57="","",IFERROR(INDEX(DAFTAR_FIXTURE!$B$2:$B$51,MATCH(V57,DAFTAR_FIXTURE!$A$2:$A$51,0)),""))</f>
        <v/>
      </c>
      <c r="Z57" s="12">
        <f>IF(V57="","",IF(Y57="","CEK ID FIXTURE tidak ada di DAFTAR_FIXTURE",IF(W57="","CEK ZONA NO kosong",IF(ISNA(MATCH(Y57&amp;"|"&amp;W57,LAYOUT!$E$2:$E$80,0)),"CEK ZONA NO di luar layout",IF(X57&lt;&gt;INDEX(LAYOUT!$D$2:$D$80,MATCH(Y57&amp;"|"&amp;W57,LAYOUT!$E$2:$E$80,0)),"CEK JENIS ZONA",IF($D57="","Zona STOCK",IF($E57="","CEK SKU DESCRIPTION kosong","OK")))))))</f>
        <v/>
      </c>
    </row>
    <row r="58">
      <c r="A58" s="10" t="inlineStr">
        <is>
          <t>Homeware</t>
        </is>
      </c>
      <c r="B58" s="10" t="inlineStr">
        <is>
          <t>Tableware</t>
        </is>
      </c>
      <c r="C58" s="10" t="inlineStr">
        <is>
          <t>Serving Set</t>
        </is>
      </c>
      <c r="D58" s="10" t="inlineStr">
        <is>
          <t>10681574</t>
        </is>
      </c>
      <c r="E58" s="10" t="inlineStr">
        <is>
          <t>SERVING GLASS RND TWO RACK ZIA GOLD</t>
        </is>
      </c>
      <c r="F58" s="10" t="n"/>
      <c r="G58" s="10" t="inlineStr">
        <is>
          <t>MAKAN</t>
        </is>
      </c>
      <c r="H58" s="10" t="inlineStr">
        <is>
          <t>A2. SERVINGWARE</t>
        </is>
      </c>
      <c r="I58" s="10" t="inlineStr">
        <is>
          <t>W/GOLD RACK GLASS</t>
        </is>
      </c>
      <c r="J58" s="10" t="n"/>
      <c r="K58" s="10" t="n"/>
      <c r="L58" s="11" t="inlineStr">
        <is>
          <t>GND-01</t>
        </is>
      </c>
      <c r="M58" s="11" t="n">
        <v>3</v>
      </c>
      <c r="N58" s="11" t="inlineStr">
        <is>
          <t>Rak</t>
        </is>
      </c>
      <c r="O58" s="12">
        <f>IF(L58="","",IFERROR(INDEX(DAFTAR_FIXTURE!$B$2:$B$51,MATCH(L58,DAFTAR_FIXTURE!$A$2:$A$51,0)),""))</f>
        <v/>
      </c>
      <c r="P58" s="12">
        <f>IF(AND($D58="",L58=""),"",IF(L58="",IF(AND(Q58="",V58=""),"Belum ditempatkan",""),IF(O58="","CEK ID FIXTURE tidak ada di DAFTAR_FIXTURE",IF(M58="","CEK ZONA NO kosong",IF(ISNA(MATCH(O58&amp;"|"&amp;M58,LAYOUT!$E$2:$E$80,0)),"CEK ZONA NO di luar layout",IF(N58&lt;&gt;INDEX(LAYOUT!$D$2:$D$80,MATCH(O58&amp;"|"&amp;M58,LAYOUT!$E$2:$E$80,0)),"CEK JENIS ZONA",IF($D58="","Zona STOCK",IF($E58="","CEK SKU DESCRIPTION kosong","OK"))))))))</f>
        <v/>
      </c>
      <c r="Q58" s="11" t="n"/>
      <c r="R58" s="11" t="n"/>
      <c r="S58" s="11" t="n"/>
      <c r="T58" s="12">
        <f>IF(Q58="","",IFERROR(INDEX(DAFTAR_FIXTURE!$B$2:$B$51,MATCH(Q58,DAFTAR_FIXTURE!$A$2:$A$51,0)),""))</f>
        <v/>
      </c>
      <c r="U58" s="12">
        <f>IF(Q58="","",IF(T58="","CEK ID FIXTURE tidak ada di DAFTAR_FIXTURE",IF(R58="","CEK ZONA NO kosong",IF(ISNA(MATCH(T58&amp;"|"&amp;R58,LAYOUT!$E$2:$E$80,0)),"CEK ZONA NO di luar layout",IF(S58&lt;&gt;INDEX(LAYOUT!$D$2:$D$80,MATCH(T58&amp;"|"&amp;R58,LAYOUT!$E$2:$E$80,0)),"CEK JENIS ZONA",IF($D58="","Zona STOCK",IF($E58="","CEK SKU DESCRIPTION kosong","OK")))))))</f>
        <v/>
      </c>
      <c r="V58" s="11" t="n"/>
      <c r="W58" s="11" t="n"/>
      <c r="X58" s="11" t="n"/>
      <c r="Y58" s="12">
        <f>IF(V58="","",IFERROR(INDEX(DAFTAR_FIXTURE!$B$2:$B$51,MATCH(V58,DAFTAR_FIXTURE!$A$2:$A$51,0)),""))</f>
        <v/>
      </c>
      <c r="Z58" s="12">
        <f>IF(V58="","",IF(Y58="","CEK ID FIXTURE tidak ada di DAFTAR_FIXTURE",IF(W58="","CEK ZONA NO kosong",IF(ISNA(MATCH(Y58&amp;"|"&amp;W58,LAYOUT!$E$2:$E$80,0)),"CEK ZONA NO di luar layout",IF(X58&lt;&gt;INDEX(LAYOUT!$D$2:$D$80,MATCH(Y58&amp;"|"&amp;W58,LAYOUT!$E$2:$E$80,0)),"CEK JENIS ZONA",IF($D58="","Zona STOCK",IF($E58="","CEK SKU DESCRIPTION kosong","OK")))))))</f>
        <v/>
      </c>
    </row>
    <row r="59">
      <c r="A59" s="10" t="inlineStr">
        <is>
          <t>Homeware</t>
        </is>
      </c>
      <c r="B59" s="10" t="inlineStr">
        <is>
          <t>Storage</t>
        </is>
      </c>
      <c r="C59" s="10" t="inlineStr">
        <is>
          <t>Food Storage</t>
        </is>
      </c>
      <c r="D59" s="10" t="inlineStr">
        <is>
          <t>10682153</t>
        </is>
      </c>
      <c r="E59" s="10" t="inlineStr">
        <is>
          <t>EID 2026 GLASS JAR SET OF 3 900ML</t>
        </is>
      </c>
      <c r="F59" s="10" t="n"/>
      <c r="G59" s="10" t="inlineStr">
        <is>
          <t>PENYIMPANAN</t>
        </is>
      </c>
      <c r="H59" s="10" t="inlineStr">
        <is>
          <t>E4. CANISTER</t>
        </is>
      </c>
      <c r="I59" s="10" t="inlineStr">
        <is>
          <t>GLASS FANCY</t>
        </is>
      </c>
      <c r="J59" s="10" t="n"/>
      <c r="K59" s="10" t="n"/>
      <c r="L59" s="11" t="inlineStr">
        <is>
          <t>GND-01</t>
        </is>
      </c>
      <c r="M59" s="11" t="n">
        <v>4</v>
      </c>
      <c r="N59" s="11" t="inlineStr">
        <is>
          <t>Rak</t>
        </is>
      </c>
      <c r="O59" s="12">
        <f>IF(L59="","",IFERROR(INDEX(DAFTAR_FIXTURE!$B$2:$B$51,MATCH(L59,DAFTAR_FIXTURE!$A$2:$A$51,0)),""))</f>
        <v/>
      </c>
      <c r="P59" s="12">
        <f>IF(AND($D59="",L59=""),"",IF(L59="",IF(AND(Q59="",V59=""),"Belum ditempatkan",""),IF(O59="","CEK ID FIXTURE tidak ada di DAFTAR_FIXTURE",IF(M59="","CEK ZONA NO kosong",IF(ISNA(MATCH(O59&amp;"|"&amp;M59,LAYOUT!$E$2:$E$80,0)),"CEK ZONA NO di luar layout",IF(N59&lt;&gt;INDEX(LAYOUT!$D$2:$D$80,MATCH(O59&amp;"|"&amp;M59,LAYOUT!$E$2:$E$80,0)),"CEK JENIS ZONA",IF($D59="","Zona STOCK",IF($E59="","CEK SKU DESCRIPTION kosong","OK"))))))))</f>
        <v/>
      </c>
      <c r="Q59" s="11" t="inlineStr">
        <is>
          <t>WLL-01</t>
        </is>
      </c>
      <c r="R59" s="11" t="n">
        <v>5</v>
      </c>
      <c r="S59" s="11" t="inlineStr">
        <is>
          <t>Rak</t>
        </is>
      </c>
      <c r="T59" s="12">
        <f>IF(Q59="","",IFERROR(INDEX(DAFTAR_FIXTURE!$B$2:$B$51,MATCH(Q59,DAFTAR_FIXTURE!$A$2:$A$51,0)),""))</f>
        <v/>
      </c>
      <c r="U59" s="12">
        <f>IF(Q59="","",IF(T59="","CEK ID FIXTURE tidak ada di DAFTAR_FIXTURE",IF(R59="","CEK ZONA NO kosong",IF(ISNA(MATCH(T59&amp;"|"&amp;R59,LAYOUT!$E$2:$E$80,0)),"CEK ZONA NO di luar layout",IF(S59&lt;&gt;INDEX(LAYOUT!$D$2:$D$80,MATCH(T59&amp;"|"&amp;R59,LAYOUT!$E$2:$E$80,0)),"CEK JENIS ZONA",IF($D59="","Zona STOCK",IF($E59="","CEK SKU DESCRIPTION kosong","OK")))))))</f>
        <v/>
      </c>
      <c r="V59" s="11" t="n"/>
      <c r="W59" s="11" t="n"/>
      <c r="X59" s="11" t="n"/>
      <c r="Y59" s="12">
        <f>IF(V59="","",IFERROR(INDEX(DAFTAR_FIXTURE!$B$2:$B$51,MATCH(V59,DAFTAR_FIXTURE!$A$2:$A$51,0)),""))</f>
        <v/>
      </c>
      <c r="Z59" s="12">
        <f>IF(V59="","",IF(Y59="","CEK ID FIXTURE tidak ada di DAFTAR_FIXTURE",IF(W59="","CEK ZONA NO kosong",IF(ISNA(MATCH(Y59&amp;"|"&amp;W59,LAYOUT!$E$2:$E$80,0)),"CEK ZONA NO di luar layout",IF(X59&lt;&gt;INDEX(LAYOUT!$D$2:$D$80,MATCH(Y59&amp;"|"&amp;W59,LAYOUT!$E$2:$E$80,0)),"CEK JENIS ZONA",IF($D59="","Zona STOCK",IF($E59="","CEK SKU DESCRIPTION kosong","OK")))))))</f>
        <v/>
      </c>
    </row>
    <row r="60">
      <c r="A60" s="10" t="inlineStr">
        <is>
          <t>Homeware</t>
        </is>
      </c>
      <c r="B60" s="10" t="inlineStr">
        <is>
          <t>Storage</t>
        </is>
      </c>
      <c r="C60" s="10" t="inlineStr">
        <is>
          <t>Food Storage</t>
        </is>
      </c>
      <c r="D60" s="10" t="inlineStr">
        <is>
          <t>10682154</t>
        </is>
      </c>
      <c r="E60" s="10" t="inlineStr">
        <is>
          <t>GRETTA GLASS JAR SET OF 4 WITH RACK</t>
        </is>
      </c>
      <c r="F60" s="10" t="n"/>
      <c r="G60" s="10" t="inlineStr">
        <is>
          <t>PENYIMPANAN</t>
        </is>
      </c>
      <c r="H60" s="10" t="inlineStr">
        <is>
          <t>E4. CANISTER</t>
        </is>
      </c>
      <c r="I60" s="10" t="inlineStr">
        <is>
          <t>GLASS BASIC</t>
        </is>
      </c>
      <c r="J60" s="10" t="n"/>
      <c r="K60" s="10" t="n"/>
      <c r="L60" s="11" t="inlineStr">
        <is>
          <t>GND-01</t>
        </is>
      </c>
      <c r="M60" s="11" t="n">
        <v>4</v>
      </c>
      <c r="N60" s="11" t="inlineStr">
        <is>
          <t>Rak</t>
        </is>
      </c>
      <c r="O60" s="12">
        <f>IF(L60="","",IFERROR(INDEX(DAFTAR_FIXTURE!$B$2:$B$51,MATCH(L60,DAFTAR_FIXTURE!$A$2:$A$51,0)),""))</f>
        <v/>
      </c>
      <c r="P60" s="12">
        <f>IF(AND($D60="",L60=""),"",IF(L60="",IF(AND(Q60="",V60=""),"Belum ditempatkan",""),IF(O60="","CEK ID FIXTURE tidak ada di DAFTAR_FIXTURE",IF(M60="","CEK ZONA NO kosong",IF(ISNA(MATCH(O60&amp;"|"&amp;M60,LAYOUT!$E$2:$E$80,0)),"CEK ZONA NO di luar layout",IF(N60&lt;&gt;INDEX(LAYOUT!$D$2:$D$80,MATCH(O60&amp;"|"&amp;M60,LAYOUT!$E$2:$E$80,0)),"CEK JENIS ZONA",IF($D60="","Zona STOCK",IF($E60="","CEK SKU DESCRIPTION kosong","OK"))))))))</f>
        <v/>
      </c>
      <c r="Q60" s="11" t="n"/>
      <c r="R60" s="11" t="n"/>
      <c r="S60" s="11" t="n"/>
      <c r="T60" s="12">
        <f>IF(Q60="","",IFERROR(INDEX(DAFTAR_FIXTURE!$B$2:$B$51,MATCH(Q60,DAFTAR_FIXTURE!$A$2:$A$51,0)),""))</f>
        <v/>
      </c>
      <c r="U60" s="12">
        <f>IF(Q60="","",IF(T60="","CEK ID FIXTURE tidak ada di DAFTAR_FIXTURE",IF(R60="","CEK ZONA NO kosong",IF(ISNA(MATCH(T60&amp;"|"&amp;R60,LAYOUT!$E$2:$E$80,0)),"CEK ZONA NO di luar layout",IF(S60&lt;&gt;INDEX(LAYOUT!$D$2:$D$80,MATCH(T60&amp;"|"&amp;R60,LAYOUT!$E$2:$E$80,0)),"CEK JENIS ZONA",IF($D60="","Zona STOCK",IF($E60="","CEK SKU DESCRIPTION kosong","OK")))))))</f>
        <v/>
      </c>
      <c r="V60" s="11" t="n"/>
      <c r="W60" s="11" t="n"/>
      <c r="X60" s="11" t="n"/>
      <c r="Y60" s="12">
        <f>IF(V60="","",IFERROR(INDEX(DAFTAR_FIXTURE!$B$2:$B$51,MATCH(V60,DAFTAR_FIXTURE!$A$2:$A$51,0)),""))</f>
        <v/>
      </c>
      <c r="Z60" s="12">
        <f>IF(V60="","",IF(Y60="","CEK ID FIXTURE tidak ada di DAFTAR_FIXTURE",IF(W60="","CEK ZONA NO kosong",IF(ISNA(MATCH(Y60&amp;"|"&amp;W60,LAYOUT!$E$2:$E$80,0)),"CEK ZONA NO di luar layout",IF(X60&lt;&gt;INDEX(LAYOUT!$D$2:$D$80,MATCH(Y60&amp;"|"&amp;W60,LAYOUT!$E$2:$E$80,0)),"CEK JENIS ZONA",IF($D60="","Zona STOCK",IF($E60="","CEK SKU DESCRIPTION kosong","OK")))))))</f>
        <v/>
      </c>
    </row>
    <row r="61">
      <c r="A61" s="10" t="inlineStr">
        <is>
          <t>Homeware</t>
        </is>
      </c>
      <c r="B61" s="10" t="inlineStr">
        <is>
          <t>Storage</t>
        </is>
      </c>
      <c r="C61" s="10" t="inlineStr">
        <is>
          <t>Food Storage</t>
        </is>
      </c>
      <c r="D61" s="10" t="inlineStr">
        <is>
          <t>10682155</t>
        </is>
      </c>
      <c r="E61" s="10" t="inlineStr">
        <is>
          <t>GRETTA GLASS JAR SET OF 3 WITH RACK</t>
        </is>
      </c>
      <c r="F61" s="10" t="n"/>
      <c r="G61" s="10" t="inlineStr">
        <is>
          <t>PENYIMPANAN</t>
        </is>
      </c>
      <c r="H61" s="10" t="inlineStr">
        <is>
          <t>E4. CANISTER</t>
        </is>
      </c>
      <c r="I61" s="10" t="inlineStr">
        <is>
          <t>GLASS BASIC</t>
        </is>
      </c>
      <c r="J61" s="10" t="n"/>
      <c r="K61" s="10" t="n"/>
      <c r="L61" s="11" t="inlineStr">
        <is>
          <t>GND-01</t>
        </is>
      </c>
      <c r="M61" s="11" t="n">
        <v>4</v>
      </c>
      <c r="N61" s="11" t="inlineStr">
        <is>
          <t>Rak</t>
        </is>
      </c>
      <c r="O61" s="12">
        <f>IF(L61="","",IFERROR(INDEX(DAFTAR_FIXTURE!$B$2:$B$51,MATCH(L61,DAFTAR_FIXTURE!$A$2:$A$51,0)),""))</f>
        <v/>
      </c>
      <c r="P61" s="12">
        <f>IF(AND($D61="",L61=""),"",IF(L61="",IF(AND(Q61="",V61=""),"Belum ditempatkan",""),IF(O61="","CEK ID FIXTURE tidak ada di DAFTAR_FIXTURE",IF(M61="","CEK ZONA NO kosong",IF(ISNA(MATCH(O61&amp;"|"&amp;M61,LAYOUT!$E$2:$E$80,0)),"CEK ZONA NO di luar layout",IF(N61&lt;&gt;INDEX(LAYOUT!$D$2:$D$80,MATCH(O61&amp;"|"&amp;M61,LAYOUT!$E$2:$E$80,0)),"CEK JENIS ZONA",IF($D61="","Zona STOCK",IF($E61="","CEK SKU DESCRIPTION kosong","OK"))))))))</f>
        <v/>
      </c>
      <c r="Q61" s="11" t="n"/>
      <c r="R61" s="11" t="n"/>
      <c r="S61" s="11" t="n"/>
      <c r="T61" s="12">
        <f>IF(Q61="","",IFERROR(INDEX(DAFTAR_FIXTURE!$B$2:$B$51,MATCH(Q61,DAFTAR_FIXTURE!$A$2:$A$51,0)),""))</f>
        <v/>
      </c>
      <c r="U61" s="12">
        <f>IF(Q61="","",IF(T61="","CEK ID FIXTURE tidak ada di DAFTAR_FIXTURE",IF(R61="","CEK ZONA NO kosong",IF(ISNA(MATCH(T61&amp;"|"&amp;R61,LAYOUT!$E$2:$E$80,0)),"CEK ZONA NO di luar layout",IF(S61&lt;&gt;INDEX(LAYOUT!$D$2:$D$80,MATCH(T61&amp;"|"&amp;R61,LAYOUT!$E$2:$E$80,0)),"CEK JENIS ZONA",IF($D61="","Zona STOCK",IF($E61="","CEK SKU DESCRIPTION kosong","OK")))))))</f>
        <v/>
      </c>
      <c r="V61" s="11" t="n"/>
      <c r="W61" s="11" t="n"/>
      <c r="X61" s="11" t="n"/>
      <c r="Y61" s="12">
        <f>IF(V61="","",IFERROR(INDEX(DAFTAR_FIXTURE!$B$2:$B$51,MATCH(V61,DAFTAR_FIXTURE!$A$2:$A$51,0)),""))</f>
        <v/>
      </c>
      <c r="Z61" s="12">
        <f>IF(V61="","",IF(Y61="","CEK ID FIXTURE tidak ada di DAFTAR_FIXTURE",IF(W61="","CEK ZONA NO kosong",IF(ISNA(MATCH(Y61&amp;"|"&amp;W61,LAYOUT!$E$2:$E$80,0)),"CEK ZONA NO di luar layout",IF(X61&lt;&gt;INDEX(LAYOUT!$D$2:$D$80,MATCH(Y61&amp;"|"&amp;W61,LAYOUT!$E$2:$E$80,0)),"CEK JENIS ZONA",IF($D61="","Zona STOCK",IF($E61="","CEK SKU DESCRIPTION kosong","OK")))))))</f>
        <v/>
      </c>
    </row>
    <row r="62">
      <c r="A62" s="10" t="inlineStr">
        <is>
          <t>Homeware</t>
        </is>
      </c>
      <c r="B62" s="10" t="inlineStr">
        <is>
          <t>Storage</t>
        </is>
      </c>
      <c r="C62" s="10" t="inlineStr">
        <is>
          <t>Food Storage</t>
        </is>
      </c>
      <c r="D62" s="10" t="inlineStr">
        <is>
          <t>10681993</t>
        </is>
      </c>
      <c r="E62" s="10" t="inlineStr">
        <is>
          <t>POLLA RICE BIN 5KG BEIGE</t>
        </is>
      </c>
      <c r="F62" s="10" t="n"/>
      <c r="G62" s="10" t="inlineStr">
        <is>
          <t>MASAK</t>
        </is>
      </c>
      <c r="H62" s="10" t="inlineStr">
        <is>
          <t>D11. KITCHEN PLASTICWARE</t>
        </is>
      </c>
      <c r="I62" s="10" t="inlineStr">
        <is>
          <t>POLLA</t>
        </is>
      </c>
      <c r="J62" s="10" t="n"/>
      <c r="K62" s="10" t="n"/>
      <c r="L62" s="11" t="inlineStr">
        <is>
          <t>GND-01</t>
        </is>
      </c>
      <c r="M62" s="11" t="n">
        <v>4</v>
      </c>
      <c r="N62" s="11" t="inlineStr">
        <is>
          <t>Rak</t>
        </is>
      </c>
      <c r="O62" s="12">
        <f>IF(L62="","",IFERROR(INDEX(DAFTAR_FIXTURE!$B$2:$B$51,MATCH(L62,DAFTAR_FIXTURE!$A$2:$A$51,0)),""))</f>
        <v/>
      </c>
      <c r="P62" s="12">
        <f>IF(AND($D62="",L62=""),"",IF(L62="",IF(AND(Q62="",V62=""),"Belum ditempatkan",""),IF(O62="","CEK ID FIXTURE tidak ada di DAFTAR_FIXTURE",IF(M62="","CEK ZONA NO kosong",IF(ISNA(MATCH(O62&amp;"|"&amp;M62,LAYOUT!$E$2:$E$80,0)),"CEK ZONA NO di luar layout",IF(N62&lt;&gt;INDEX(LAYOUT!$D$2:$D$80,MATCH(O62&amp;"|"&amp;M62,LAYOUT!$E$2:$E$80,0)),"CEK JENIS ZONA",IF($D62="","Zona STOCK",IF($E62="","CEK SKU DESCRIPTION kosong","OK"))))))))</f>
        <v/>
      </c>
      <c r="Q62" s="11" t="n"/>
      <c r="R62" s="11" t="n"/>
      <c r="S62" s="11" t="n"/>
      <c r="T62" s="12">
        <f>IF(Q62="","",IFERROR(INDEX(DAFTAR_FIXTURE!$B$2:$B$51,MATCH(Q62,DAFTAR_FIXTURE!$A$2:$A$51,0)),""))</f>
        <v/>
      </c>
      <c r="U62" s="12">
        <f>IF(Q62="","",IF(T62="","CEK ID FIXTURE tidak ada di DAFTAR_FIXTURE",IF(R62="","CEK ZONA NO kosong",IF(ISNA(MATCH(T62&amp;"|"&amp;R62,LAYOUT!$E$2:$E$80,0)),"CEK ZONA NO di luar layout",IF(S62&lt;&gt;INDEX(LAYOUT!$D$2:$D$80,MATCH(T62&amp;"|"&amp;R62,LAYOUT!$E$2:$E$80,0)),"CEK JENIS ZONA",IF($D62="","Zona STOCK",IF($E62="","CEK SKU DESCRIPTION kosong","OK")))))))</f>
        <v/>
      </c>
      <c r="V62" s="11" t="n"/>
      <c r="W62" s="11" t="n"/>
      <c r="X62" s="11" t="n"/>
      <c r="Y62" s="12">
        <f>IF(V62="","",IFERROR(INDEX(DAFTAR_FIXTURE!$B$2:$B$51,MATCH(V62,DAFTAR_FIXTURE!$A$2:$A$51,0)),""))</f>
        <v/>
      </c>
      <c r="Z62" s="12">
        <f>IF(V62="","",IF(Y62="","CEK ID FIXTURE tidak ada di DAFTAR_FIXTURE",IF(W62="","CEK ZONA NO kosong",IF(ISNA(MATCH(Y62&amp;"|"&amp;W62,LAYOUT!$E$2:$E$80,0)),"CEK ZONA NO di luar layout",IF(X62&lt;&gt;INDEX(LAYOUT!$D$2:$D$80,MATCH(Y62&amp;"|"&amp;W62,LAYOUT!$E$2:$E$80,0)),"CEK JENIS ZONA",IF($D62="","Zona STOCK",IF($E62="","CEK SKU DESCRIPTION kosong","OK")))))))</f>
        <v/>
      </c>
    </row>
    <row r="63">
      <c r="A63" s="10" t="inlineStr">
        <is>
          <t>Homeware</t>
        </is>
      </c>
      <c r="B63" s="10" t="inlineStr">
        <is>
          <t>Tableware</t>
        </is>
      </c>
      <c r="C63" s="10" t="inlineStr">
        <is>
          <t>Plates &amp; Bowls</t>
        </is>
      </c>
      <c r="D63" s="10" t="inlineStr">
        <is>
          <t>238182</t>
        </is>
      </c>
      <c r="E63" s="10" t="inlineStr">
        <is>
          <t>COUPLE PLATE 27CM SIMPLE PLUS</t>
        </is>
      </c>
      <c r="F63" s="10" t="n"/>
      <c r="G63" s="10" t="n"/>
      <c r="H63" s="10" t="n"/>
      <c r="I63" s="10" t="n"/>
      <c r="J63" s="10" t="n"/>
      <c r="K63" s="10" t="n"/>
      <c r="L63" s="11" t="inlineStr">
        <is>
          <t>WLL-02</t>
        </is>
      </c>
      <c r="M63" s="11" t="n">
        <v>1</v>
      </c>
      <c r="N63" s="11" t="inlineStr">
        <is>
          <t>Rak</t>
        </is>
      </c>
      <c r="O63" s="12">
        <f>IF(L63="","",IFERROR(INDEX(DAFTAR_FIXTURE!$B$2:$B$51,MATCH(L63,DAFTAR_FIXTURE!$A$2:$A$51,0)),""))</f>
        <v/>
      </c>
      <c r="P63" s="12">
        <f>IF(AND($D63="",L63=""),"",IF(L63="",IF(AND(Q63="",V63=""),"Belum ditempatkan",""),IF(O63="","CEK ID FIXTURE tidak ada di DAFTAR_FIXTURE",IF(M63="","CEK ZONA NO kosong",IF(ISNA(MATCH(O63&amp;"|"&amp;M63,LAYOUT!$E$2:$E$80,0)),"CEK ZONA NO di luar layout",IF(N63&lt;&gt;INDEX(LAYOUT!$D$2:$D$80,MATCH(O63&amp;"|"&amp;M63,LAYOUT!$E$2:$E$80,0)),"CEK JENIS ZONA",IF($D63="","Zona STOCK",IF($E63="","CEK SKU DESCRIPTION kosong","OK"))))))))</f>
        <v/>
      </c>
      <c r="Q63" s="11" t="n"/>
      <c r="R63" s="11" t="n"/>
      <c r="S63" s="11" t="n"/>
      <c r="T63" s="12">
        <f>IF(Q63="","",IFERROR(INDEX(DAFTAR_FIXTURE!$B$2:$B$51,MATCH(Q63,DAFTAR_FIXTURE!$A$2:$A$51,0)),""))</f>
        <v/>
      </c>
      <c r="U63" s="12">
        <f>IF(Q63="","",IF(T63="","CEK ID FIXTURE tidak ada di DAFTAR_FIXTURE",IF(R63="","CEK ZONA NO kosong",IF(ISNA(MATCH(T63&amp;"|"&amp;R63,LAYOUT!$E$2:$E$80,0)),"CEK ZONA NO di luar layout",IF(S63&lt;&gt;INDEX(LAYOUT!$D$2:$D$80,MATCH(T63&amp;"|"&amp;R63,LAYOUT!$E$2:$E$80,0)),"CEK JENIS ZONA",IF($D63="","Zona STOCK",IF($E63="","CEK SKU DESCRIPTION kosong","OK")))))))</f>
        <v/>
      </c>
      <c r="V63" s="11" t="n"/>
      <c r="W63" s="11" t="n"/>
      <c r="X63" s="11" t="n"/>
      <c r="Y63" s="12">
        <f>IF(V63="","",IFERROR(INDEX(DAFTAR_FIXTURE!$B$2:$B$51,MATCH(V63,DAFTAR_FIXTURE!$A$2:$A$51,0)),""))</f>
        <v/>
      </c>
      <c r="Z63" s="12">
        <f>IF(V63="","",IF(Y63="","CEK ID FIXTURE tidak ada di DAFTAR_FIXTURE",IF(W63="","CEK ZONA NO kosong",IF(ISNA(MATCH(Y63&amp;"|"&amp;W63,LAYOUT!$E$2:$E$80,0)),"CEK ZONA NO di luar layout",IF(X63&lt;&gt;INDEX(LAYOUT!$D$2:$D$80,MATCH(Y63&amp;"|"&amp;W63,LAYOUT!$E$2:$E$80,0)),"CEK JENIS ZONA",IF($D63="","Zona STOCK",IF($E63="","CEK SKU DESCRIPTION kosong","OK")))))))</f>
        <v/>
      </c>
    </row>
    <row r="64">
      <c r="A64" s="10" t="inlineStr">
        <is>
          <t>Homeware</t>
        </is>
      </c>
      <c r="B64" s="10" t="inlineStr">
        <is>
          <t>Tableware</t>
        </is>
      </c>
      <c r="C64" s="10" t="inlineStr">
        <is>
          <t>Plates &amp; Bowls</t>
        </is>
      </c>
      <c r="D64" s="10" t="inlineStr">
        <is>
          <t>238187</t>
        </is>
      </c>
      <c r="E64" s="10" t="inlineStr">
        <is>
          <t>RECT PLATE 14.5CMX22CM SIMPLE PLUS</t>
        </is>
      </c>
      <c r="F64" s="10" t="n"/>
      <c r="G64" s="10" t="n"/>
      <c r="H64" s="10" t="n"/>
      <c r="I64" s="10" t="n"/>
      <c r="J64" s="10" t="n"/>
      <c r="K64" s="10" t="n"/>
      <c r="L64" s="11" t="inlineStr">
        <is>
          <t>WLL-02</t>
        </is>
      </c>
      <c r="M64" s="11" t="n">
        <v>1</v>
      </c>
      <c r="N64" s="11" t="inlineStr">
        <is>
          <t>Rak</t>
        </is>
      </c>
      <c r="O64" s="12">
        <f>IF(L64="","",IFERROR(INDEX(DAFTAR_FIXTURE!$B$2:$B$51,MATCH(L64,DAFTAR_FIXTURE!$A$2:$A$51,0)),""))</f>
        <v/>
      </c>
      <c r="P64" s="12">
        <f>IF(AND($D64="",L64=""),"",IF(L64="",IF(AND(Q64="",V64=""),"Belum ditempatkan",""),IF(O64="","CEK ID FIXTURE tidak ada di DAFTAR_FIXTURE",IF(M64="","CEK ZONA NO kosong",IF(ISNA(MATCH(O64&amp;"|"&amp;M64,LAYOUT!$E$2:$E$80,0)),"CEK ZONA NO di luar layout",IF(N64&lt;&gt;INDEX(LAYOUT!$D$2:$D$80,MATCH(O64&amp;"|"&amp;M64,LAYOUT!$E$2:$E$80,0)),"CEK JENIS ZONA",IF($D64="","Zona STOCK",IF($E64="","CEK SKU DESCRIPTION kosong","OK"))))))))</f>
        <v/>
      </c>
      <c r="Q64" s="11" t="n"/>
      <c r="R64" s="11" t="n"/>
      <c r="S64" s="11" t="n"/>
      <c r="T64" s="12">
        <f>IF(Q64="","",IFERROR(INDEX(DAFTAR_FIXTURE!$B$2:$B$51,MATCH(Q64,DAFTAR_FIXTURE!$A$2:$A$51,0)),""))</f>
        <v/>
      </c>
      <c r="U64" s="12">
        <f>IF(Q64="","",IF(T64="","CEK ID FIXTURE tidak ada di DAFTAR_FIXTURE",IF(R64="","CEK ZONA NO kosong",IF(ISNA(MATCH(T64&amp;"|"&amp;R64,LAYOUT!$E$2:$E$80,0)),"CEK ZONA NO di luar layout",IF(S64&lt;&gt;INDEX(LAYOUT!$D$2:$D$80,MATCH(T64&amp;"|"&amp;R64,LAYOUT!$E$2:$E$80,0)),"CEK JENIS ZONA",IF($D64="","Zona STOCK",IF($E64="","CEK SKU DESCRIPTION kosong","OK")))))))</f>
        <v/>
      </c>
      <c r="V64" s="11" t="n"/>
      <c r="W64" s="11" t="n"/>
      <c r="X64" s="11" t="n"/>
      <c r="Y64" s="12">
        <f>IF(V64="","",IFERROR(INDEX(DAFTAR_FIXTURE!$B$2:$B$51,MATCH(V64,DAFTAR_FIXTURE!$A$2:$A$51,0)),""))</f>
        <v/>
      </c>
      <c r="Z64" s="12">
        <f>IF(V64="","",IF(Y64="","CEK ID FIXTURE tidak ada di DAFTAR_FIXTURE",IF(W64="","CEK ZONA NO kosong",IF(ISNA(MATCH(Y64&amp;"|"&amp;W64,LAYOUT!$E$2:$E$80,0)),"CEK ZONA NO di luar layout",IF(X64&lt;&gt;INDEX(LAYOUT!$D$2:$D$80,MATCH(Y64&amp;"|"&amp;W64,LAYOUT!$E$2:$E$80,0)),"CEK JENIS ZONA",IF($D64="","Zona STOCK",IF($E64="","CEK SKU DESCRIPTION kosong","OK")))))))</f>
        <v/>
      </c>
    </row>
    <row r="65">
      <c r="A65" s="10" t="inlineStr">
        <is>
          <t>Homeware</t>
        </is>
      </c>
      <c r="B65" s="10" t="inlineStr">
        <is>
          <t>Drinkware</t>
        </is>
      </c>
      <c r="C65" s="10" t="inlineStr">
        <is>
          <t>Cup &amp; Saucer</t>
        </is>
      </c>
      <c r="D65" s="10" t="inlineStr">
        <is>
          <t>238190</t>
        </is>
      </c>
      <c r="E65" s="10" t="inlineStr">
        <is>
          <t>CUP 100 CC W/SAUCER 12.5CM SIMPLE PLUS</t>
        </is>
      </c>
      <c r="F65" s="10" t="n"/>
      <c r="G65" s="10" t="n"/>
      <c r="H65" s="10" t="n"/>
      <c r="I65" s="10" t="n"/>
      <c r="J65" s="10" t="n"/>
      <c r="K65" s="10" t="n"/>
      <c r="L65" s="11" t="n"/>
      <c r="M65" s="11" t="n"/>
      <c r="N65" s="11" t="n"/>
      <c r="O65" s="12">
        <f>IF(L65="","",IFERROR(INDEX(DAFTAR_FIXTURE!$B$2:$B$51,MATCH(L65,DAFTAR_FIXTURE!$A$2:$A$51,0)),""))</f>
        <v/>
      </c>
      <c r="P65" s="12">
        <f>IF(AND($D65="",L65=""),"",IF(L65="",IF(AND(Q65="",V65=""),"Belum ditempatkan",""),IF(O65="","CEK ID FIXTURE tidak ada di DAFTAR_FIXTURE",IF(M65="","CEK ZONA NO kosong",IF(ISNA(MATCH(O65&amp;"|"&amp;M65,LAYOUT!$E$2:$E$80,0)),"CEK ZONA NO di luar layout",IF(N65&lt;&gt;INDEX(LAYOUT!$D$2:$D$80,MATCH(O65&amp;"|"&amp;M65,LAYOUT!$E$2:$E$80,0)),"CEK JENIS ZONA",IF($D65="","Zona STOCK",IF($E65="","CEK SKU DESCRIPTION kosong","OK"))))))))</f>
        <v/>
      </c>
      <c r="Q65" s="11" t="n"/>
      <c r="R65" s="11" t="n"/>
      <c r="S65" s="11" t="n"/>
      <c r="T65" s="12">
        <f>IF(Q65="","",IFERROR(INDEX(DAFTAR_FIXTURE!$B$2:$B$51,MATCH(Q65,DAFTAR_FIXTURE!$A$2:$A$51,0)),""))</f>
        <v/>
      </c>
      <c r="U65" s="12">
        <f>IF(Q65="","",IF(T65="","CEK ID FIXTURE tidak ada di DAFTAR_FIXTURE",IF(R65="","CEK ZONA NO kosong",IF(ISNA(MATCH(T65&amp;"|"&amp;R65,LAYOUT!$E$2:$E$80,0)),"CEK ZONA NO di luar layout",IF(S65&lt;&gt;INDEX(LAYOUT!$D$2:$D$80,MATCH(T65&amp;"|"&amp;R65,LAYOUT!$E$2:$E$80,0)),"CEK JENIS ZONA",IF($D65="","Zona STOCK",IF($E65="","CEK SKU DESCRIPTION kosong","OK")))))))</f>
        <v/>
      </c>
      <c r="V65" s="11" t="n"/>
      <c r="W65" s="11" t="n"/>
      <c r="X65" s="11" t="n"/>
      <c r="Y65" s="12">
        <f>IF(V65="","",IFERROR(INDEX(DAFTAR_FIXTURE!$B$2:$B$51,MATCH(V65,DAFTAR_FIXTURE!$A$2:$A$51,0)),""))</f>
        <v/>
      </c>
      <c r="Z65" s="12">
        <f>IF(V65="","",IF(Y65="","CEK ID FIXTURE tidak ada di DAFTAR_FIXTURE",IF(W65="","CEK ZONA NO kosong",IF(ISNA(MATCH(Y65&amp;"|"&amp;W65,LAYOUT!$E$2:$E$80,0)),"CEK ZONA NO di luar layout",IF(X65&lt;&gt;INDEX(LAYOUT!$D$2:$D$80,MATCH(Y65&amp;"|"&amp;W65,LAYOUT!$E$2:$E$80,0)),"CEK JENIS ZONA",IF($D65="","Zona STOCK",IF($E65="","CEK SKU DESCRIPTION kosong","OK")))))))</f>
        <v/>
      </c>
    </row>
    <row r="66">
      <c r="A66" s="10" t="inlineStr">
        <is>
          <t>Homeware</t>
        </is>
      </c>
      <c r="B66" s="10" t="inlineStr">
        <is>
          <t>Drinkware</t>
        </is>
      </c>
      <c r="C66" s="10" t="inlineStr">
        <is>
          <t>Cup &amp; Saucer</t>
        </is>
      </c>
      <c r="D66" s="10" t="inlineStr">
        <is>
          <t>238191</t>
        </is>
      </c>
      <c r="E66" s="10" t="inlineStr">
        <is>
          <t>CUP 200 CC W/SAUCER 15.5CM SIMPLE PLUS</t>
        </is>
      </c>
      <c r="F66" s="10" t="n"/>
      <c r="G66" s="10" t="n"/>
      <c r="H66" s="10" t="n"/>
      <c r="I66" s="10" t="n"/>
      <c r="J66" s="10" t="n"/>
      <c r="K66" s="10" t="n"/>
      <c r="L66" s="11" t="n"/>
      <c r="M66" s="11" t="n"/>
      <c r="N66" s="11" t="n"/>
      <c r="O66" s="12">
        <f>IF(L66="","",IFERROR(INDEX(DAFTAR_FIXTURE!$B$2:$B$51,MATCH(L66,DAFTAR_FIXTURE!$A$2:$A$51,0)),""))</f>
        <v/>
      </c>
      <c r="P66" s="12">
        <f>IF(AND($D66="",L66=""),"",IF(L66="",IF(AND(Q66="",V66=""),"Belum ditempatkan",""),IF(O66="","CEK ID FIXTURE tidak ada di DAFTAR_FIXTURE",IF(M66="","CEK ZONA NO kosong",IF(ISNA(MATCH(O66&amp;"|"&amp;M66,LAYOUT!$E$2:$E$80,0)),"CEK ZONA NO di luar layout",IF(N66&lt;&gt;INDEX(LAYOUT!$D$2:$D$80,MATCH(O66&amp;"|"&amp;M66,LAYOUT!$E$2:$E$80,0)),"CEK JENIS ZONA",IF($D66="","Zona STOCK",IF($E66="","CEK SKU DESCRIPTION kosong","OK"))))))))</f>
        <v/>
      </c>
      <c r="Q66" s="11" t="n"/>
      <c r="R66" s="11" t="n"/>
      <c r="S66" s="11" t="n"/>
      <c r="T66" s="12">
        <f>IF(Q66="","",IFERROR(INDEX(DAFTAR_FIXTURE!$B$2:$B$51,MATCH(Q66,DAFTAR_FIXTURE!$A$2:$A$51,0)),""))</f>
        <v/>
      </c>
      <c r="U66" s="12">
        <f>IF(Q66="","",IF(T66="","CEK ID FIXTURE tidak ada di DAFTAR_FIXTURE",IF(R66="","CEK ZONA NO kosong",IF(ISNA(MATCH(T66&amp;"|"&amp;R66,LAYOUT!$E$2:$E$80,0)),"CEK ZONA NO di luar layout",IF(S66&lt;&gt;INDEX(LAYOUT!$D$2:$D$80,MATCH(T66&amp;"|"&amp;R66,LAYOUT!$E$2:$E$80,0)),"CEK JENIS ZONA",IF($D66="","Zona STOCK",IF($E66="","CEK SKU DESCRIPTION kosong","OK")))))))</f>
        <v/>
      </c>
      <c r="V66" s="11" t="n"/>
      <c r="W66" s="11" t="n"/>
      <c r="X66" s="11" t="n"/>
      <c r="Y66" s="12">
        <f>IF(V66="","",IFERROR(INDEX(DAFTAR_FIXTURE!$B$2:$B$51,MATCH(V66,DAFTAR_FIXTURE!$A$2:$A$51,0)),""))</f>
        <v/>
      </c>
      <c r="Z66" s="12">
        <f>IF(V66="","",IF(Y66="","CEK ID FIXTURE tidak ada di DAFTAR_FIXTURE",IF(W66="","CEK ZONA NO kosong",IF(ISNA(MATCH(Y66&amp;"|"&amp;W66,LAYOUT!$E$2:$E$80,0)),"CEK ZONA NO di luar layout",IF(X66&lt;&gt;INDEX(LAYOUT!$D$2:$D$80,MATCH(Y66&amp;"|"&amp;W66,LAYOUT!$E$2:$E$80,0)),"CEK JENIS ZONA",IF($D66="","Zona STOCK",IF($E66="","CEK SKU DESCRIPTION kosong","OK")))))))</f>
        <v/>
      </c>
    </row>
    <row r="67">
      <c r="A67" s="10" t="inlineStr">
        <is>
          <t>Homeware</t>
        </is>
      </c>
      <c r="B67" s="10" t="inlineStr">
        <is>
          <t>Tableware</t>
        </is>
      </c>
      <c r="C67" s="10" t="inlineStr">
        <is>
          <t>Plates &amp; Bowls</t>
        </is>
      </c>
      <c r="D67" s="10" t="inlineStr">
        <is>
          <t>238192</t>
        </is>
      </c>
      <c r="E67" s="10" t="inlineStr">
        <is>
          <t>LOW BOWL 17 CM SIMPLE PLUS</t>
        </is>
      </c>
      <c r="F67" s="10" t="n"/>
      <c r="G67" s="10" t="n"/>
      <c r="H67" s="10" t="n"/>
      <c r="I67" s="10" t="n"/>
      <c r="J67" s="10" t="n"/>
      <c r="K67" s="10" t="n"/>
      <c r="L67" s="11" t="inlineStr">
        <is>
          <t>WLL-02</t>
        </is>
      </c>
      <c r="M67" s="11" t="n">
        <v>1</v>
      </c>
      <c r="N67" s="11" t="inlineStr">
        <is>
          <t>Rak</t>
        </is>
      </c>
      <c r="O67" s="12">
        <f>IF(L67="","",IFERROR(INDEX(DAFTAR_FIXTURE!$B$2:$B$51,MATCH(L67,DAFTAR_FIXTURE!$A$2:$A$51,0)),""))</f>
        <v/>
      </c>
      <c r="P67" s="12">
        <f>IF(AND($D67="",L67=""),"",IF(L67="",IF(AND(Q67="",V67=""),"Belum ditempatkan",""),IF(O67="","CEK ID FIXTURE tidak ada di DAFTAR_FIXTURE",IF(M67="","CEK ZONA NO kosong",IF(ISNA(MATCH(O67&amp;"|"&amp;M67,LAYOUT!$E$2:$E$80,0)),"CEK ZONA NO di luar layout",IF(N67&lt;&gt;INDEX(LAYOUT!$D$2:$D$80,MATCH(O67&amp;"|"&amp;M67,LAYOUT!$E$2:$E$80,0)),"CEK JENIS ZONA",IF($D67="","Zona STOCK",IF($E67="","CEK SKU DESCRIPTION kosong","OK"))))))))</f>
        <v/>
      </c>
      <c r="Q67" s="11" t="n"/>
      <c r="R67" s="11" t="n"/>
      <c r="S67" s="11" t="n"/>
      <c r="T67" s="12">
        <f>IF(Q67="","",IFERROR(INDEX(DAFTAR_FIXTURE!$B$2:$B$51,MATCH(Q67,DAFTAR_FIXTURE!$A$2:$A$51,0)),""))</f>
        <v/>
      </c>
      <c r="U67" s="12">
        <f>IF(Q67="","",IF(T67="","CEK ID FIXTURE tidak ada di DAFTAR_FIXTURE",IF(R67="","CEK ZONA NO kosong",IF(ISNA(MATCH(T67&amp;"|"&amp;R67,LAYOUT!$E$2:$E$80,0)),"CEK ZONA NO di luar layout",IF(S67&lt;&gt;INDEX(LAYOUT!$D$2:$D$80,MATCH(T67&amp;"|"&amp;R67,LAYOUT!$E$2:$E$80,0)),"CEK JENIS ZONA",IF($D67="","Zona STOCK",IF($E67="","CEK SKU DESCRIPTION kosong","OK")))))))</f>
        <v/>
      </c>
      <c r="V67" s="11" t="n"/>
      <c r="W67" s="11" t="n"/>
      <c r="X67" s="11" t="n"/>
      <c r="Y67" s="12">
        <f>IF(V67="","",IFERROR(INDEX(DAFTAR_FIXTURE!$B$2:$B$51,MATCH(V67,DAFTAR_FIXTURE!$A$2:$A$51,0)),""))</f>
        <v/>
      </c>
      <c r="Z67" s="12">
        <f>IF(V67="","",IF(Y67="","CEK ID FIXTURE tidak ada di DAFTAR_FIXTURE",IF(W67="","CEK ZONA NO kosong",IF(ISNA(MATCH(Y67&amp;"|"&amp;W67,LAYOUT!$E$2:$E$80,0)),"CEK ZONA NO di luar layout",IF(X67&lt;&gt;INDEX(LAYOUT!$D$2:$D$80,MATCH(Y67&amp;"|"&amp;W67,LAYOUT!$E$2:$E$80,0)),"CEK JENIS ZONA",IF($D67="","Zona STOCK",IF($E67="","CEK SKU DESCRIPTION kosong","OK")))))))</f>
        <v/>
      </c>
    </row>
    <row r="68">
      <c r="A68" s="10" t="inlineStr">
        <is>
          <t>Homeware</t>
        </is>
      </c>
      <c r="B68" s="10" t="inlineStr">
        <is>
          <t>Tableware</t>
        </is>
      </c>
      <c r="C68" s="10" t="inlineStr">
        <is>
          <t>Plates &amp; Bowls</t>
        </is>
      </c>
      <c r="D68" s="10" t="inlineStr">
        <is>
          <t>238193</t>
        </is>
      </c>
      <c r="E68" s="10" t="inlineStr">
        <is>
          <t>LOW BOWL 19 CM SIMPLE PLUS</t>
        </is>
      </c>
      <c r="F68" s="10" t="n"/>
      <c r="G68" s="10" t="n"/>
      <c r="H68" s="10" t="n"/>
      <c r="I68" s="10" t="n"/>
      <c r="J68" s="10" t="n"/>
      <c r="K68" s="10" t="n"/>
      <c r="L68" s="11" t="inlineStr">
        <is>
          <t>WLL-02</t>
        </is>
      </c>
      <c r="M68" s="11" t="n">
        <v>1</v>
      </c>
      <c r="N68" s="11" t="inlineStr">
        <is>
          <t>Rak</t>
        </is>
      </c>
      <c r="O68" s="12">
        <f>IF(L68="","",IFERROR(INDEX(DAFTAR_FIXTURE!$B$2:$B$51,MATCH(L68,DAFTAR_FIXTURE!$A$2:$A$51,0)),""))</f>
        <v/>
      </c>
      <c r="P68" s="12">
        <f>IF(AND($D68="",L68=""),"",IF(L68="",IF(AND(Q68="",V68=""),"Belum ditempatkan",""),IF(O68="","CEK ID FIXTURE tidak ada di DAFTAR_FIXTURE",IF(M68="","CEK ZONA NO kosong",IF(ISNA(MATCH(O68&amp;"|"&amp;M68,LAYOUT!$E$2:$E$80,0)),"CEK ZONA NO di luar layout",IF(N68&lt;&gt;INDEX(LAYOUT!$D$2:$D$80,MATCH(O68&amp;"|"&amp;M68,LAYOUT!$E$2:$E$80,0)),"CEK JENIS ZONA",IF($D68="","Zona STOCK",IF($E68="","CEK SKU DESCRIPTION kosong","OK"))))))))</f>
        <v/>
      </c>
      <c r="Q68" s="11" t="n"/>
      <c r="R68" s="11" t="n"/>
      <c r="S68" s="11" t="n"/>
      <c r="T68" s="12">
        <f>IF(Q68="","",IFERROR(INDEX(DAFTAR_FIXTURE!$B$2:$B$51,MATCH(Q68,DAFTAR_FIXTURE!$A$2:$A$51,0)),""))</f>
        <v/>
      </c>
      <c r="U68" s="12">
        <f>IF(Q68="","",IF(T68="","CEK ID FIXTURE tidak ada di DAFTAR_FIXTURE",IF(R68="","CEK ZONA NO kosong",IF(ISNA(MATCH(T68&amp;"|"&amp;R68,LAYOUT!$E$2:$E$80,0)),"CEK ZONA NO di luar layout",IF(S68&lt;&gt;INDEX(LAYOUT!$D$2:$D$80,MATCH(T68&amp;"|"&amp;R68,LAYOUT!$E$2:$E$80,0)),"CEK JENIS ZONA",IF($D68="","Zona STOCK",IF($E68="","CEK SKU DESCRIPTION kosong","OK")))))))</f>
        <v/>
      </c>
      <c r="V68" s="11" t="n"/>
      <c r="W68" s="11" t="n"/>
      <c r="X68" s="11" t="n"/>
      <c r="Y68" s="12">
        <f>IF(V68="","",IFERROR(INDEX(DAFTAR_FIXTURE!$B$2:$B$51,MATCH(V68,DAFTAR_FIXTURE!$A$2:$A$51,0)),""))</f>
        <v/>
      </c>
      <c r="Z68" s="12">
        <f>IF(V68="","",IF(Y68="","CEK ID FIXTURE tidak ada di DAFTAR_FIXTURE",IF(W68="","CEK ZONA NO kosong",IF(ISNA(MATCH(Y68&amp;"|"&amp;W68,LAYOUT!$E$2:$E$80,0)),"CEK ZONA NO di luar layout",IF(X68&lt;&gt;INDEX(LAYOUT!$D$2:$D$80,MATCH(Y68&amp;"|"&amp;W68,LAYOUT!$E$2:$E$80,0)),"CEK JENIS ZONA",IF($D68="","Zona STOCK",IF($E68="","CEK SKU DESCRIPTION kosong","OK")))))))</f>
        <v/>
      </c>
    </row>
    <row r="69">
      <c r="A69" s="10" t="inlineStr">
        <is>
          <t>Homeware</t>
        </is>
      </c>
      <c r="B69" s="10" t="inlineStr">
        <is>
          <t>Cookware</t>
        </is>
      </c>
      <c r="C69" s="10" t="inlineStr">
        <is>
          <t>Casserole</t>
        </is>
      </c>
      <c r="D69" s="10" t="inlineStr">
        <is>
          <t>10445959</t>
        </is>
      </c>
      <c r="E69" s="10" t="inlineStr">
        <is>
          <t>CASSEROLE RECT GOLD MARBLE W/LID 33CM</t>
        </is>
      </c>
      <c r="F69" s="10" t="n"/>
      <c r="G69" s="10" t="inlineStr">
        <is>
          <t>MASAK</t>
        </is>
      </c>
      <c r="H69" s="10" t="inlineStr">
        <is>
          <t>B1. CASSEROLE</t>
        </is>
      </c>
      <c r="I69" s="10" t="inlineStr">
        <is>
          <t>GOLD MARBLE</t>
        </is>
      </c>
      <c r="J69" s="10" t="n"/>
      <c r="K69" s="10" t="n"/>
      <c r="L69" s="11" t="inlineStr">
        <is>
          <t>GND-04</t>
        </is>
      </c>
      <c r="M69" s="11" t="n">
        <v>1</v>
      </c>
      <c r="N69" s="11" t="inlineStr">
        <is>
          <t>Rak</t>
        </is>
      </c>
      <c r="O69" s="12">
        <f>IF(L69="","",IFERROR(INDEX(DAFTAR_FIXTURE!$B$2:$B$51,MATCH(L69,DAFTAR_FIXTURE!$A$2:$A$51,0)),""))</f>
        <v/>
      </c>
      <c r="P69" s="12">
        <f>IF(AND($D69="",L69=""),"",IF(L69="",IF(AND(Q69="",V69=""),"Belum ditempatkan",""),IF(O69="","CEK ID FIXTURE tidak ada di DAFTAR_FIXTURE",IF(M69="","CEK ZONA NO kosong",IF(ISNA(MATCH(O69&amp;"|"&amp;M69,LAYOUT!$E$2:$E$80,0)),"CEK ZONA NO di luar layout",IF(N69&lt;&gt;INDEX(LAYOUT!$D$2:$D$80,MATCH(O69&amp;"|"&amp;M69,LAYOUT!$E$2:$E$80,0)),"CEK JENIS ZONA",IF($D69="","Zona STOCK",IF($E69="","CEK SKU DESCRIPTION kosong","OK"))))))))</f>
        <v/>
      </c>
      <c r="Q69" s="11" t="n"/>
      <c r="R69" s="11" t="n"/>
      <c r="S69" s="11" t="n"/>
      <c r="T69" s="12">
        <f>IF(Q69="","",IFERROR(INDEX(DAFTAR_FIXTURE!$B$2:$B$51,MATCH(Q69,DAFTAR_FIXTURE!$A$2:$A$51,0)),""))</f>
        <v/>
      </c>
      <c r="U69" s="12">
        <f>IF(Q69="","",IF(T69="","CEK ID FIXTURE tidak ada di DAFTAR_FIXTURE",IF(R69="","CEK ZONA NO kosong",IF(ISNA(MATCH(T69&amp;"|"&amp;R69,LAYOUT!$E$2:$E$80,0)),"CEK ZONA NO di luar layout",IF(S69&lt;&gt;INDEX(LAYOUT!$D$2:$D$80,MATCH(T69&amp;"|"&amp;R69,LAYOUT!$E$2:$E$80,0)),"CEK JENIS ZONA",IF($D69="","Zona STOCK",IF($E69="","CEK SKU DESCRIPTION kosong","OK")))))))</f>
        <v/>
      </c>
      <c r="V69" s="11" t="n"/>
      <c r="W69" s="11" t="n"/>
      <c r="X69" s="11" t="n"/>
      <c r="Y69" s="12">
        <f>IF(V69="","",IFERROR(INDEX(DAFTAR_FIXTURE!$B$2:$B$51,MATCH(V69,DAFTAR_FIXTURE!$A$2:$A$51,0)),""))</f>
        <v/>
      </c>
      <c r="Z69" s="12">
        <f>IF(V69="","",IF(Y69="","CEK ID FIXTURE tidak ada di DAFTAR_FIXTURE",IF(W69="","CEK ZONA NO kosong",IF(ISNA(MATCH(Y69&amp;"|"&amp;W69,LAYOUT!$E$2:$E$80,0)),"CEK ZONA NO di luar layout",IF(X69&lt;&gt;INDEX(LAYOUT!$D$2:$D$80,MATCH(Y69&amp;"|"&amp;W69,LAYOUT!$E$2:$E$80,0)),"CEK JENIS ZONA",IF($D69="","Zona STOCK",IF($E69="","CEK SKU DESCRIPTION kosong","OK")))))))</f>
        <v/>
      </c>
    </row>
    <row r="70">
      <c r="A70" s="10" t="inlineStr">
        <is>
          <t>Homeware</t>
        </is>
      </c>
      <c r="B70" s="10" t="inlineStr">
        <is>
          <t>Cookware</t>
        </is>
      </c>
      <c r="C70" s="10" t="inlineStr">
        <is>
          <t>Casserole</t>
        </is>
      </c>
      <c r="D70" s="10" t="inlineStr">
        <is>
          <t>10445960</t>
        </is>
      </c>
      <c r="E70" s="10" t="inlineStr">
        <is>
          <t>CASSEROLE OVAL GOLD MARBLE W/LID 33CM</t>
        </is>
      </c>
      <c r="F70" s="10" t="n"/>
      <c r="G70" s="10" t="inlineStr">
        <is>
          <t>MASAK</t>
        </is>
      </c>
      <c r="H70" s="10" t="inlineStr">
        <is>
          <t>B1. CASSEROLE</t>
        </is>
      </c>
      <c r="I70" s="10" t="inlineStr">
        <is>
          <t>GOLD MARBLE</t>
        </is>
      </c>
      <c r="J70" s="10" t="n"/>
      <c r="K70" s="10" t="n"/>
      <c r="L70" s="11" t="inlineStr">
        <is>
          <t>GND-04</t>
        </is>
      </c>
      <c r="M70" s="11" t="n">
        <v>1</v>
      </c>
      <c r="N70" s="11" t="inlineStr">
        <is>
          <t>Rak</t>
        </is>
      </c>
      <c r="O70" s="12">
        <f>IF(L70="","",IFERROR(INDEX(DAFTAR_FIXTURE!$B$2:$B$51,MATCH(L70,DAFTAR_FIXTURE!$A$2:$A$51,0)),""))</f>
        <v/>
      </c>
      <c r="P70" s="12">
        <f>IF(AND($D70="",L70=""),"",IF(L70="",IF(AND(Q70="",V70=""),"Belum ditempatkan",""),IF(O70="","CEK ID FIXTURE tidak ada di DAFTAR_FIXTURE",IF(M70="","CEK ZONA NO kosong",IF(ISNA(MATCH(O70&amp;"|"&amp;M70,LAYOUT!$E$2:$E$80,0)),"CEK ZONA NO di luar layout",IF(N70&lt;&gt;INDEX(LAYOUT!$D$2:$D$80,MATCH(O70&amp;"|"&amp;M70,LAYOUT!$E$2:$E$80,0)),"CEK JENIS ZONA",IF($D70="","Zona STOCK",IF($E70="","CEK SKU DESCRIPTION kosong","OK"))))))))</f>
        <v/>
      </c>
      <c r="Q70" s="11" t="n"/>
      <c r="R70" s="11" t="n"/>
      <c r="S70" s="11" t="n"/>
      <c r="T70" s="12">
        <f>IF(Q70="","",IFERROR(INDEX(DAFTAR_FIXTURE!$B$2:$B$51,MATCH(Q70,DAFTAR_FIXTURE!$A$2:$A$51,0)),""))</f>
        <v/>
      </c>
      <c r="U70" s="12">
        <f>IF(Q70="","",IF(T70="","CEK ID FIXTURE tidak ada di DAFTAR_FIXTURE",IF(R70="","CEK ZONA NO kosong",IF(ISNA(MATCH(T70&amp;"|"&amp;R70,LAYOUT!$E$2:$E$80,0)),"CEK ZONA NO di luar layout",IF(S70&lt;&gt;INDEX(LAYOUT!$D$2:$D$80,MATCH(T70&amp;"|"&amp;R70,LAYOUT!$E$2:$E$80,0)),"CEK JENIS ZONA",IF($D70="","Zona STOCK",IF($E70="","CEK SKU DESCRIPTION kosong","OK")))))))</f>
        <v/>
      </c>
      <c r="V70" s="11" t="n"/>
      <c r="W70" s="11" t="n"/>
      <c r="X70" s="11" t="n"/>
      <c r="Y70" s="12">
        <f>IF(V70="","",IFERROR(INDEX(DAFTAR_FIXTURE!$B$2:$B$51,MATCH(V70,DAFTAR_FIXTURE!$A$2:$A$51,0)),""))</f>
        <v/>
      </c>
      <c r="Z70" s="12">
        <f>IF(V70="","",IF(Y70="","CEK ID FIXTURE tidak ada di DAFTAR_FIXTURE",IF(W70="","CEK ZONA NO kosong",IF(ISNA(MATCH(Y70&amp;"|"&amp;W70,LAYOUT!$E$2:$E$80,0)),"CEK ZONA NO di luar layout",IF(X70&lt;&gt;INDEX(LAYOUT!$D$2:$D$80,MATCH(Y70&amp;"|"&amp;W70,LAYOUT!$E$2:$E$80,0)),"CEK JENIS ZONA",IF($D70="","Zona STOCK",IF($E70="","CEK SKU DESCRIPTION kosong","OK")))))))</f>
        <v/>
      </c>
    </row>
    <row r="71">
      <c r="A71" s="10" t="inlineStr">
        <is>
          <t>Homeware</t>
        </is>
      </c>
      <c r="B71" s="10" t="inlineStr">
        <is>
          <t>Cookware</t>
        </is>
      </c>
      <c r="C71" s="10" t="inlineStr">
        <is>
          <t>Casserole</t>
        </is>
      </c>
      <c r="D71" s="10" t="inlineStr">
        <is>
          <t>10445961</t>
        </is>
      </c>
      <c r="E71" s="10" t="inlineStr">
        <is>
          <t>CASSEROLE ROUND GOLD MARBLE W/LID 33CM</t>
        </is>
      </c>
      <c r="F71" s="10" t="n"/>
      <c r="G71" s="10" t="inlineStr">
        <is>
          <t>MASAK</t>
        </is>
      </c>
      <c r="H71" s="10" t="inlineStr">
        <is>
          <t>B1. CASSEROLE</t>
        </is>
      </c>
      <c r="I71" s="10" t="inlineStr">
        <is>
          <t>GOLD MARBLE</t>
        </is>
      </c>
      <c r="J71" s="10" t="n"/>
      <c r="K71" s="10" t="n"/>
      <c r="L71" s="11" t="inlineStr">
        <is>
          <t>GND-04</t>
        </is>
      </c>
      <c r="M71" s="11" t="n">
        <v>1</v>
      </c>
      <c r="N71" s="11" t="inlineStr">
        <is>
          <t>Rak</t>
        </is>
      </c>
      <c r="O71" s="12">
        <f>IF(L71="","",IFERROR(INDEX(DAFTAR_FIXTURE!$B$2:$B$51,MATCH(L71,DAFTAR_FIXTURE!$A$2:$A$51,0)),""))</f>
        <v/>
      </c>
      <c r="P71" s="12">
        <f>IF(AND($D71="",L71=""),"",IF(L71="",IF(AND(Q71="",V71=""),"Belum ditempatkan",""),IF(O71="","CEK ID FIXTURE tidak ada di DAFTAR_FIXTURE",IF(M71="","CEK ZONA NO kosong",IF(ISNA(MATCH(O71&amp;"|"&amp;M71,LAYOUT!$E$2:$E$80,0)),"CEK ZONA NO di luar layout",IF(N71&lt;&gt;INDEX(LAYOUT!$D$2:$D$80,MATCH(O71&amp;"|"&amp;M71,LAYOUT!$E$2:$E$80,0)),"CEK JENIS ZONA",IF($D71="","Zona STOCK",IF($E71="","CEK SKU DESCRIPTION kosong","OK"))))))))</f>
        <v/>
      </c>
      <c r="Q71" s="11" t="n"/>
      <c r="R71" s="11" t="n"/>
      <c r="S71" s="11" t="n"/>
      <c r="T71" s="12">
        <f>IF(Q71="","",IFERROR(INDEX(DAFTAR_FIXTURE!$B$2:$B$51,MATCH(Q71,DAFTAR_FIXTURE!$A$2:$A$51,0)),""))</f>
        <v/>
      </c>
      <c r="U71" s="12">
        <f>IF(Q71="","",IF(T71="","CEK ID FIXTURE tidak ada di DAFTAR_FIXTURE",IF(R71="","CEK ZONA NO kosong",IF(ISNA(MATCH(T71&amp;"|"&amp;R71,LAYOUT!$E$2:$E$80,0)),"CEK ZONA NO di luar layout",IF(S71&lt;&gt;INDEX(LAYOUT!$D$2:$D$80,MATCH(T71&amp;"|"&amp;R71,LAYOUT!$E$2:$E$80,0)),"CEK JENIS ZONA",IF($D71="","Zona STOCK",IF($E71="","CEK SKU DESCRIPTION kosong","OK")))))))</f>
        <v/>
      </c>
      <c r="V71" s="11" t="n"/>
      <c r="W71" s="11" t="n"/>
      <c r="X71" s="11" t="n"/>
      <c r="Y71" s="12">
        <f>IF(V71="","",IFERROR(INDEX(DAFTAR_FIXTURE!$B$2:$B$51,MATCH(V71,DAFTAR_FIXTURE!$A$2:$A$51,0)),""))</f>
        <v/>
      </c>
      <c r="Z71" s="12">
        <f>IF(V71="","",IF(Y71="","CEK ID FIXTURE tidak ada di DAFTAR_FIXTURE",IF(W71="","CEK ZONA NO kosong",IF(ISNA(MATCH(Y71&amp;"|"&amp;W71,LAYOUT!$E$2:$E$80,0)),"CEK ZONA NO di luar layout",IF(X71&lt;&gt;INDEX(LAYOUT!$D$2:$D$80,MATCH(Y71&amp;"|"&amp;W71,LAYOUT!$E$2:$E$80,0)),"CEK JENIS ZONA",IF($D71="","Zona STOCK",IF($E71="","CEK SKU DESCRIPTION kosong","OK")))))))</f>
        <v/>
      </c>
    </row>
    <row r="72">
      <c r="A72" s="10" t="inlineStr">
        <is>
          <t>Homeware</t>
        </is>
      </c>
      <c r="B72" s="10" t="inlineStr">
        <is>
          <t>Cookware</t>
        </is>
      </c>
      <c r="C72" s="10" t="inlineStr">
        <is>
          <t>Casserole</t>
        </is>
      </c>
      <c r="D72" s="10" t="inlineStr">
        <is>
          <t>10445962</t>
        </is>
      </c>
      <c r="E72" s="10" t="inlineStr">
        <is>
          <t>CASSEROLE SQUARE GOLD MARBLE W/LID 33CM</t>
        </is>
      </c>
      <c r="F72" s="10" t="n"/>
      <c r="G72" s="10" t="inlineStr">
        <is>
          <t>MASAK</t>
        </is>
      </c>
      <c r="H72" s="10" t="inlineStr">
        <is>
          <t>B1. CASSEROLE</t>
        </is>
      </c>
      <c r="I72" s="10" t="inlineStr">
        <is>
          <t>GOLD MARBLE</t>
        </is>
      </c>
      <c r="J72" s="10" t="n"/>
      <c r="K72" s="10" t="n"/>
      <c r="L72" s="11" t="inlineStr">
        <is>
          <t>GND-04</t>
        </is>
      </c>
      <c r="M72" s="11" t="n">
        <v>2</v>
      </c>
      <c r="N72" s="11" t="inlineStr">
        <is>
          <t>Rak</t>
        </is>
      </c>
      <c r="O72" s="12">
        <f>IF(L72="","",IFERROR(INDEX(DAFTAR_FIXTURE!$B$2:$B$51,MATCH(L72,DAFTAR_FIXTURE!$A$2:$A$51,0)),""))</f>
        <v/>
      </c>
      <c r="P72" s="12">
        <f>IF(AND($D72="",L72=""),"",IF(L72="",IF(AND(Q72="",V72=""),"Belum ditempatkan",""),IF(O72="","CEK ID FIXTURE tidak ada di DAFTAR_FIXTURE",IF(M72="","CEK ZONA NO kosong",IF(ISNA(MATCH(O72&amp;"|"&amp;M72,LAYOUT!$E$2:$E$80,0)),"CEK ZONA NO di luar layout",IF(N72&lt;&gt;INDEX(LAYOUT!$D$2:$D$80,MATCH(O72&amp;"|"&amp;M72,LAYOUT!$E$2:$E$80,0)),"CEK JENIS ZONA",IF($D72="","Zona STOCK",IF($E72="","CEK SKU DESCRIPTION kosong","OK"))))))))</f>
        <v/>
      </c>
      <c r="Q72" s="11" t="n"/>
      <c r="R72" s="11" t="n"/>
      <c r="S72" s="11" t="n"/>
      <c r="T72" s="12">
        <f>IF(Q72="","",IFERROR(INDEX(DAFTAR_FIXTURE!$B$2:$B$51,MATCH(Q72,DAFTAR_FIXTURE!$A$2:$A$51,0)),""))</f>
        <v/>
      </c>
      <c r="U72" s="12">
        <f>IF(Q72="","",IF(T72="","CEK ID FIXTURE tidak ada di DAFTAR_FIXTURE",IF(R72="","CEK ZONA NO kosong",IF(ISNA(MATCH(T72&amp;"|"&amp;R72,LAYOUT!$E$2:$E$80,0)),"CEK ZONA NO di luar layout",IF(S72&lt;&gt;INDEX(LAYOUT!$D$2:$D$80,MATCH(T72&amp;"|"&amp;R72,LAYOUT!$E$2:$E$80,0)),"CEK JENIS ZONA",IF($D72="","Zona STOCK",IF($E72="","CEK SKU DESCRIPTION kosong","OK")))))))</f>
        <v/>
      </c>
      <c r="V72" s="11" t="n"/>
      <c r="W72" s="11" t="n"/>
      <c r="X72" s="11" t="n"/>
      <c r="Y72" s="12">
        <f>IF(V72="","",IFERROR(INDEX(DAFTAR_FIXTURE!$B$2:$B$51,MATCH(V72,DAFTAR_FIXTURE!$A$2:$A$51,0)),""))</f>
        <v/>
      </c>
      <c r="Z72" s="12">
        <f>IF(V72="","",IF(Y72="","CEK ID FIXTURE tidak ada di DAFTAR_FIXTURE",IF(W72="","CEK ZONA NO kosong",IF(ISNA(MATCH(Y72&amp;"|"&amp;W72,LAYOUT!$E$2:$E$80,0)),"CEK ZONA NO di luar layout",IF(X72&lt;&gt;INDEX(LAYOUT!$D$2:$D$80,MATCH(Y72&amp;"|"&amp;W72,LAYOUT!$E$2:$E$80,0)),"CEK JENIS ZONA",IF($D72="","Zona STOCK",IF($E72="","CEK SKU DESCRIPTION kosong","OK")))))))</f>
        <v/>
      </c>
    </row>
    <row r="73">
      <c r="A73" s="10" t="inlineStr">
        <is>
          <t>Homeware</t>
        </is>
      </c>
      <c r="B73" s="10" t="inlineStr">
        <is>
          <t>Tableware</t>
        </is>
      </c>
      <c r="C73" s="10" t="inlineStr">
        <is>
          <t>Serving Set</t>
        </is>
      </c>
      <c r="D73" s="10" t="inlineStr">
        <is>
          <t>10470029</t>
        </is>
      </c>
      <c r="E73" s="10" t="inlineStr">
        <is>
          <t>SERVING SET W/RACK OCTAGON MARBLE (4)</t>
        </is>
      </c>
      <c r="F73" s="10" t="n"/>
      <c r="G73" s="10" t="inlineStr">
        <is>
          <t>MAKAN</t>
        </is>
      </c>
      <c r="H73" s="10" t="inlineStr">
        <is>
          <t>A2. SERVINGWARE</t>
        </is>
      </c>
      <c r="I73" s="10" t="inlineStr">
        <is>
          <t>SERVING SET MARBLE</t>
        </is>
      </c>
      <c r="J73" s="10" t="n"/>
      <c r="K73" s="10" t="n"/>
      <c r="L73" s="11" t="inlineStr">
        <is>
          <t>GND-04</t>
        </is>
      </c>
      <c r="M73" s="11" t="n">
        <v>2</v>
      </c>
      <c r="N73" s="11" t="inlineStr">
        <is>
          <t>Rak</t>
        </is>
      </c>
      <c r="O73" s="12">
        <f>IF(L73="","",IFERROR(INDEX(DAFTAR_FIXTURE!$B$2:$B$51,MATCH(L73,DAFTAR_FIXTURE!$A$2:$A$51,0)),""))</f>
        <v/>
      </c>
      <c r="P73" s="12">
        <f>IF(AND($D73="",L73=""),"",IF(L73="",IF(AND(Q73="",V73=""),"Belum ditempatkan",""),IF(O73="","CEK ID FIXTURE tidak ada di DAFTAR_FIXTURE",IF(M73="","CEK ZONA NO kosong",IF(ISNA(MATCH(O73&amp;"|"&amp;M73,LAYOUT!$E$2:$E$80,0)),"CEK ZONA NO di luar layout",IF(N73&lt;&gt;INDEX(LAYOUT!$D$2:$D$80,MATCH(O73&amp;"|"&amp;M73,LAYOUT!$E$2:$E$80,0)),"CEK JENIS ZONA",IF($D73="","Zona STOCK",IF($E73="","CEK SKU DESCRIPTION kosong","OK"))))))))</f>
        <v/>
      </c>
      <c r="Q73" s="11" t="n"/>
      <c r="R73" s="11" t="n"/>
      <c r="S73" s="11" t="n"/>
      <c r="T73" s="12">
        <f>IF(Q73="","",IFERROR(INDEX(DAFTAR_FIXTURE!$B$2:$B$51,MATCH(Q73,DAFTAR_FIXTURE!$A$2:$A$51,0)),""))</f>
        <v/>
      </c>
      <c r="U73" s="12">
        <f>IF(Q73="","",IF(T73="","CEK ID FIXTURE tidak ada di DAFTAR_FIXTURE",IF(R73="","CEK ZONA NO kosong",IF(ISNA(MATCH(T73&amp;"|"&amp;R73,LAYOUT!$E$2:$E$80,0)),"CEK ZONA NO di luar layout",IF(S73&lt;&gt;INDEX(LAYOUT!$D$2:$D$80,MATCH(T73&amp;"|"&amp;R73,LAYOUT!$E$2:$E$80,0)),"CEK JENIS ZONA",IF($D73="","Zona STOCK",IF($E73="","CEK SKU DESCRIPTION kosong","OK")))))))</f>
        <v/>
      </c>
      <c r="V73" s="11" t="n"/>
      <c r="W73" s="11" t="n"/>
      <c r="X73" s="11" t="n"/>
      <c r="Y73" s="12">
        <f>IF(V73="","",IFERROR(INDEX(DAFTAR_FIXTURE!$B$2:$B$51,MATCH(V73,DAFTAR_FIXTURE!$A$2:$A$51,0)),""))</f>
        <v/>
      </c>
      <c r="Z73" s="12">
        <f>IF(V73="","",IF(Y73="","CEK ID FIXTURE tidak ada di DAFTAR_FIXTURE",IF(W73="","CEK ZONA NO kosong",IF(ISNA(MATCH(Y73&amp;"|"&amp;W73,LAYOUT!$E$2:$E$80,0)),"CEK ZONA NO di luar layout",IF(X73&lt;&gt;INDEX(LAYOUT!$D$2:$D$80,MATCH(Y73&amp;"|"&amp;W73,LAYOUT!$E$2:$E$80,0)),"CEK JENIS ZONA",IF($D73="","Zona STOCK",IF($E73="","CEK SKU DESCRIPTION kosong","OK")))))))</f>
        <v/>
      </c>
    </row>
    <row r="74">
      <c r="A74" s="10" t="inlineStr">
        <is>
          <t>Homeware</t>
        </is>
      </c>
      <c r="B74" s="10" t="inlineStr">
        <is>
          <t>Tableware</t>
        </is>
      </c>
      <c r="C74" s="10" t="inlineStr">
        <is>
          <t>Serving Set</t>
        </is>
      </c>
      <c r="D74" s="10" t="inlineStr">
        <is>
          <t>10470030</t>
        </is>
      </c>
      <c r="E74" s="10" t="inlineStr">
        <is>
          <t>SERVING SET RND DETACHABLE MARBLE (2)</t>
        </is>
      </c>
      <c r="F74" s="10" t="n"/>
      <c r="G74" s="10" t="inlineStr">
        <is>
          <t>MAKAN</t>
        </is>
      </c>
      <c r="H74" s="10" t="inlineStr">
        <is>
          <t>A2. SERVINGWARE</t>
        </is>
      </c>
      <c r="I74" s="10" t="inlineStr">
        <is>
          <t>SERVING SET MARBLE</t>
        </is>
      </c>
      <c r="J74" s="10" t="n"/>
      <c r="K74" s="10" t="n"/>
      <c r="L74" s="11" t="inlineStr">
        <is>
          <t>GND-04</t>
        </is>
      </c>
      <c r="M74" s="11" t="n">
        <v>3</v>
      </c>
      <c r="N74" s="11" t="inlineStr">
        <is>
          <t>Rak</t>
        </is>
      </c>
      <c r="O74" s="12">
        <f>IF(L74="","",IFERROR(INDEX(DAFTAR_FIXTURE!$B$2:$B$51,MATCH(L74,DAFTAR_FIXTURE!$A$2:$A$51,0)),""))</f>
        <v/>
      </c>
      <c r="P74" s="12">
        <f>IF(AND($D74="",L74=""),"",IF(L74="",IF(AND(Q74="",V74=""),"Belum ditempatkan",""),IF(O74="","CEK ID FIXTURE tidak ada di DAFTAR_FIXTURE",IF(M74="","CEK ZONA NO kosong",IF(ISNA(MATCH(O74&amp;"|"&amp;M74,LAYOUT!$E$2:$E$80,0)),"CEK ZONA NO di luar layout",IF(N74&lt;&gt;INDEX(LAYOUT!$D$2:$D$80,MATCH(O74&amp;"|"&amp;M74,LAYOUT!$E$2:$E$80,0)),"CEK JENIS ZONA",IF($D74="","Zona STOCK",IF($E74="","CEK SKU DESCRIPTION kosong","OK"))))))))</f>
        <v/>
      </c>
      <c r="Q74" s="11" t="n"/>
      <c r="R74" s="11" t="n"/>
      <c r="S74" s="11" t="n"/>
      <c r="T74" s="12">
        <f>IF(Q74="","",IFERROR(INDEX(DAFTAR_FIXTURE!$B$2:$B$51,MATCH(Q74,DAFTAR_FIXTURE!$A$2:$A$51,0)),""))</f>
        <v/>
      </c>
      <c r="U74" s="12">
        <f>IF(Q74="","",IF(T74="","CEK ID FIXTURE tidak ada di DAFTAR_FIXTURE",IF(R74="","CEK ZONA NO kosong",IF(ISNA(MATCH(T74&amp;"|"&amp;R74,LAYOUT!$E$2:$E$80,0)),"CEK ZONA NO di luar layout",IF(S74&lt;&gt;INDEX(LAYOUT!$D$2:$D$80,MATCH(T74&amp;"|"&amp;R74,LAYOUT!$E$2:$E$80,0)),"CEK JENIS ZONA",IF($D74="","Zona STOCK",IF($E74="","CEK SKU DESCRIPTION kosong","OK")))))))</f>
        <v/>
      </c>
      <c r="V74" s="11" t="n"/>
      <c r="W74" s="11" t="n"/>
      <c r="X74" s="11" t="n"/>
      <c r="Y74" s="12">
        <f>IF(V74="","",IFERROR(INDEX(DAFTAR_FIXTURE!$B$2:$B$51,MATCH(V74,DAFTAR_FIXTURE!$A$2:$A$51,0)),""))</f>
        <v/>
      </c>
      <c r="Z74" s="12">
        <f>IF(V74="","",IF(Y74="","CEK ID FIXTURE tidak ada di DAFTAR_FIXTURE",IF(W74="","CEK ZONA NO kosong",IF(ISNA(MATCH(Y74&amp;"|"&amp;W74,LAYOUT!$E$2:$E$80,0)),"CEK ZONA NO di luar layout",IF(X74&lt;&gt;INDEX(LAYOUT!$D$2:$D$80,MATCH(Y74&amp;"|"&amp;W74,LAYOUT!$E$2:$E$80,0)),"CEK JENIS ZONA",IF($D74="","Zona STOCK",IF($E74="","CEK SKU DESCRIPTION kosong","OK")))))))</f>
        <v/>
      </c>
    </row>
    <row r="75">
      <c r="A75" s="10" t="inlineStr">
        <is>
          <t>Homeware</t>
        </is>
      </c>
      <c r="B75" s="10" t="inlineStr">
        <is>
          <t>Tableware</t>
        </is>
      </c>
      <c r="C75" s="10" t="inlineStr">
        <is>
          <t>Serving Set</t>
        </is>
      </c>
      <c r="D75" s="10" t="inlineStr">
        <is>
          <t>10470031</t>
        </is>
      </c>
      <c r="E75" s="10" t="inlineStr">
        <is>
          <t>SERVING SET W/RACK SQR MARBLE BLACK (3)</t>
        </is>
      </c>
      <c r="F75" s="10" t="n"/>
      <c r="G75" s="10" t="inlineStr">
        <is>
          <t>MAKAN</t>
        </is>
      </c>
      <c r="H75" s="10" t="inlineStr">
        <is>
          <t>A2. SERVINGWARE</t>
        </is>
      </c>
      <c r="I75" s="10" t="inlineStr">
        <is>
          <t>SERVING SET MARBLE</t>
        </is>
      </c>
      <c r="J75" s="10" t="n"/>
      <c r="K75" s="10" t="n"/>
      <c r="L75" s="11" t="inlineStr">
        <is>
          <t>GND-04</t>
        </is>
      </c>
      <c r="M75" s="11" t="n">
        <v>3</v>
      </c>
      <c r="N75" s="11" t="inlineStr">
        <is>
          <t>Rak</t>
        </is>
      </c>
      <c r="O75" s="12">
        <f>IF(L75="","",IFERROR(INDEX(DAFTAR_FIXTURE!$B$2:$B$51,MATCH(L75,DAFTAR_FIXTURE!$A$2:$A$51,0)),""))</f>
        <v/>
      </c>
      <c r="P75" s="12">
        <f>IF(AND($D75="",L75=""),"",IF(L75="",IF(AND(Q75="",V75=""),"Belum ditempatkan",""),IF(O75="","CEK ID FIXTURE tidak ada di DAFTAR_FIXTURE",IF(M75="","CEK ZONA NO kosong",IF(ISNA(MATCH(O75&amp;"|"&amp;M75,LAYOUT!$E$2:$E$80,0)),"CEK ZONA NO di luar layout",IF(N75&lt;&gt;INDEX(LAYOUT!$D$2:$D$80,MATCH(O75&amp;"|"&amp;M75,LAYOUT!$E$2:$E$80,0)),"CEK JENIS ZONA",IF($D75="","Zona STOCK",IF($E75="","CEK SKU DESCRIPTION kosong","OK"))))))))</f>
        <v/>
      </c>
      <c r="Q75" s="11" t="n"/>
      <c r="R75" s="11" t="n"/>
      <c r="S75" s="11" t="n"/>
      <c r="T75" s="12">
        <f>IF(Q75="","",IFERROR(INDEX(DAFTAR_FIXTURE!$B$2:$B$51,MATCH(Q75,DAFTAR_FIXTURE!$A$2:$A$51,0)),""))</f>
        <v/>
      </c>
      <c r="U75" s="12">
        <f>IF(Q75="","",IF(T75="","CEK ID FIXTURE tidak ada di DAFTAR_FIXTURE",IF(R75="","CEK ZONA NO kosong",IF(ISNA(MATCH(T75&amp;"|"&amp;R75,LAYOUT!$E$2:$E$80,0)),"CEK ZONA NO di luar layout",IF(S75&lt;&gt;INDEX(LAYOUT!$D$2:$D$80,MATCH(T75&amp;"|"&amp;R75,LAYOUT!$E$2:$E$80,0)),"CEK JENIS ZONA",IF($D75="","Zona STOCK",IF($E75="","CEK SKU DESCRIPTION kosong","OK")))))))</f>
        <v/>
      </c>
      <c r="V75" s="11" t="n"/>
      <c r="W75" s="11" t="n"/>
      <c r="X75" s="11" t="n"/>
      <c r="Y75" s="12">
        <f>IF(V75="","",IFERROR(INDEX(DAFTAR_FIXTURE!$B$2:$B$51,MATCH(V75,DAFTAR_FIXTURE!$A$2:$A$51,0)),""))</f>
        <v/>
      </c>
      <c r="Z75" s="12">
        <f>IF(V75="","",IF(Y75="","CEK ID FIXTURE tidak ada di DAFTAR_FIXTURE",IF(W75="","CEK ZONA NO kosong",IF(ISNA(MATCH(Y75&amp;"|"&amp;W75,LAYOUT!$E$2:$E$80,0)),"CEK ZONA NO di luar layout",IF(X75&lt;&gt;INDEX(LAYOUT!$D$2:$D$80,MATCH(Y75&amp;"|"&amp;W75,LAYOUT!$E$2:$E$80,0)),"CEK JENIS ZONA",IF($D75="","Zona STOCK",IF($E75="","CEK SKU DESCRIPTION kosong","OK")))))))</f>
        <v/>
      </c>
    </row>
    <row r="76">
      <c r="A76" s="10" t="inlineStr">
        <is>
          <t>Homeware</t>
        </is>
      </c>
      <c r="B76" s="10" t="inlineStr">
        <is>
          <t>Storage</t>
        </is>
      </c>
      <c r="C76" s="10" t="inlineStr">
        <is>
          <t>Food Storage</t>
        </is>
      </c>
      <c r="D76" s="10" t="inlineStr">
        <is>
          <t>10680419</t>
        </is>
      </c>
      <c r="E76" s="10" t="inlineStr">
        <is>
          <t>MOSQUE DOME GLASS JAR SET OF 3 450ML</t>
        </is>
      </c>
      <c r="F76" s="10" t="n"/>
      <c r="G76" s="10" t="inlineStr">
        <is>
          <t>PENYIMPANAN</t>
        </is>
      </c>
      <c r="H76" s="10" t="inlineStr">
        <is>
          <t>E4. CANISTER</t>
        </is>
      </c>
      <c r="I76" s="10" t="inlineStr">
        <is>
          <t>GLASS FANCY</t>
        </is>
      </c>
      <c r="J76" s="10" t="n"/>
      <c r="K76" s="10" t="n"/>
      <c r="L76" s="11" t="inlineStr">
        <is>
          <t>GND-05</t>
        </is>
      </c>
      <c r="M76" s="11" t="n">
        <v>1</v>
      </c>
      <c r="N76" s="11" t="inlineStr">
        <is>
          <t>Rak</t>
        </is>
      </c>
      <c r="O76" s="12">
        <f>IF(L76="","",IFERROR(INDEX(DAFTAR_FIXTURE!$B$2:$B$51,MATCH(L76,DAFTAR_FIXTURE!$A$2:$A$51,0)),""))</f>
        <v/>
      </c>
      <c r="P76" s="12">
        <f>IF(AND($D76="",L76=""),"",IF(L76="",IF(AND(Q76="",V76=""),"Belum ditempatkan",""),IF(O76="","CEK ID FIXTURE tidak ada di DAFTAR_FIXTURE",IF(M76="","CEK ZONA NO kosong",IF(ISNA(MATCH(O76&amp;"|"&amp;M76,LAYOUT!$E$2:$E$80,0)),"CEK ZONA NO di luar layout",IF(N76&lt;&gt;INDEX(LAYOUT!$D$2:$D$80,MATCH(O76&amp;"|"&amp;M76,LAYOUT!$E$2:$E$80,0)),"CEK JENIS ZONA",IF($D76="","Zona STOCK",IF($E76="","CEK SKU DESCRIPTION kosong","OK"))))))))</f>
        <v/>
      </c>
      <c r="Q76" s="11" t="n"/>
      <c r="R76" s="11" t="n"/>
      <c r="S76" s="11" t="n"/>
      <c r="T76" s="12">
        <f>IF(Q76="","",IFERROR(INDEX(DAFTAR_FIXTURE!$B$2:$B$51,MATCH(Q76,DAFTAR_FIXTURE!$A$2:$A$51,0)),""))</f>
        <v/>
      </c>
      <c r="U76" s="12">
        <f>IF(Q76="","",IF(T76="","CEK ID FIXTURE tidak ada di DAFTAR_FIXTURE",IF(R76="","CEK ZONA NO kosong",IF(ISNA(MATCH(T76&amp;"|"&amp;R76,LAYOUT!$E$2:$E$80,0)),"CEK ZONA NO di luar layout",IF(S76&lt;&gt;INDEX(LAYOUT!$D$2:$D$80,MATCH(T76&amp;"|"&amp;R76,LAYOUT!$E$2:$E$80,0)),"CEK JENIS ZONA",IF($D76="","Zona STOCK",IF($E76="","CEK SKU DESCRIPTION kosong","OK")))))))</f>
        <v/>
      </c>
      <c r="V76" s="11" t="n"/>
      <c r="W76" s="11" t="n"/>
      <c r="X76" s="11" t="n"/>
      <c r="Y76" s="12">
        <f>IF(V76="","",IFERROR(INDEX(DAFTAR_FIXTURE!$B$2:$B$51,MATCH(V76,DAFTAR_FIXTURE!$A$2:$A$51,0)),""))</f>
        <v/>
      </c>
      <c r="Z76" s="12">
        <f>IF(V76="","",IF(Y76="","CEK ID FIXTURE tidak ada di DAFTAR_FIXTURE",IF(W76="","CEK ZONA NO kosong",IF(ISNA(MATCH(Y76&amp;"|"&amp;W76,LAYOUT!$E$2:$E$80,0)),"CEK ZONA NO di luar layout",IF(X76&lt;&gt;INDEX(LAYOUT!$D$2:$D$80,MATCH(Y76&amp;"|"&amp;W76,LAYOUT!$E$2:$E$80,0)),"CEK JENIS ZONA",IF($D76="","Zona STOCK",IF($E76="","CEK SKU DESCRIPTION kosong","OK")))))))</f>
        <v/>
      </c>
    </row>
    <row r="77">
      <c r="A77" s="10" t="inlineStr">
        <is>
          <t>Homeware</t>
        </is>
      </c>
      <c r="B77" s="10" t="inlineStr">
        <is>
          <t>Storage</t>
        </is>
      </c>
      <c r="C77" s="10" t="inlineStr">
        <is>
          <t>Food Storage</t>
        </is>
      </c>
      <c r="D77" s="10" t="inlineStr">
        <is>
          <t>10682153</t>
        </is>
      </c>
      <c r="E77" s="10" t="inlineStr">
        <is>
          <t>EID 2026 GLASS JAR SET OF 3 900ML</t>
        </is>
      </c>
      <c r="F77" s="10" t="n"/>
      <c r="G77" s="10" t="inlineStr">
        <is>
          <t>PENYIMPANAN</t>
        </is>
      </c>
      <c r="H77" s="10" t="inlineStr">
        <is>
          <t>E4. CANISTER</t>
        </is>
      </c>
      <c r="I77" s="10" t="inlineStr">
        <is>
          <t>GLASS FANCY</t>
        </is>
      </c>
      <c r="J77" s="10" t="n"/>
      <c r="K77" s="10" t="n"/>
      <c r="L77" s="11" t="inlineStr">
        <is>
          <t>GND-05</t>
        </is>
      </c>
      <c r="M77" s="11" t="n">
        <v>1</v>
      </c>
      <c r="N77" s="11" t="inlineStr">
        <is>
          <t>Rak</t>
        </is>
      </c>
      <c r="O77" s="12">
        <f>IF(L77="","",IFERROR(INDEX(DAFTAR_FIXTURE!$B$2:$B$51,MATCH(L77,DAFTAR_FIXTURE!$A$2:$A$51,0)),""))</f>
        <v/>
      </c>
      <c r="P77" s="12">
        <f>IF(AND($D77="",L77=""),"",IF(L77="",IF(AND(Q77="",V77=""),"Belum ditempatkan",""),IF(O77="","CEK ID FIXTURE tidak ada di DAFTAR_FIXTURE",IF(M77="","CEK ZONA NO kosong",IF(ISNA(MATCH(O77&amp;"|"&amp;M77,LAYOUT!$E$2:$E$80,0)),"CEK ZONA NO di luar layout",IF(N77&lt;&gt;INDEX(LAYOUT!$D$2:$D$80,MATCH(O77&amp;"|"&amp;M77,LAYOUT!$E$2:$E$80,0)),"CEK JENIS ZONA",IF($D77="","Zona STOCK",IF($E77="","CEK SKU DESCRIPTION kosong","OK"))))))))</f>
        <v/>
      </c>
      <c r="Q77" s="11" t="n"/>
      <c r="R77" s="11" t="n"/>
      <c r="S77" s="11" t="n"/>
      <c r="T77" s="12">
        <f>IF(Q77="","",IFERROR(INDEX(DAFTAR_FIXTURE!$B$2:$B$51,MATCH(Q77,DAFTAR_FIXTURE!$A$2:$A$51,0)),""))</f>
        <v/>
      </c>
      <c r="U77" s="12">
        <f>IF(Q77="","",IF(T77="","CEK ID FIXTURE tidak ada di DAFTAR_FIXTURE",IF(R77="","CEK ZONA NO kosong",IF(ISNA(MATCH(T77&amp;"|"&amp;R77,LAYOUT!$E$2:$E$80,0)),"CEK ZONA NO di luar layout",IF(S77&lt;&gt;INDEX(LAYOUT!$D$2:$D$80,MATCH(T77&amp;"|"&amp;R77,LAYOUT!$E$2:$E$80,0)),"CEK JENIS ZONA",IF($D77="","Zona STOCK",IF($E77="","CEK SKU DESCRIPTION kosong","OK")))))))</f>
        <v/>
      </c>
      <c r="V77" s="11" t="n"/>
      <c r="W77" s="11" t="n"/>
      <c r="X77" s="11" t="n"/>
      <c r="Y77" s="12">
        <f>IF(V77="","",IFERROR(INDEX(DAFTAR_FIXTURE!$B$2:$B$51,MATCH(V77,DAFTAR_FIXTURE!$A$2:$A$51,0)),""))</f>
        <v/>
      </c>
      <c r="Z77" s="12">
        <f>IF(V77="","",IF(Y77="","CEK ID FIXTURE tidak ada di DAFTAR_FIXTURE",IF(W77="","CEK ZONA NO kosong",IF(ISNA(MATCH(Y77&amp;"|"&amp;W77,LAYOUT!$E$2:$E$80,0)),"CEK ZONA NO di luar layout",IF(X77&lt;&gt;INDEX(LAYOUT!$D$2:$D$80,MATCH(Y77&amp;"|"&amp;W77,LAYOUT!$E$2:$E$80,0)),"CEK JENIS ZONA",IF($D77="","Zona STOCK",IF($E77="","CEK SKU DESCRIPTION kosong","OK")))))))</f>
        <v/>
      </c>
    </row>
    <row r="78">
      <c r="A78" s="10" t="inlineStr">
        <is>
          <t>Homeware</t>
        </is>
      </c>
      <c r="B78" s="10" t="inlineStr">
        <is>
          <t>Storage</t>
        </is>
      </c>
      <c r="C78" s="10" t="inlineStr">
        <is>
          <t>Food Storage</t>
        </is>
      </c>
      <c r="D78" s="10" t="inlineStr">
        <is>
          <t>10682154</t>
        </is>
      </c>
      <c r="E78" s="10" t="inlineStr">
        <is>
          <t>GRETTA GLASS JAR SET OF 4 WITH RACK</t>
        </is>
      </c>
      <c r="F78" s="10" t="n"/>
      <c r="G78" s="10" t="inlineStr">
        <is>
          <t>PENYIMPANAN</t>
        </is>
      </c>
      <c r="H78" s="10" t="inlineStr">
        <is>
          <t>E4. CANISTER</t>
        </is>
      </c>
      <c r="I78" s="10" t="inlineStr">
        <is>
          <t>GLASS BASIC</t>
        </is>
      </c>
      <c r="J78" s="10" t="n"/>
      <c r="K78" s="10" t="n"/>
      <c r="L78" s="11" t="inlineStr">
        <is>
          <t>GND-05</t>
        </is>
      </c>
      <c r="M78" s="11" t="n">
        <v>2</v>
      </c>
      <c r="N78" s="11" t="inlineStr">
        <is>
          <t>Rak</t>
        </is>
      </c>
      <c r="O78" s="12">
        <f>IF(L78="","",IFERROR(INDEX(DAFTAR_FIXTURE!$B$2:$B$51,MATCH(L78,DAFTAR_FIXTURE!$A$2:$A$51,0)),""))</f>
        <v/>
      </c>
      <c r="P78" s="12">
        <f>IF(AND($D78="",L78=""),"",IF(L78="",IF(AND(Q78="",V78=""),"Belum ditempatkan",""),IF(O78="","CEK ID FIXTURE tidak ada di DAFTAR_FIXTURE",IF(M78="","CEK ZONA NO kosong",IF(ISNA(MATCH(O78&amp;"|"&amp;M78,LAYOUT!$E$2:$E$80,0)),"CEK ZONA NO di luar layout",IF(N78&lt;&gt;INDEX(LAYOUT!$D$2:$D$80,MATCH(O78&amp;"|"&amp;M78,LAYOUT!$E$2:$E$80,0)),"CEK JENIS ZONA",IF($D78="","Zona STOCK",IF($E78="","CEK SKU DESCRIPTION kosong","OK"))))))))</f>
        <v/>
      </c>
      <c r="Q78" s="11" t="n"/>
      <c r="R78" s="11" t="n"/>
      <c r="S78" s="11" t="n"/>
      <c r="T78" s="12">
        <f>IF(Q78="","",IFERROR(INDEX(DAFTAR_FIXTURE!$B$2:$B$51,MATCH(Q78,DAFTAR_FIXTURE!$A$2:$A$51,0)),""))</f>
        <v/>
      </c>
      <c r="U78" s="12">
        <f>IF(Q78="","",IF(T78="","CEK ID FIXTURE tidak ada di DAFTAR_FIXTURE",IF(R78="","CEK ZONA NO kosong",IF(ISNA(MATCH(T78&amp;"|"&amp;R78,LAYOUT!$E$2:$E$80,0)),"CEK ZONA NO di luar layout",IF(S78&lt;&gt;INDEX(LAYOUT!$D$2:$D$80,MATCH(T78&amp;"|"&amp;R78,LAYOUT!$E$2:$E$80,0)),"CEK JENIS ZONA",IF($D78="","Zona STOCK",IF($E78="","CEK SKU DESCRIPTION kosong","OK")))))))</f>
        <v/>
      </c>
      <c r="V78" s="11" t="n"/>
      <c r="W78" s="11" t="n"/>
      <c r="X78" s="11" t="n"/>
      <c r="Y78" s="12">
        <f>IF(V78="","",IFERROR(INDEX(DAFTAR_FIXTURE!$B$2:$B$51,MATCH(V78,DAFTAR_FIXTURE!$A$2:$A$51,0)),""))</f>
        <v/>
      </c>
      <c r="Z78" s="12">
        <f>IF(V78="","",IF(Y78="","CEK ID FIXTURE tidak ada di DAFTAR_FIXTURE",IF(W78="","CEK ZONA NO kosong",IF(ISNA(MATCH(Y78&amp;"|"&amp;W78,LAYOUT!$E$2:$E$80,0)),"CEK ZONA NO di luar layout",IF(X78&lt;&gt;INDEX(LAYOUT!$D$2:$D$80,MATCH(Y78&amp;"|"&amp;W78,LAYOUT!$E$2:$E$80,0)),"CEK JENIS ZONA",IF($D78="","Zona STOCK",IF($E78="","CEK SKU DESCRIPTION kosong","OK")))))))</f>
        <v/>
      </c>
    </row>
    <row r="79">
      <c r="A79" s="10" t="inlineStr">
        <is>
          <t>Homeware</t>
        </is>
      </c>
      <c r="B79" s="10" t="inlineStr">
        <is>
          <t>Storage</t>
        </is>
      </c>
      <c r="C79" s="10" t="inlineStr">
        <is>
          <t>Food Storage</t>
        </is>
      </c>
      <c r="D79" s="10" t="inlineStr">
        <is>
          <t>10682155</t>
        </is>
      </c>
      <c r="E79" s="10" t="inlineStr">
        <is>
          <t>GRETTA GLASS JAR SET OF 3 WITH RACK</t>
        </is>
      </c>
      <c r="F79" s="10" t="n"/>
      <c r="G79" s="10" t="inlineStr">
        <is>
          <t>PENYIMPANAN</t>
        </is>
      </c>
      <c r="H79" s="10" t="inlineStr">
        <is>
          <t>E4. CANISTER</t>
        </is>
      </c>
      <c r="I79" s="10" t="inlineStr">
        <is>
          <t>GLASS BASIC</t>
        </is>
      </c>
      <c r="J79" s="10" t="n"/>
      <c r="K79" s="10" t="n"/>
      <c r="L79" s="11" t="inlineStr">
        <is>
          <t>GND-05</t>
        </is>
      </c>
      <c r="M79" s="11" t="n">
        <v>2</v>
      </c>
      <c r="N79" s="11" t="inlineStr">
        <is>
          <t>Rak</t>
        </is>
      </c>
      <c r="O79" s="12">
        <f>IF(L79="","",IFERROR(INDEX(DAFTAR_FIXTURE!$B$2:$B$51,MATCH(L79,DAFTAR_FIXTURE!$A$2:$A$51,0)),""))</f>
        <v/>
      </c>
      <c r="P79" s="12">
        <f>IF(AND($D79="",L79=""),"",IF(L79="",IF(AND(Q79="",V79=""),"Belum ditempatkan",""),IF(O79="","CEK ID FIXTURE tidak ada di DAFTAR_FIXTURE",IF(M79="","CEK ZONA NO kosong",IF(ISNA(MATCH(O79&amp;"|"&amp;M79,LAYOUT!$E$2:$E$80,0)),"CEK ZONA NO di luar layout",IF(N79&lt;&gt;INDEX(LAYOUT!$D$2:$D$80,MATCH(O79&amp;"|"&amp;M79,LAYOUT!$E$2:$E$80,0)),"CEK JENIS ZONA",IF($D79="","Zona STOCK",IF($E79="","CEK SKU DESCRIPTION kosong","OK"))))))))</f>
        <v/>
      </c>
      <c r="Q79" s="11" t="n"/>
      <c r="R79" s="11" t="n"/>
      <c r="S79" s="11" t="n"/>
      <c r="T79" s="12">
        <f>IF(Q79="","",IFERROR(INDEX(DAFTAR_FIXTURE!$B$2:$B$51,MATCH(Q79,DAFTAR_FIXTURE!$A$2:$A$51,0)),""))</f>
        <v/>
      </c>
      <c r="U79" s="12">
        <f>IF(Q79="","",IF(T79="","CEK ID FIXTURE tidak ada di DAFTAR_FIXTURE",IF(R79="","CEK ZONA NO kosong",IF(ISNA(MATCH(T79&amp;"|"&amp;R79,LAYOUT!$E$2:$E$80,0)),"CEK ZONA NO di luar layout",IF(S79&lt;&gt;INDEX(LAYOUT!$D$2:$D$80,MATCH(T79&amp;"|"&amp;R79,LAYOUT!$E$2:$E$80,0)),"CEK JENIS ZONA",IF($D79="","Zona STOCK",IF($E79="","CEK SKU DESCRIPTION kosong","OK")))))))</f>
        <v/>
      </c>
      <c r="V79" s="11" t="n"/>
      <c r="W79" s="11" t="n"/>
      <c r="X79" s="11" t="n"/>
      <c r="Y79" s="12">
        <f>IF(V79="","",IFERROR(INDEX(DAFTAR_FIXTURE!$B$2:$B$51,MATCH(V79,DAFTAR_FIXTURE!$A$2:$A$51,0)),""))</f>
        <v/>
      </c>
      <c r="Z79" s="12">
        <f>IF(V79="","",IF(Y79="","CEK ID FIXTURE tidak ada di DAFTAR_FIXTURE",IF(W79="","CEK ZONA NO kosong",IF(ISNA(MATCH(Y79&amp;"|"&amp;W79,LAYOUT!$E$2:$E$80,0)),"CEK ZONA NO di luar layout",IF(X79&lt;&gt;INDEX(LAYOUT!$D$2:$D$80,MATCH(Y79&amp;"|"&amp;W79,LAYOUT!$E$2:$E$80,0)),"CEK JENIS ZONA",IF($D79="","Zona STOCK",IF($E79="","CEK SKU DESCRIPTION kosong","OK")))))))</f>
        <v/>
      </c>
    </row>
    <row r="80">
      <c r="A80" s="10" t="inlineStr">
        <is>
          <t>Homeware</t>
        </is>
      </c>
      <c r="B80" s="10" t="inlineStr">
        <is>
          <t>Kitchenware</t>
        </is>
      </c>
      <c r="C80" s="10" t="inlineStr">
        <is>
          <t>Kitchen Tools</t>
        </is>
      </c>
      <c r="D80" s="10" t="inlineStr">
        <is>
          <t>10198149</t>
        </is>
      </c>
      <c r="E80" s="10" t="inlineStr">
        <is>
          <t>TANTA STRAINER DIA 10CM</t>
        </is>
      </c>
      <c r="F80" s="10" t="n"/>
      <c r="G80" s="10" t="inlineStr">
        <is>
          <t>ALAT MASAK</t>
        </is>
      </c>
      <c r="H80" s="10" t="inlineStr">
        <is>
          <t>C1. KITCHEN TOOLS</t>
        </is>
      </c>
      <c r="I80" s="10" t="inlineStr">
        <is>
          <t>TANTA S/S</t>
        </is>
      </c>
      <c r="J80" s="10" t="n"/>
      <c r="K80" s="10" t="n"/>
      <c r="L80" s="11" t="inlineStr">
        <is>
          <t>GND-05</t>
        </is>
      </c>
      <c r="M80" s="11" t="n">
        <v>3</v>
      </c>
      <c r="N80" s="11" t="inlineStr">
        <is>
          <t>Gantungan</t>
        </is>
      </c>
      <c r="O80" s="12">
        <f>IF(L80="","",IFERROR(INDEX(DAFTAR_FIXTURE!$B$2:$B$51,MATCH(L80,DAFTAR_FIXTURE!$A$2:$A$51,0)),""))</f>
        <v/>
      </c>
      <c r="P80" s="12">
        <f>IF(AND($D80="",L80=""),"",IF(L80="",IF(AND(Q80="",V80=""),"Belum ditempatkan",""),IF(O80="","CEK ID FIXTURE tidak ada di DAFTAR_FIXTURE",IF(M80="","CEK ZONA NO kosong",IF(ISNA(MATCH(O80&amp;"|"&amp;M80,LAYOUT!$E$2:$E$80,0)),"CEK ZONA NO di luar layout",IF(N80&lt;&gt;INDEX(LAYOUT!$D$2:$D$80,MATCH(O80&amp;"|"&amp;M80,LAYOUT!$E$2:$E$80,0)),"CEK JENIS ZONA",IF($D80="","Zona STOCK",IF($E80="","CEK SKU DESCRIPTION kosong","OK"))))))))</f>
        <v/>
      </c>
      <c r="Q80" s="11" t="n"/>
      <c r="R80" s="11" t="n"/>
      <c r="S80" s="11" t="n"/>
      <c r="T80" s="12">
        <f>IF(Q80="","",IFERROR(INDEX(DAFTAR_FIXTURE!$B$2:$B$51,MATCH(Q80,DAFTAR_FIXTURE!$A$2:$A$51,0)),""))</f>
        <v/>
      </c>
      <c r="U80" s="12">
        <f>IF(Q80="","",IF(T80="","CEK ID FIXTURE tidak ada di DAFTAR_FIXTURE",IF(R80="","CEK ZONA NO kosong",IF(ISNA(MATCH(T80&amp;"|"&amp;R80,LAYOUT!$E$2:$E$80,0)),"CEK ZONA NO di luar layout",IF(S80&lt;&gt;INDEX(LAYOUT!$D$2:$D$80,MATCH(T80&amp;"|"&amp;R80,LAYOUT!$E$2:$E$80,0)),"CEK JENIS ZONA",IF($D80="","Zona STOCK",IF($E80="","CEK SKU DESCRIPTION kosong","OK")))))))</f>
        <v/>
      </c>
      <c r="V80" s="11" t="n"/>
      <c r="W80" s="11" t="n"/>
      <c r="X80" s="11" t="n"/>
      <c r="Y80" s="12">
        <f>IF(V80="","",IFERROR(INDEX(DAFTAR_FIXTURE!$B$2:$B$51,MATCH(V80,DAFTAR_FIXTURE!$A$2:$A$51,0)),""))</f>
        <v/>
      </c>
      <c r="Z80" s="12">
        <f>IF(V80="","",IF(Y80="","CEK ID FIXTURE tidak ada di DAFTAR_FIXTURE",IF(W80="","CEK ZONA NO kosong",IF(ISNA(MATCH(Y80&amp;"|"&amp;W80,LAYOUT!$E$2:$E$80,0)),"CEK ZONA NO di luar layout",IF(X80&lt;&gt;INDEX(LAYOUT!$D$2:$D$80,MATCH(Y80&amp;"|"&amp;W80,LAYOUT!$E$2:$E$80,0)),"CEK JENIS ZONA",IF($D80="","Zona STOCK",IF($E80="","CEK SKU DESCRIPTION kosong","OK")))))))</f>
        <v/>
      </c>
    </row>
    <row r="81">
      <c r="A81" s="10" t="inlineStr">
        <is>
          <t>Homeware</t>
        </is>
      </c>
      <c r="B81" s="10" t="inlineStr">
        <is>
          <t>Kitchenware</t>
        </is>
      </c>
      <c r="C81" s="10" t="inlineStr">
        <is>
          <t>Kitchen Tools</t>
        </is>
      </c>
      <c r="D81" s="10" t="inlineStr">
        <is>
          <t>10198150</t>
        </is>
      </c>
      <c r="E81" s="10" t="inlineStr">
        <is>
          <t>TANTA NYLON TONGS 9 INCH</t>
        </is>
      </c>
      <c r="F81" s="10" t="n"/>
      <c r="G81" s="10" t="inlineStr">
        <is>
          <t>ALAT MASAK</t>
        </is>
      </c>
      <c r="H81" s="10" t="inlineStr">
        <is>
          <t>C1. KITCHEN TOOLS</t>
        </is>
      </c>
      <c r="I81" s="10" t="inlineStr">
        <is>
          <t>TANTA NYLON</t>
        </is>
      </c>
      <c r="J81" s="10" t="n"/>
      <c r="K81" s="10" t="n"/>
      <c r="L81" s="11" t="inlineStr">
        <is>
          <t>GND-05</t>
        </is>
      </c>
      <c r="M81" s="11" t="n">
        <v>3</v>
      </c>
      <c r="N81" s="11" t="inlineStr">
        <is>
          <t>Gantungan</t>
        </is>
      </c>
      <c r="O81" s="12">
        <f>IF(L81="","",IFERROR(INDEX(DAFTAR_FIXTURE!$B$2:$B$51,MATCH(L81,DAFTAR_FIXTURE!$A$2:$A$51,0)),""))</f>
        <v/>
      </c>
      <c r="P81" s="12">
        <f>IF(AND($D81="",L81=""),"",IF(L81="",IF(AND(Q81="",V81=""),"Belum ditempatkan",""),IF(O81="","CEK ID FIXTURE tidak ada di DAFTAR_FIXTURE",IF(M81="","CEK ZONA NO kosong",IF(ISNA(MATCH(O81&amp;"|"&amp;M81,LAYOUT!$E$2:$E$80,0)),"CEK ZONA NO di luar layout",IF(N81&lt;&gt;INDEX(LAYOUT!$D$2:$D$80,MATCH(O81&amp;"|"&amp;M81,LAYOUT!$E$2:$E$80,0)),"CEK JENIS ZONA",IF($D81="","Zona STOCK",IF($E81="","CEK SKU DESCRIPTION kosong","OK"))))))))</f>
        <v/>
      </c>
      <c r="Q81" s="11" t="n"/>
      <c r="R81" s="11" t="n"/>
      <c r="S81" s="11" t="n"/>
      <c r="T81" s="12">
        <f>IF(Q81="","",IFERROR(INDEX(DAFTAR_FIXTURE!$B$2:$B$51,MATCH(Q81,DAFTAR_FIXTURE!$A$2:$A$51,0)),""))</f>
        <v/>
      </c>
      <c r="U81" s="12">
        <f>IF(Q81="","",IF(T81="","CEK ID FIXTURE tidak ada di DAFTAR_FIXTURE",IF(R81="","CEK ZONA NO kosong",IF(ISNA(MATCH(T81&amp;"|"&amp;R81,LAYOUT!$E$2:$E$80,0)),"CEK ZONA NO di luar layout",IF(S81&lt;&gt;INDEX(LAYOUT!$D$2:$D$80,MATCH(T81&amp;"|"&amp;R81,LAYOUT!$E$2:$E$80,0)),"CEK JENIS ZONA",IF($D81="","Zona STOCK",IF($E81="","CEK SKU DESCRIPTION kosong","OK")))))))</f>
        <v/>
      </c>
      <c r="V81" s="11" t="n"/>
      <c r="W81" s="11" t="n"/>
      <c r="X81" s="11" t="n"/>
      <c r="Y81" s="12">
        <f>IF(V81="","",IFERROR(INDEX(DAFTAR_FIXTURE!$B$2:$B$51,MATCH(V81,DAFTAR_FIXTURE!$A$2:$A$51,0)),""))</f>
        <v/>
      </c>
      <c r="Z81" s="12">
        <f>IF(V81="","",IF(Y81="","CEK ID FIXTURE tidak ada di DAFTAR_FIXTURE",IF(W81="","CEK ZONA NO kosong",IF(ISNA(MATCH(Y81&amp;"|"&amp;W81,LAYOUT!$E$2:$E$80,0)),"CEK ZONA NO di luar layout",IF(X81&lt;&gt;INDEX(LAYOUT!$D$2:$D$80,MATCH(Y81&amp;"|"&amp;W81,LAYOUT!$E$2:$E$80,0)),"CEK JENIS ZONA",IF($D81="","Zona STOCK",IF($E81="","CEK SKU DESCRIPTION kosong","OK")))))))</f>
        <v/>
      </c>
    </row>
    <row r="82">
      <c r="A82" s="10" t="inlineStr">
        <is>
          <t>Homeware</t>
        </is>
      </c>
      <c r="B82" s="10" t="inlineStr">
        <is>
          <t>Kitchenware</t>
        </is>
      </c>
      <c r="C82" s="10" t="inlineStr">
        <is>
          <t>Kitchen Tools</t>
        </is>
      </c>
      <c r="D82" s="10" t="inlineStr">
        <is>
          <t>10198151</t>
        </is>
      </c>
      <c r="E82" s="10" t="inlineStr">
        <is>
          <t>TANTA NYLON TONGS 12 INCH</t>
        </is>
      </c>
      <c r="F82" s="10" t="n"/>
      <c r="G82" s="10" t="inlineStr">
        <is>
          <t>ALAT MASAK</t>
        </is>
      </c>
      <c r="H82" s="10" t="inlineStr">
        <is>
          <t>C1. KITCHEN TOOLS</t>
        </is>
      </c>
      <c r="I82" s="10" t="inlineStr">
        <is>
          <t>TANTA NYLON</t>
        </is>
      </c>
      <c r="J82" s="10" t="n"/>
      <c r="K82" s="10" t="n"/>
      <c r="L82" s="11" t="inlineStr">
        <is>
          <t>GND-05</t>
        </is>
      </c>
      <c r="M82" s="11" t="n">
        <v>3</v>
      </c>
      <c r="N82" s="11" t="inlineStr">
        <is>
          <t>Gantungan</t>
        </is>
      </c>
      <c r="O82" s="12">
        <f>IF(L82="","",IFERROR(INDEX(DAFTAR_FIXTURE!$B$2:$B$51,MATCH(L82,DAFTAR_FIXTURE!$A$2:$A$51,0)),""))</f>
        <v/>
      </c>
      <c r="P82" s="12">
        <f>IF(AND($D82="",L82=""),"",IF(L82="",IF(AND(Q82="",V82=""),"Belum ditempatkan",""),IF(O82="","CEK ID FIXTURE tidak ada di DAFTAR_FIXTURE",IF(M82="","CEK ZONA NO kosong",IF(ISNA(MATCH(O82&amp;"|"&amp;M82,LAYOUT!$E$2:$E$80,0)),"CEK ZONA NO di luar layout",IF(N82&lt;&gt;INDEX(LAYOUT!$D$2:$D$80,MATCH(O82&amp;"|"&amp;M82,LAYOUT!$E$2:$E$80,0)),"CEK JENIS ZONA",IF($D82="","Zona STOCK",IF($E82="","CEK SKU DESCRIPTION kosong","OK"))))))))</f>
        <v/>
      </c>
      <c r="Q82" s="11" t="n"/>
      <c r="R82" s="11" t="n"/>
      <c r="S82" s="11" t="n"/>
      <c r="T82" s="12">
        <f>IF(Q82="","",IFERROR(INDEX(DAFTAR_FIXTURE!$B$2:$B$51,MATCH(Q82,DAFTAR_FIXTURE!$A$2:$A$51,0)),""))</f>
        <v/>
      </c>
      <c r="U82" s="12">
        <f>IF(Q82="","",IF(T82="","CEK ID FIXTURE tidak ada di DAFTAR_FIXTURE",IF(R82="","CEK ZONA NO kosong",IF(ISNA(MATCH(T82&amp;"|"&amp;R82,LAYOUT!$E$2:$E$80,0)),"CEK ZONA NO di luar layout",IF(S82&lt;&gt;INDEX(LAYOUT!$D$2:$D$80,MATCH(T82&amp;"|"&amp;R82,LAYOUT!$E$2:$E$80,0)),"CEK JENIS ZONA",IF($D82="","Zona STOCK",IF($E82="","CEK SKU DESCRIPTION kosong","OK")))))))</f>
        <v/>
      </c>
      <c r="V82" s="11" t="n"/>
      <c r="W82" s="11" t="n"/>
      <c r="X82" s="11" t="n"/>
      <c r="Y82" s="12">
        <f>IF(V82="","",IFERROR(INDEX(DAFTAR_FIXTURE!$B$2:$B$51,MATCH(V82,DAFTAR_FIXTURE!$A$2:$A$51,0)),""))</f>
        <v/>
      </c>
      <c r="Z82" s="12">
        <f>IF(V82="","",IF(Y82="","CEK ID FIXTURE tidak ada di DAFTAR_FIXTURE",IF(W82="","CEK ZONA NO kosong",IF(ISNA(MATCH(Y82&amp;"|"&amp;W82,LAYOUT!$E$2:$E$80,0)),"CEK ZONA NO di luar layout",IF(X82&lt;&gt;INDEX(LAYOUT!$D$2:$D$80,MATCH(Y82&amp;"|"&amp;W82,LAYOUT!$E$2:$E$80,0)),"CEK JENIS ZONA",IF($D82="","Zona STOCK",IF($E82="","CEK SKU DESCRIPTION kosong","OK")))))))</f>
        <v/>
      </c>
    </row>
    <row r="83">
      <c r="A83" s="10" t="inlineStr">
        <is>
          <t>Homeware</t>
        </is>
      </c>
      <c r="B83" s="10" t="inlineStr">
        <is>
          <t>Kitchenware</t>
        </is>
      </c>
      <c r="C83" s="10" t="inlineStr">
        <is>
          <t>Kitchen Tools</t>
        </is>
      </c>
      <c r="D83" s="10" t="inlineStr">
        <is>
          <t>10198152</t>
        </is>
      </c>
      <c r="E83" s="10" t="inlineStr">
        <is>
          <t>TANTA S/S SOLID TURNER M</t>
        </is>
      </c>
      <c r="F83" s="10" t="n"/>
      <c r="G83" s="10" t="inlineStr">
        <is>
          <t>ALAT MASAK</t>
        </is>
      </c>
      <c r="H83" s="10" t="inlineStr">
        <is>
          <t>C1. KITCHEN TOOLS</t>
        </is>
      </c>
      <c r="I83" s="10" t="inlineStr">
        <is>
          <t>TANTA S/S</t>
        </is>
      </c>
      <c r="J83" s="10" t="n"/>
      <c r="K83" s="10" t="n"/>
      <c r="L83" s="11" t="inlineStr">
        <is>
          <t>GND-05</t>
        </is>
      </c>
      <c r="M83" s="11" t="n">
        <v>4</v>
      </c>
      <c r="N83" s="11" t="inlineStr">
        <is>
          <t>Gantungan</t>
        </is>
      </c>
      <c r="O83" s="12">
        <f>IF(L83="","",IFERROR(INDEX(DAFTAR_FIXTURE!$B$2:$B$51,MATCH(L83,DAFTAR_FIXTURE!$A$2:$A$51,0)),""))</f>
        <v/>
      </c>
      <c r="P83" s="12">
        <f>IF(AND($D83="",L83=""),"",IF(L83="",IF(AND(Q83="",V83=""),"Belum ditempatkan",""),IF(O83="","CEK ID FIXTURE tidak ada di DAFTAR_FIXTURE",IF(M83="","CEK ZONA NO kosong",IF(ISNA(MATCH(O83&amp;"|"&amp;M83,LAYOUT!$E$2:$E$80,0)),"CEK ZONA NO di luar layout",IF(N83&lt;&gt;INDEX(LAYOUT!$D$2:$D$80,MATCH(O83&amp;"|"&amp;M83,LAYOUT!$E$2:$E$80,0)),"CEK JENIS ZONA",IF($D83="","Zona STOCK",IF($E83="","CEK SKU DESCRIPTION kosong","OK"))))))))</f>
        <v/>
      </c>
      <c r="Q83" s="11" t="n"/>
      <c r="R83" s="11" t="n"/>
      <c r="S83" s="11" t="n"/>
      <c r="T83" s="12">
        <f>IF(Q83="","",IFERROR(INDEX(DAFTAR_FIXTURE!$B$2:$B$51,MATCH(Q83,DAFTAR_FIXTURE!$A$2:$A$51,0)),""))</f>
        <v/>
      </c>
      <c r="U83" s="12">
        <f>IF(Q83="","",IF(T83="","CEK ID FIXTURE tidak ada di DAFTAR_FIXTURE",IF(R83="","CEK ZONA NO kosong",IF(ISNA(MATCH(T83&amp;"|"&amp;R83,LAYOUT!$E$2:$E$80,0)),"CEK ZONA NO di luar layout",IF(S83&lt;&gt;INDEX(LAYOUT!$D$2:$D$80,MATCH(T83&amp;"|"&amp;R83,LAYOUT!$E$2:$E$80,0)),"CEK JENIS ZONA",IF($D83="","Zona STOCK",IF($E83="","CEK SKU DESCRIPTION kosong","OK")))))))</f>
        <v/>
      </c>
      <c r="V83" s="11" t="n"/>
      <c r="W83" s="11" t="n"/>
      <c r="X83" s="11" t="n"/>
      <c r="Y83" s="12">
        <f>IF(V83="","",IFERROR(INDEX(DAFTAR_FIXTURE!$B$2:$B$51,MATCH(V83,DAFTAR_FIXTURE!$A$2:$A$51,0)),""))</f>
        <v/>
      </c>
      <c r="Z83" s="12">
        <f>IF(V83="","",IF(Y83="","CEK ID FIXTURE tidak ada di DAFTAR_FIXTURE",IF(W83="","CEK ZONA NO kosong",IF(ISNA(MATCH(Y83&amp;"|"&amp;W83,LAYOUT!$E$2:$E$80,0)),"CEK ZONA NO di luar layout",IF(X83&lt;&gt;INDEX(LAYOUT!$D$2:$D$80,MATCH(Y83&amp;"|"&amp;W83,LAYOUT!$E$2:$E$80,0)),"CEK JENIS ZONA",IF($D83="","Zona STOCK",IF($E83="","CEK SKU DESCRIPTION kosong","OK")))))))</f>
        <v/>
      </c>
    </row>
    <row r="84">
      <c r="A84" s="10" t="inlineStr">
        <is>
          <t>Homeware</t>
        </is>
      </c>
      <c r="B84" s="10" t="inlineStr">
        <is>
          <t>Kitchenware</t>
        </is>
      </c>
      <c r="C84" s="10" t="inlineStr">
        <is>
          <t>Kitchen Tools</t>
        </is>
      </c>
      <c r="D84" s="10" t="inlineStr">
        <is>
          <t>10198154</t>
        </is>
      </c>
      <c r="E84" s="10" t="inlineStr">
        <is>
          <t>TANTA S/S LADLE</t>
        </is>
      </c>
      <c r="F84" s="10" t="n"/>
      <c r="G84" s="10" t="inlineStr">
        <is>
          <t>ALAT MASAK</t>
        </is>
      </c>
      <c r="H84" s="10" t="inlineStr">
        <is>
          <t>C1. KITCHEN TOOLS</t>
        </is>
      </c>
      <c r="I84" s="10" t="inlineStr">
        <is>
          <t>TANTA S/S</t>
        </is>
      </c>
      <c r="J84" s="10" t="n"/>
      <c r="K84" s="10" t="n"/>
      <c r="L84" s="11" t="inlineStr">
        <is>
          <t>GND-05</t>
        </is>
      </c>
      <c r="M84" s="11" t="n">
        <v>4</v>
      </c>
      <c r="N84" s="11" t="inlineStr">
        <is>
          <t>Gantungan</t>
        </is>
      </c>
      <c r="O84" s="12">
        <f>IF(L84="","",IFERROR(INDEX(DAFTAR_FIXTURE!$B$2:$B$51,MATCH(L84,DAFTAR_FIXTURE!$A$2:$A$51,0)),""))</f>
        <v/>
      </c>
      <c r="P84" s="12">
        <f>IF(AND($D84="",L84=""),"",IF(L84="",IF(AND(Q84="",V84=""),"Belum ditempatkan",""),IF(O84="","CEK ID FIXTURE tidak ada di DAFTAR_FIXTURE",IF(M84="","CEK ZONA NO kosong",IF(ISNA(MATCH(O84&amp;"|"&amp;M84,LAYOUT!$E$2:$E$80,0)),"CEK ZONA NO di luar layout",IF(N84&lt;&gt;INDEX(LAYOUT!$D$2:$D$80,MATCH(O84&amp;"|"&amp;M84,LAYOUT!$E$2:$E$80,0)),"CEK JENIS ZONA",IF($D84="","Zona STOCK",IF($E84="","CEK SKU DESCRIPTION kosong","OK"))))))))</f>
        <v/>
      </c>
      <c r="Q84" s="11" t="n"/>
      <c r="R84" s="11" t="n"/>
      <c r="S84" s="11" t="n"/>
      <c r="T84" s="12">
        <f>IF(Q84="","",IFERROR(INDEX(DAFTAR_FIXTURE!$B$2:$B$51,MATCH(Q84,DAFTAR_FIXTURE!$A$2:$A$51,0)),""))</f>
        <v/>
      </c>
      <c r="U84" s="12">
        <f>IF(Q84="","",IF(T84="","CEK ID FIXTURE tidak ada di DAFTAR_FIXTURE",IF(R84="","CEK ZONA NO kosong",IF(ISNA(MATCH(T84&amp;"|"&amp;R84,LAYOUT!$E$2:$E$80,0)),"CEK ZONA NO di luar layout",IF(S84&lt;&gt;INDEX(LAYOUT!$D$2:$D$80,MATCH(T84&amp;"|"&amp;R84,LAYOUT!$E$2:$E$80,0)),"CEK JENIS ZONA",IF($D84="","Zona STOCK",IF($E84="","CEK SKU DESCRIPTION kosong","OK")))))))</f>
        <v/>
      </c>
      <c r="V84" s="11" t="n"/>
      <c r="W84" s="11" t="n"/>
      <c r="X84" s="11" t="n"/>
      <c r="Y84" s="12">
        <f>IF(V84="","",IFERROR(INDEX(DAFTAR_FIXTURE!$B$2:$B$51,MATCH(V84,DAFTAR_FIXTURE!$A$2:$A$51,0)),""))</f>
        <v/>
      </c>
      <c r="Z84" s="12">
        <f>IF(V84="","",IF(Y84="","CEK ID FIXTURE tidak ada di DAFTAR_FIXTURE",IF(W84="","CEK ZONA NO kosong",IF(ISNA(MATCH(Y84&amp;"|"&amp;W84,LAYOUT!$E$2:$E$80,0)),"CEK ZONA NO di luar layout",IF(X84&lt;&gt;INDEX(LAYOUT!$D$2:$D$80,MATCH(Y84&amp;"|"&amp;W84,LAYOUT!$E$2:$E$80,0)),"CEK JENIS ZONA",IF($D84="","Zona STOCK",IF($E84="","CEK SKU DESCRIPTION kosong","OK")))))))</f>
        <v/>
      </c>
    </row>
    <row r="85">
      <c r="A85" s="10" t="inlineStr">
        <is>
          <t>Homeware</t>
        </is>
      </c>
      <c r="B85" s="10" t="inlineStr">
        <is>
          <t>Tableware</t>
        </is>
      </c>
      <c r="C85" s="10" t="inlineStr">
        <is>
          <t>Serving Set</t>
        </is>
      </c>
      <c r="D85" s="10" t="inlineStr">
        <is>
          <t>10681571</t>
        </is>
      </c>
      <c r="E85" s="10" t="inlineStr">
        <is>
          <t>SERVING GLASS SQR PLATER ZEVY GOLD</t>
        </is>
      </c>
      <c r="F85" s="10" t="n"/>
      <c r="G85" s="10" t="inlineStr">
        <is>
          <t>MAKAN</t>
        </is>
      </c>
      <c r="H85" s="10" t="inlineStr">
        <is>
          <t>A2. SERVINGWARE</t>
        </is>
      </c>
      <c r="I85" s="10" t="inlineStr">
        <is>
          <t>W/GOLD RACK GLASS</t>
        </is>
      </c>
      <c r="J85" s="10" t="n"/>
      <c r="K85" s="10" t="n"/>
      <c r="L85" s="11" t="inlineStr">
        <is>
          <t>GND-06</t>
        </is>
      </c>
      <c r="M85" s="11" t="n">
        <v>1</v>
      </c>
      <c r="N85" s="11" t="inlineStr">
        <is>
          <t>Rak</t>
        </is>
      </c>
      <c r="O85" s="12">
        <f>IF(L85="","",IFERROR(INDEX(DAFTAR_FIXTURE!$B$2:$B$51,MATCH(L85,DAFTAR_FIXTURE!$A$2:$A$51,0)),""))</f>
        <v/>
      </c>
      <c r="P85" s="12">
        <f>IF(AND($D85="",L85=""),"",IF(L85="",IF(AND(Q85="",V85=""),"Belum ditempatkan",""),IF(O85="","CEK ID FIXTURE tidak ada di DAFTAR_FIXTURE",IF(M85="","CEK ZONA NO kosong",IF(ISNA(MATCH(O85&amp;"|"&amp;M85,LAYOUT!$E$2:$E$80,0)),"CEK ZONA NO di luar layout",IF(N85&lt;&gt;INDEX(LAYOUT!$D$2:$D$80,MATCH(O85&amp;"|"&amp;M85,LAYOUT!$E$2:$E$80,0)),"CEK JENIS ZONA",IF($D85="","Zona STOCK",IF($E85="","CEK SKU DESCRIPTION kosong","OK"))))))))</f>
        <v/>
      </c>
      <c r="Q85" s="11" t="n"/>
      <c r="R85" s="11" t="n"/>
      <c r="S85" s="11" t="n"/>
      <c r="T85" s="12">
        <f>IF(Q85="","",IFERROR(INDEX(DAFTAR_FIXTURE!$B$2:$B$51,MATCH(Q85,DAFTAR_FIXTURE!$A$2:$A$51,0)),""))</f>
        <v/>
      </c>
      <c r="U85" s="12">
        <f>IF(Q85="","",IF(T85="","CEK ID FIXTURE tidak ada di DAFTAR_FIXTURE",IF(R85="","CEK ZONA NO kosong",IF(ISNA(MATCH(T85&amp;"|"&amp;R85,LAYOUT!$E$2:$E$80,0)),"CEK ZONA NO di luar layout",IF(S85&lt;&gt;INDEX(LAYOUT!$D$2:$D$80,MATCH(T85&amp;"|"&amp;R85,LAYOUT!$E$2:$E$80,0)),"CEK JENIS ZONA",IF($D85="","Zona STOCK",IF($E85="","CEK SKU DESCRIPTION kosong","OK")))))))</f>
        <v/>
      </c>
      <c r="V85" s="11" t="n"/>
      <c r="W85" s="11" t="n"/>
      <c r="X85" s="11" t="n"/>
      <c r="Y85" s="12">
        <f>IF(V85="","",IFERROR(INDEX(DAFTAR_FIXTURE!$B$2:$B$51,MATCH(V85,DAFTAR_FIXTURE!$A$2:$A$51,0)),""))</f>
        <v/>
      </c>
      <c r="Z85" s="12">
        <f>IF(V85="","",IF(Y85="","CEK ID FIXTURE tidak ada di DAFTAR_FIXTURE",IF(W85="","CEK ZONA NO kosong",IF(ISNA(MATCH(Y85&amp;"|"&amp;W85,LAYOUT!$E$2:$E$80,0)),"CEK ZONA NO di luar layout",IF(X85&lt;&gt;INDEX(LAYOUT!$D$2:$D$80,MATCH(Y85&amp;"|"&amp;W85,LAYOUT!$E$2:$E$80,0)),"CEK JENIS ZONA",IF($D85="","Zona STOCK",IF($E85="","CEK SKU DESCRIPTION kosong","OK")))))))</f>
        <v/>
      </c>
    </row>
    <row r="86">
      <c r="A86" s="10" t="inlineStr">
        <is>
          <t>Homeware</t>
        </is>
      </c>
      <c r="B86" s="10" t="inlineStr">
        <is>
          <t>Tableware</t>
        </is>
      </c>
      <c r="C86" s="10" t="inlineStr">
        <is>
          <t>Serving Set</t>
        </is>
      </c>
      <c r="D86" s="10" t="inlineStr">
        <is>
          <t>10681572</t>
        </is>
      </c>
      <c r="E86" s="10" t="inlineStr">
        <is>
          <t>SERVING GLASS OVAL PLATER ZOE GOLD</t>
        </is>
      </c>
      <c r="F86" s="10" t="n"/>
      <c r="G86" s="10" t="inlineStr">
        <is>
          <t>MAKAN</t>
        </is>
      </c>
      <c r="H86" s="10" t="inlineStr">
        <is>
          <t>A2. SERVINGWARE</t>
        </is>
      </c>
      <c r="I86" s="10" t="inlineStr">
        <is>
          <t>W/GOLD RACK GLASS</t>
        </is>
      </c>
      <c r="J86" s="10" t="n"/>
      <c r="K86" s="10" t="n"/>
      <c r="L86" s="11" t="inlineStr">
        <is>
          <t>GND-06</t>
        </is>
      </c>
      <c r="M86" s="11" t="n">
        <v>1</v>
      </c>
      <c r="N86" s="11" t="inlineStr">
        <is>
          <t>Rak</t>
        </is>
      </c>
      <c r="O86" s="12">
        <f>IF(L86="","",IFERROR(INDEX(DAFTAR_FIXTURE!$B$2:$B$51,MATCH(L86,DAFTAR_FIXTURE!$A$2:$A$51,0)),""))</f>
        <v/>
      </c>
      <c r="P86" s="12">
        <f>IF(AND($D86="",L86=""),"",IF(L86="",IF(AND(Q86="",V86=""),"Belum ditempatkan",""),IF(O86="","CEK ID FIXTURE tidak ada di DAFTAR_FIXTURE",IF(M86="","CEK ZONA NO kosong",IF(ISNA(MATCH(O86&amp;"|"&amp;M86,LAYOUT!$E$2:$E$80,0)),"CEK ZONA NO di luar layout",IF(N86&lt;&gt;INDEX(LAYOUT!$D$2:$D$80,MATCH(O86&amp;"|"&amp;M86,LAYOUT!$E$2:$E$80,0)),"CEK JENIS ZONA",IF($D86="","Zona STOCK",IF($E86="","CEK SKU DESCRIPTION kosong","OK"))))))))</f>
        <v/>
      </c>
      <c r="Q86" s="11" t="n"/>
      <c r="R86" s="11" t="n"/>
      <c r="S86" s="11" t="n"/>
      <c r="T86" s="12">
        <f>IF(Q86="","",IFERROR(INDEX(DAFTAR_FIXTURE!$B$2:$B$51,MATCH(Q86,DAFTAR_FIXTURE!$A$2:$A$51,0)),""))</f>
        <v/>
      </c>
      <c r="U86" s="12">
        <f>IF(Q86="","",IF(T86="","CEK ID FIXTURE tidak ada di DAFTAR_FIXTURE",IF(R86="","CEK ZONA NO kosong",IF(ISNA(MATCH(T86&amp;"|"&amp;R86,LAYOUT!$E$2:$E$80,0)),"CEK ZONA NO di luar layout",IF(S86&lt;&gt;INDEX(LAYOUT!$D$2:$D$80,MATCH(T86&amp;"|"&amp;R86,LAYOUT!$E$2:$E$80,0)),"CEK JENIS ZONA",IF($D86="","Zona STOCK",IF($E86="","CEK SKU DESCRIPTION kosong","OK")))))))</f>
        <v/>
      </c>
      <c r="V86" s="11" t="n"/>
      <c r="W86" s="11" t="n"/>
      <c r="X86" s="11" t="n"/>
      <c r="Y86" s="12">
        <f>IF(V86="","",IFERROR(INDEX(DAFTAR_FIXTURE!$B$2:$B$51,MATCH(V86,DAFTAR_FIXTURE!$A$2:$A$51,0)),""))</f>
        <v/>
      </c>
      <c r="Z86" s="12">
        <f>IF(V86="","",IF(Y86="","CEK ID FIXTURE tidak ada di DAFTAR_FIXTURE",IF(W86="","CEK ZONA NO kosong",IF(ISNA(MATCH(Y86&amp;"|"&amp;W86,LAYOUT!$E$2:$E$80,0)),"CEK ZONA NO di luar layout",IF(X86&lt;&gt;INDEX(LAYOUT!$D$2:$D$80,MATCH(Y86&amp;"|"&amp;W86,LAYOUT!$E$2:$E$80,0)),"CEK JENIS ZONA",IF($D86="","Zona STOCK",IF($E86="","CEK SKU DESCRIPTION kosong","OK")))))))</f>
        <v/>
      </c>
    </row>
    <row r="87">
      <c r="A87" s="10" t="inlineStr">
        <is>
          <t>Homeware</t>
        </is>
      </c>
      <c r="B87" s="10" t="inlineStr">
        <is>
          <t>Tableware</t>
        </is>
      </c>
      <c r="C87" s="10" t="inlineStr">
        <is>
          <t>Serving Set</t>
        </is>
      </c>
      <c r="D87" s="10" t="inlineStr">
        <is>
          <t>10681573</t>
        </is>
      </c>
      <c r="E87" s="10" t="inlineStr">
        <is>
          <t>SERVING GLASS SQR TWO RACK ZENA GOLD</t>
        </is>
      </c>
      <c r="F87" s="10" t="n"/>
      <c r="G87" s="10" t="inlineStr">
        <is>
          <t>MAKAN</t>
        </is>
      </c>
      <c r="H87" s="10" t="inlineStr">
        <is>
          <t>A2. SERVINGWARE</t>
        </is>
      </c>
      <c r="I87" s="10" t="inlineStr">
        <is>
          <t>W/GOLD RACK GLASS</t>
        </is>
      </c>
      <c r="J87" s="10" t="n"/>
      <c r="K87" s="10" t="n"/>
      <c r="L87" s="11" t="inlineStr">
        <is>
          <t>GND-06</t>
        </is>
      </c>
      <c r="M87" s="11" t="n">
        <v>2</v>
      </c>
      <c r="N87" s="11" t="inlineStr">
        <is>
          <t>Rak</t>
        </is>
      </c>
      <c r="O87" s="12">
        <f>IF(L87="","",IFERROR(INDEX(DAFTAR_FIXTURE!$B$2:$B$51,MATCH(L87,DAFTAR_FIXTURE!$A$2:$A$51,0)),""))</f>
        <v/>
      </c>
      <c r="P87" s="12">
        <f>IF(AND($D87="",L87=""),"",IF(L87="",IF(AND(Q87="",V87=""),"Belum ditempatkan",""),IF(O87="","CEK ID FIXTURE tidak ada di DAFTAR_FIXTURE",IF(M87="","CEK ZONA NO kosong",IF(ISNA(MATCH(O87&amp;"|"&amp;M87,LAYOUT!$E$2:$E$80,0)),"CEK ZONA NO di luar layout",IF(N87&lt;&gt;INDEX(LAYOUT!$D$2:$D$80,MATCH(O87&amp;"|"&amp;M87,LAYOUT!$E$2:$E$80,0)),"CEK JENIS ZONA",IF($D87="","Zona STOCK",IF($E87="","CEK SKU DESCRIPTION kosong","OK"))))))))</f>
        <v/>
      </c>
      <c r="Q87" s="11" t="n"/>
      <c r="R87" s="11" t="n"/>
      <c r="S87" s="11" t="n"/>
      <c r="T87" s="12">
        <f>IF(Q87="","",IFERROR(INDEX(DAFTAR_FIXTURE!$B$2:$B$51,MATCH(Q87,DAFTAR_FIXTURE!$A$2:$A$51,0)),""))</f>
        <v/>
      </c>
      <c r="U87" s="12">
        <f>IF(Q87="","",IF(T87="","CEK ID FIXTURE tidak ada di DAFTAR_FIXTURE",IF(R87="","CEK ZONA NO kosong",IF(ISNA(MATCH(T87&amp;"|"&amp;R87,LAYOUT!$E$2:$E$80,0)),"CEK ZONA NO di luar layout",IF(S87&lt;&gt;INDEX(LAYOUT!$D$2:$D$80,MATCH(T87&amp;"|"&amp;R87,LAYOUT!$E$2:$E$80,0)),"CEK JENIS ZONA",IF($D87="","Zona STOCK",IF($E87="","CEK SKU DESCRIPTION kosong","OK")))))))</f>
        <v/>
      </c>
      <c r="V87" s="11" t="n"/>
      <c r="W87" s="11" t="n"/>
      <c r="X87" s="11" t="n"/>
      <c r="Y87" s="12">
        <f>IF(V87="","",IFERROR(INDEX(DAFTAR_FIXTURE!$B$2:$B$51,MATCH(V87,DAFTAR_FIXTURE!$A$2:$A$51,0)),""))</f>
        <v/>
      </c>
      <c r="Z87" s="12">
        <f>IF(V87="","",IF(Y87="","CEK ID FIXTURE tidak ada di DAFTAR_FIXTURE",IF(W87="","CEK ZONA NO kosong",IF(ISNA(MATCH(Y87&amp;"|"&amp;W87,LAYOUT!$E$2:$E$80,0)),"CEK ZONA NO di luar layout",IF(X87&lt;&gt;INDEX(LAYOUT!$D$2:$D$80,MATCH(Y87&amp;"|"&amp;W87,LAYOUT!$E$2:$E$80,0)),"CEK JENIS ZONA",IF($D87="","Zona STOCK",IF($E87="","CEK SKU DESCRIPTION kosong","OK")))))))</f>
        <v/>
      </c>
    </row>
    <row r="88">
      <c r="A88" s="10" t="inlineStr">
        <is>
          <t>Homeware</t>
        </is>
      </c>
      <c r="B88" s="10" t="inlineStr">
        <is>
          <t>Tableware</t>
        </is>
      </c>
      <c r="C88" s="10" t="inlineStr">
        <is>
          <t>Serving Set</t>
        </is>
      </c>
      <c r="D88" s="10" t="inlineStr">
        <is>
          <t>10681574</t>
        </is>
      </c>
      <c r="E88" s="10" t="inlineStr">
        <is>
          <t>SERVING GLASS RND TWO RACK ZIA GOLD</t>
        </is>
      </c>
      <c r="F88" s="10" t="n"/>
      <c r="G88" s="10" t="inlineStr">
        <is>
          <t>MAKAN</t>
        </is>
      </c>
      <c r="H88" s="10" t="inlineStr">
        <is>
          <t>A2. SERVINGWARE</t>
        </is>
      </c>
      <c r="I88" s="10" t="inlineStr">
        <is>
          <t>W/GOLD RACK GLASS</t>
        </is>
      </c>
      <c r="J88" s="10" t="n"/>
      <c r="K88" s="10" t="n"/>
      <c r="L88" s="11" t="inlineStr">
        <is>
          <t>GND-06</t>
        </is>
      </c>
      <c r="M88" s="11" t="n">
        <v>2</v>
      </c>
      <c r="N88" s="11" t="inlineStr">
        <is>
          <t>Rak</t>
        </is>
      </c>
      <c r="O88" s="12">
        <f>IF(L88="","",IFERROR(INDEX(DAFTAR_FIXTURE!$B$2:$B$51,MATCH(L88,DAFTAR_FIXTURE!$A$2:$A$51,0)),""))</f>
        <v/>
      </c>
      <c r="P88" s="12">
        <f>IF(AND($D88="",L88=""),"",IF(L88="",IF(AND(Q88="",V88=""),"Belum ditempatkan",""),IF(O88="","CEK ID FIXTURE tidak ada di DAFTAR_FIXTURE",IF(M88="","CEK ZONA NO kosong",IF(ISNA(MATCH(O88&amp;"|"&amp;M88,LAYOUT!$E$2:$E$80,0)),"CEK ZONA NO di luar layout",IF(N88&lt;&gt;INDEX(LAYOUT!$D$2:$D$80,MATCH(O88&amp;"|"&amp;M88,LAYOUT!$E$2:$E$80,0)),"CEK JENIS ZONA",IF($D88="","Zona STOCK",IF($E88="","CEK SKU DESCRIPTION kosong","OK"))))))))</f>
        <v/>
      </c>
      <c r="Q88" s="11" t="n"/>
      <c r="R88" s="11" t="n"/>
      <c r="S88" s="11" t="n"/>
      <c r="T88" s="12">
        <f>IF(Q88="","",IFERROR(INDEX(DAFTAR_FIXTURE!$B$2:$B$51,MATCH(Q88,DAFTAR_FIXTURE!$A$2:$A$51,0)),""))</f>
        <v/>
      </c>
      <c r="U88" s="12">
        <f>IF(Q88="","",IF(T88="","CEK ID FIXTURE tidak ada di DAFTAR_FIXTURE",IF(R88="","CEK ZONA NO kosong",IF(ISNA(MATCH(T88&amp;"|"&amp;R88,LAYOUT!$E$2:$E$80,0)),"CEK ZONA NO di luar layout",IF(S88&lt;&gt;INDEX(LAYOUT!$D$2:$D$80,MATCH(T88&amp;"|"&amp;R88,LAYOUT!$E$2:$E$80,0)),"CEK JENIS ZONA",IF($D88="","Zona STOCK",IF($E88="","CEK SKU DESCRIPTION kosong","OK")))))))</f>
        <v/>
      </c>
      <c r="V88" s="11" t="n"/>
      <c r="W88" s="11" t="n"/>
      <c r="X88" s="11" t="n"/>
      <c r="Y88" s="12">
        <f>IF(V88="","",IFERROR(INDEX(DAFTAR_FIXTURE!$B$2:$B$51,MATCH(V88,DAFTAR_FIXTURE!$A$2:$A$51,0)),""))</f>
        <v/>
      </c>
      <c r="Z88" s="12">
        <f>IF(V88="","",IF(Y88="","CEK ID FIXTURE tidak ada di DAFTAR_FIXTURE",IF(W88="","CEK ZONA NO kosong",IF(ISNA(MATCH(Y88&amp;"|"&amp;W88,LAYOUT!$E$2:$E$80,0)),"CEK ZONA NO di luar layout",IF(X88&lt;&gt;INDEX(LAYOUT!$D$2:$D$80,MATCH(Y88&amp;"|"&amp;W88,LAYOUT!$E$2:$E$80,0)),"CEK JENIS ZONA",IF($D88="","Zona STOCK",IF($E88="","CEK SKU DESCRIPTION kosong","OK")))))))</f>
        <v/>
      </c>
    </row>
    <row r="89">
      <c r="A89" s="10" t="inlineStr">
        <is>
          <t>Homeware</t>
        </is>
      </c>
      <c r="B89" s="10" t="inlineStr">
        <is>
          <t>Storage</t>
        </is>
      </c>
      <c r="C89" s="10" t="inlineStr">
        <is>
          <t>Food Storage</t>
        </is>
      </c>
      <c r="D89" s="10" t="inlineStr">
        <is>
          <t>10681993</t>
        </is>
      </c>
      <c r="E89" s="10" t="inlineStr">
        <is>
          <t>POLLA RICE BIN 5KG BEIGE</t>
        </is>
      </c>
      <c r="F89" s="10" t="n"/>
      <c r="G89" s="10" t="inlineStr">
        <is>
          <t>MASAK</t>
        </is>
      </c>
      <c r="H89" s="10" t="inlineStr">
        <is>
          <t>D11. KITCHEN PLASTICWARE</t>
        </is>
      </c>
      <c r="I89" s="10" t="inlineStr">
        <is>
          <t>POLLA</t>
        </is>
      </c>
      <c r="J89" s="10" t="n"/>
      <c r="K89" s="10" t="n"/>
      <c r="L89" s="11" t="inlineStr">
        <is>
          <t>GND-06</t>
        </is>
      </c>
      <c r="M89" s="11" t="n">
        <v>3</v>
      </c>
      <c r="N89" s="11" t="inlineStr">
        <is>
          <t>Rak</t>
        </is>
      </c>
      <c r="O89" s="12">
        <f>IF(L89="","",IFERROR(INDEX(DAFTAR_FIXTURE!$B$2:$B$51,MATCH(L89,DAFTAR_FIXTURE!$A$2:$A$51,0)),""))</f>
        <v/>
      </c>
      <c r="P89" s="12">
        <f>IF(AND($D89="",L89=""),"",IF(L89="",IF(AND(Q89="",V89=""),"Belum ditempatkan",""),IF(O89="","CEK ID FIXTURE tidak ada di DAFTAR_FIXTURE",IF(M89="","CEK ZONA NO kosong",IF(ISNA(MATCH(O89&amp;"|"&amp;M89,LAYOUT!$E$2:$E$80,0)),"CEK ZONA NO di luar layout",IF(N89&lt;&gt;INDEX(LAYOUT!$D$2:$D$80,MATCH(O89&amp;"|"&amp;M89,LAYOUT!$E$2:$E$80,0)),"CEK JENIS ZONA",IF($D89="","Zona STOCK",IF($E89="","CEK SKU DESCRIPTION kosong","OK"))))))))</f>
        <v/>
      </c>
      <c r="Q89" s="11" t="n"/>
      <c r="R89" s="11" t="n"/>
      <c r="S89" s="11" t="n"/>
      <c r="T89" s="12">
        <f>IF(Q89="","",IFERROR(INDEX(DAFTAR_FIXTURE!$B$2:$B$51,MATCH(Q89,DAFTAR_FIXTURE!$A$2:$A$51,0)),""))</f>
        <v/>
      </c>
      <c r="U89" s="12">
        <f>IF(Q89="","",IF(T89="","CEK ID FIXTURE tidak ada di DAFTAR_FIXTURE",IF(R89="","CEK ZONA NO kosong",IF(ISNA(MATCH(T89&amp;"|"&amp;R89,LAYOUT!$E$2:$E$80,0)),"CEK ZONA NO di luar layout",IF(S89&lt;&gt;INDEX(LAYOUT!$D$2:$D$80,MATCH(T89&amp;"|"&amp;R89,LAYOUT!$E$2:$E$80,0)),"CEK JENIS ZONA",IF($D89="","Zona STOCK",IF($E89="","CEK SKU DESCRIPTION kosong","OK")))))))</f>
        <v/>
      </c>
      <c r="V89" s="11" t="n"/>
      <c r="W89" s="11" t="n"/>
      <c r="X89" s="11" t="n"/>
      <c r="Y89" s="12">
        <f>IF(V89="","",IFERROR(INDEX(DAFTAR_FIXTURE!$B$2:$B$51,MATCH(V89,DAFTAR_FIXTURE!$A$2:$A$51,0)),""))</f>
        <v/>
      </c>
      <c r="Z89" s="12">
        <f>IF(V89="","",IF(Y89="","CEK ID FIXTURE tidak ada di DAFTAR_FIXTURE",IF(W89="","CEK ZONA NO kosong",IF(ISNA(MATCH(Y89&amp;"|"&amp;W89,LAYOUT!$E$2:$E$80,0)),"CEK ZONA NO di luar layout",IF(X89&lt;&gt;INDEX(LAYOUT!$D$2:$D$80,MATCH(Y89&amp;"|"&amp;W89,LAYOUT!$E$2:$E$80,0)),"CEK JENIS ZONA",IF($D89="","Zona STOCK",IF($E89="","CEK SKU DESCRIPTION kosong","OK")))))))</f>
        <v/>
      </c>
    </row>
    <row r="90">
      <c r="A90" s="10" t="inlineStr">
        <is>
          <t>Homeware</t>
        </is>
      </c>
      <c r="B90" s="10" t="inlineStr">
        <is>
          <t>Kitchenware</t>
        </is>
      </c>
      <c r="C90" s="10" t="inlineStr">
        <is>
          <t>Kitchen Tools</t>
        </is>
      </c>
      <c r="D90" s="10" t="inlineStr">
        <is>
          <t>10198156</t>
        </is>
      </c>
      <c r="E90" s="10" t="inlineStr">
        <is>
          <t>TANTA NYLON SLOTTED TURNER M</t>
        </is>
      </c>
      <c r="F90" s="10" t="n"/>
      <c r="G90" s="10" t="inlineStr">
        <is>
          <t>ALAT MASAK</t>
        </is>
      </c>
      <c r="H90" s="10" t="inlineStr">
        <is>
          <t>C1. KITCHEN TOOLS</t>
        </is>
      </c>
      <c r="I90" s="10" t="inlineStr">
        <is>
          <t>TANTA NYLON</t>
        </is>
      </c>
      <c r="J90" s="10" t="n"/>
      <c r="K90" s="10" t="n"/>
      <c r="L90" s="11" t="inlineStr">
        <is>
          <t>GND-06</t>
        </is>
      </c>
      <c r="M90" s="11" t="n">
        <v>4</v>
      </c>
      <c r="N90" s="11" t="inlineStr">
        <is>
          <t>Gantungan</t>
        </is>
      </c>
      <c r="O90" s="12">
        <f>IF(L90="","",IFERROR(INDEX(DAFTAR_FIXTURE!$B$2:$B$51,MATCH(L90,DAFTAR_FIXTURE!$A$2:$A$51,0)),""))</f>
        <v/>
      </c>
      <c r="P90" s="12">
        <f>IF(AND($D90="",L90=""),"",IF(L90="",IF(AND(Q90="",V90=""),"Belum ditempatkan",""),IF(O90="","CEK ID FIXTURE tidak ada di DAFTAR_FIXTURE",IF(M90="","CEK ZONA NO kosong",IF(ISNA(MATCH(O90&amp;"|"&amp;M90,LAYOUT!$E$2:$E$80,0)),"CEK ZONA NO di luar layout",IF(N90&lt;&gt;INDEX(LAYOUT!$D$2:$D$80,MATCH(O90&amp;"|"&amp;M90,LAYOUT!$E$2:$E$80,0)),"CEK JENIS ZONA",IF($D90="","Zona STOCK",IF($E90="","CEK SKU DESCRIPTION kosong","OK"))))))))</f>
        <v/>
      </c>
      <c r="Q90" s="11" t="n"/>
      <c r="R90" s="11" t="n"/>
      <c r="S90" s="11" t="n"/>
      <c r="T90" s="12">
        <f>IF(Q90="","",IFERROR(INDEX(DAFTAR_FIXTURE!$B$2:$B$51,MATCH(Q90,DAFTAR_FIXTURE!$A$2:$A$51,0)),""))</f>
        <v/>
      </c>
      <c r="U90" s="12">
        <f>IF(Q90="","",IF(T90="","CEK ID FIXTURE tidak ada di DAFTAR_FIXTURE",IF(R90="","CEK ZONA NO kosong",IF(ISNA(MATCH(T90&amp;"|"&amp;R90,LAYOUT!$E$2:$E$80,0)),"CEK ZONA NO di luar layout",IF(S90&lt;&gt;INDEX(LAYOUT!$D$2:$D$80,MATCH(T90&amp;"|"&amp;R90,LAYOUT!$E$2:$E$80,0)),"CEK JENIS ZONA",IF($D90="","Zona STOCK",IF($E90="","CEK SKU DESCRIPTION kosong","OK")))))))</f>
        <v/>
      </c>
      <c r="V90" s="11" t="n"/>
      <c r="W90" s="11" t="n"/>
      <c r="X90" s="11" t="n"/>
      <c r="Y90" s="12">
        <f>IF(V90="","",IFERROR(INDEX(DAFTAR_FIXTURE!$B$2:$B$51,MATCH(V90,DAFTAR_FIXTURE!$A$2:$A$51,0)),""))</f>
        <v/>
      </c>
      <c r="Z90" s="12">
        <f>IF(V90="","",IF(Y90="","CEK ID FIXTURE tidak ada di DAFTAR_FIXTURE",IF(W90="","CEK ZONA NO kosong",IF(ISNA(MATCH(Y90&amp;"|"&amp;W90,LAYOUT!$E$2:$E$80,0)),"CEK ZONA NO di luar layout",IF(X90&lt;&gt;INDEX(LAYOUT!$D$2:$D$80,MATCH(Y90&amp;"|"&amp;W90,LAYOUT!$E$2:$E$80,0)),"CEK JENIS ZONA",IF($D90="","Zona STOCK",IF($E90="","CEK SKU DESCRIPTION kosong","OK")))))))</f>
        <v/>
      </c>
    </row>
    <row r="91">
      <c r="A91" s="10" t="inlineStr">
        <is>
          <t>Homeware</t>
        </is>
      </c>
      <c r="B91" s="10" t="inlineStr">
        <is>
          <t>Kitchenware</t>
        </is>
      </c>
      <c r="C91" s="10" t="inlineStr">
        <is>
          <t>Kitchen Tools</t>
        </is>
      </c>
      <c r="D91" s="10" t="inlineStr">
        <is>
          <t>10198157</t>
        </is>
      </c>
      <c r="E91" s="10" t="inlineStr">
        <is>
          <t>TANTA NYLON SOLID TURNER L</t>
        </is>
      </c>
      <c r="F91" s="10" t="n"/>
      <c r="G91" s="10" t="inlineStr">
        <is>
          <t>ALAT MASAK</t>
        </is>
      </c>
      <c r="H91" s="10" t="inlineStr">
        <is>
          <t>C1. KITCHEN TOOLS</t>
        </is>
      </c>
      <c r="I91" s="10" t="inlineStr">
        <is>
          <t>TANTA NYLON</t>
        </is>
      </c>
      <c r="J91" s="10" t="n"/>
      <c r="K91" s="10" t="n"/>
      <c r="L91" s="11" t="inlineStr">
        <is>
          <t>GND-06</t>
        </is>
      </c>
      <c r="M91" s="11" t="n">
        <v>4</v>
      </c>
      <c r="N91" s="11" t="inlineStr">
        <is>
          <t>Gantungan</t>
        </is>
      </c>
      <c r="O91" s="12">
        <f>IF(L91="","",IFERROR(INDEX(DAFTAR_FIXTURE!$B$2:$B$51,MATCH(L91,DAFTAR_FIXTURE!$A$2:$A$51,0)),""))</f>
        <v/>
      </c>
      <c r="P91" s="12">
        <f>IF(AND($D91="",L91=""),"",IF(L91="",IF(AND(Q91="",V91=""),"Belum ditempatkan",""),IF(O91="","CEK ID FIXTURE tidak ada di DAFTAR_FIXTURE",IF(M91="","CEK ZONA NO kosong",IF(ISNA(MATCH(O91&amp;"|"&amp;M91,LAYOUT!$E$2:$E$80,0)),"CEK ZONA NO di luar layout",IF(N91&lt;&gt;INDEX(LAYOUT!$D$2:$D$80,MATCH(O91&amp;"|"&amp;M91,LAYOUT!$E$2:$E$80,0)),"CEK JENIS ZONA",IF($D91="","Zona STOCK",IF($E91="","CEK SKU DESCRIPTION kosong","OK"))))))))</f>
        <v/>
      </c>
      <c r="Q91" s="11" t="n"/>
      <c r="R91" s="11" t="n"/>
      <c r="S91" s="11" t="n"/>
      <c r="T91" s="12">
        <f>IF(Q91="","",IFERROR(INDEX(DAFTAR_FIXTURE!$B$2:$B$51,MATCH(Q91,DAFTAR_FIXTURE!$A$2:$A$51,0)),""))</f>
        <v/>
      </c>
      <c r="U91" s="12">
        <f>IF(Q91="","",IF(T91="","CEK ID FIXTURE tidak ada di DAFTAR_FIXTURE",IF(R91="","CEK ZONA NO kosong",IF(ISNA(MATCH(T91&amp;"|"&amp;R91,LAYOUT!$E$2:$E$80,0)),"CEK ZONA NO di luar layout",IF(S91&lt;&gt;INDEX(LAYOUT!$D$2:$D$80,MATCH(T91&amp;"|"&amp;R91,LAYOUT!$E$2:$E$80,0)),"CEK JENIS ZONA",IF($D91="","Zona STOCK",IF($E91="","CEK SKU DESCRIPTION kosong","OK")))))))</f>
        <v/>
      </c>
      <c r="V91" s="11" t="n"/>
      <c r="W91" s="11" t="n"/>
      <c r="X91" s="11" t="n"/>
      <c r="Y91" s="12">
        <f>IF(V91="","",IFERROR(INDEX(DAFTAR_FIXTURE!$B$2:$B$51,MATCH(V91,DAFTAR_FIXTURE!$A$2:$A$51,0)),""))</f>
        <v/>
      </c>
      <c r="Z91" s="12">
        <f>IF(V91="","",IF(Y91="","CEK ID FIXTURE tidak ada di DAFTAR_FIXTURE",IF(W91="","CEK ZONA NO kosong",IF(ISNA(MATCH(Y91&amp;"|"&amp;W91,LAYOUT!$E$2:$E$80,0)),"CEK ZONA NO di luar layout",IF(X91&lt;&gt;INDEX(LAYOUT!$D$2:$D$80,MATCH(Y91&amp;"|"&amp;W91,LAYOUT!$E$2:$E$80,0)),"CEK JENIS ZONA",IF($D91="","Zona STOCK",IF($E91="","CEK SKU DESCRIPTION kosong","OK")))))))</f>
        <v/>
      </c>
    </row>
    <row r="92">
      <c r="A92" s="10" t="inlineStr">
        <is>
          <t>Homeware</t>
        </is>
      </c>
      <c r="B92" s="10" t="inlineStr">
        <is>
          <t>Kitchenware</t>
        </is>
      </c>
      <c r="C92" s="10" t="inlineStr">
        <is>
          <t>Kitchen Tools</t>
        </is>
      </c>
      <c r="D92" s="10" t="inlineStr">
        <is>
          <t>10198159</t>
        </is>
      </c>
      <c r="E92" s="10" t="inlineStr">
        <is>
          <t>TANTA NYLON LADLE</t>
        </is>
      </c>
      <c r="F92" s="10" t="n"/>
      <c r="G92" s="10" t="inlineStr">
        <is>
          <t>ALAT MASAK</t>
        </is>
      </c>
      <c r="H92" s="10" t="inlineStr">
        <is>
          <t>C1. KITCHEN TOOLS</t>
        </is>
      </c>
      <c r="I92" s="10" t="inlineStr">
        <is>
          <t>TANTA NYLON</t>
        </is>
      </c>
      <c r="J92" s="10" t="n"/>
      <c r="K92" s="10" t="n"/>
      <c r="L92" s="11" t="inlineStr">
        <is>
          <t>GND-06</t>
        </is>
      </c>
      <c r="M92" s="11" t="n">
        <v>4</v>
      </c>
      <c r="N92" s="11" t="inlineStr">
        <is>
          <t>Gantungan</t>
        </is>
      </c>
      <c r="O92" s="12">
        <f>IF(L92="","",IFERROR(INDEX(DAFTAR_FIXTURE!$B$2:$B$51,MATCH(L92,DAFTAR_FIXTURE!$A$2:$A$51,0)),""))</f>
        <v/>
      </c>
      <c r="P92" s="12">
        <f>IF(AND($D92="",L92=""),"",IF(L92="",IF(AND(Q92="",V92=""),"Belum ditempatkan",""),IF(O92="","CEK ID FIXTURE tidak ada di DAFTAR_FIXTURE",IF(M92="","CEK ZONA NO kosong",IF(ISNA(MATCH(O92&amp;"|"&amp;M92,LAYOUT!$E$2:$E$80,0)),"CEK ZONA NO di luar layout",IF(N92&lt;&gt;INDEX(LAYOUT!$D$2:$D$80,MATCH(O92&amp;"|"&amp;M92,LAYOUT!$E$2:$E$80,0)),"CEK JENIS ZONA",IF($D92="","Zona STOCK",IF($E92="","CEK SKU DESCRIPTION kosong","OK"))))))))</f>
        <v/>
      </c>
      <c r="Q92" s="11" t="n"/>
      <c r="R92" s="11" t="n"/>
      <c r="S92" s="11" t="n"/>
      <c r="T92" s="12">
        <f>IF(Q92="","",IFERROR(INDEX(DAFTAR_FIXTURE!$B$2:$B$51,MATCH(Q92,DAFTAR_FIXTURE!$A$2:$A$51,0)),""))</f>
        <v/>
      </c>
      <c r="U92" s="12">
        <f>IF(Q92="","",IF(T92="","CEK ID FIXTURE tidak ada di DAFTAR_FIXTURE",IF(R92="","CEK ZONA NO kosong",IF(ISNA(MATCH(T92&amp;"|"&amp;R92,LAYOUT!$E$2:$E$80,0)),"CEK ZONA NO di luar layout",IF(S92&lt;&gt;INDEX(LAYOUT!$D$2:$D$80,MATCH(T92&amp;"|"&amp;R92,LAYOUT!$E$2:$E$80,0)),"CEK JENIS ZONA",IF($D92="","Zona STOCK",IF($E92="","CEK SKU DESCRIPTION kosong","OK")))))))</f>
        <v/>
      </c>
      <c r="V92" s="11" t="n"/>
      <c r="W92" s="11" t="n"/>
      <c r="X92" s="11" t="n"/>
      <c r="Y92" s="12">
        <f>IF(V92="","",IFERROR(INDEX(DAFTAR_FIXTURE!$B$2:$B$51,MATCH(V92,DAFTAR_FIXTURE!$A$2:$A$51,0)),""))</f>
        <v/>
      </c>
      <c r="Z92" s="12">
        <f>IF(V92="","",IF(Y92="","CEK ID FIXTURE tidak ada di DAFTAR_FIXTURE",IF(W92="","CEK ZONA NO kosong",IF(ISNA(MATCH(Y92&amp;"|"&amp;W92,LAYOUT!$E$2:$E$80,0)),"CEK ZONA NO di luar layout",IF(X92&lt;&gt;INDEX(LAYOUT!$D$2:$D$80,MATCH(Y92&amp;"|"&amp;W92,LAYOUT!$E$2:$E$80,0)),"CEK JENIS ZONA",IF($D92="","Zona STOCK",IF($E92="","CEK SKU DESCRIPTION kosong","OK")))))))</f>
        <v/>
      </c>
    </row>
    <row r="93">
      <c r="A93" s="10" t="inlineStr">
        <is>
          <t>Homeware</t>
        </is>
      </c>
      <c r="B93" s="10" t="inlineStr">
        <is>
          <t>Kitchenware</t>
        </is>
      </c>
      <c r="C93" s="10" t="inlineStr">
        <is>
          <t>Kitchen Tools</t>
        </is>
      </c>
      <c r="D93" s="10" t="inlineStr">
        <is>
          <t>10198160</t>
        </is>
      </c>
      <c r="E93" s="10" t="inlineStr">
        <is>
          <t>TANTA NYLON WHISK</t>
        </is>
      </c>
      <c r="F93" s="10" t="n"/>
      <c r="G93" s="10" t="inlineStr">
        <is>
          <t>ALAT MASAK</t>
        </is>
      </c>
      <c r="H93" s="10" t="inlineStr">
        <is>
          <t>C1. KITCHEN TOOLS</t>
        </is>
      </c>
      <c r="I93" s="10" t="inlineStr">
        <is>
          <t>TANTA NYLON</t>
        </is>
      </c>
      <c r="J93" s="10" t="n"/>
      <c r="K93" s="10" t="n"/>
      <c r="L93" s="11" t="inlineStr">
        <is>
          <t>GND-06</t>
        </is>
      </c>
      <c r="M93" s="11" t="n">
        <v>4</v>
      </c>
      <c r="N93" s="11" t="inlineStr">
        <is>
          <t>Gantungan</t>
        </is>
      </c>
      <c r="O93" s="12">
        <f>IF(L93="","",IFERROR(INDEX(DAFTAR_FIXTURE!$B$2:$B$51,MATCH(L93,DAFTAR_FIXTURE!$A$2:$A$51,0)),""))</f>
        <v/>
      </c>
      <c r="P93" s="12">
        <f>IF(AND($D93="",L93=""),"",IF(L93="",IF(AND(Q93="",V93=""),"Belum ditempatkan",""),IF(O93="","CEK ID FIXTURE tidak ada di DAFTAR_FIXTURE",IF(M93="","CEK ZONA NO kosong",IF(ISNA(MATCH(O93&amp;"|"&amp;M93,LAYOUT!$E$2:$E$80,0)),"CEK ZONA NO di luar layout",IF(N93&lt;&gt;INDEX(LAYOUT!$D$2:$D$80,MATCH(O93&amp;"|"&amp;M93,LAYOUT!$E$2:$E$80,0)),"CEK JENIS ZONA",IF($D93="","Zona STOCK",IF($E93="","CEK SKU DESCRIPTION kosong","OK"))))))))</f>
        <v/>
      </c>
      <c r="Q93" s="11" t="n"/>
      <c r="R93" s="11" t="n"/>
      <c r="S93" s="11" t="n"/>
      <c r="T93" s="12">
        <f>IF(Q93="","",IFERROR(INDEX(DAFTAR_FIXTURE!$B$2:$B$51,MATCH(Q93,DAFTAR_FIXTURE!$A$2:$A$51,0)),""))</f>
        <v/>
      </c>
      <c r="U93" s="12">
        <f>IF(Q93="","",IF(T93="","CEK ID FIXTURE tidak ada di DAFTAR_FIXTURE",IF(R93="","CEK ZONA NO kosong",IF(ISNA(MATCH(T93&amp;"|"&amp;R93,LAYOUT!$E$2:$E$80,0)),"CEK ZONA NO di luar layout",IF(S93&lt;&gt;INDEX(LAYOUT!$D$2:$D$80,MATCH(T93&amp;"|"&amp;R93,LAYOUT!$E$2:$E$80,0)),"CEK JENIS ZONA",IF($D93="","Zona STOCK",IF($E93="","CEK SKU DESCRIPTION kosong","OK")))))))</f>
        <v/>
      </c>
      <c r="V93" s="11" t="n"/>
      <c r="W93" s="11" t="n"/>
      <c r="X93" s="11" t="n"/>
      <c r="Y93" s="12">
        <f>IF(V93="","",IFERROR(INDEX(DAFTAR_FIXTURE!$B$2:$B$51,MATCH(V93,DAFTAR_FIXTURE!$A$2:$A$51,0)),""))</f>
        <v/>
      </c>
      <c r="Z93" s="12">
        <f>IF(V93="","",IF(Y93="","CEK ID FIXTURE tidak ada di DAFTAR_FIXTURE",IF(W93="","CEK ZONA NO kosong",IF(ISNA(MATCH(Y93&amp;"|"&amp;W93,LAYOUT!$E$2:$E$80,0)),"CEK ZONA NO di luar layout",IF(X93&lt;&gt;INDEX(LAYOUT!$D$2:$D$80,MATCH(Y93&amp;"|"&amp;W93,LAYOUT!$E$2:$E$80,0)),"CEK JENIS ZONA",IF($D93="","Zona STOCK",IF($E93="","CEK SKU DESCRIPTION kosong","OK")))))))</f>
        <v/>
      </c>
    </row>
    <row r="94">
      <c r="A94" s="10" t="inlineStr">
        <is>
          <t>Homeware</t>
        </is>
      </c>
      <c r="B94" s="10" t="inlineStr">
        <is>
          <t>Cookware</t>
        </is>
      </c>
      <c r="C94" s="10" t="inlineStr">
        <is>
          <t>Pots &amp; Pans</t>
        </is>
      </c>
      <c r="D94" s="10" t="inlineStr">
        <is>
          <t>10421603</t>
        </is>
      </c>
      <c r="E94" s="10" t="inlineStr">
        <is>
          <t>KINGSTON SAUCEPAN WITH LID 16CM GREEN</t>
        </is>
      </c>
      <c r="F94" s="10" t="n"/>
      <c r="G94" s="10" t="inlineStr">
        <is>
          <t>MASAK</t>
        </is>
      </c>
      <c r="H94" s="10" t="inlineStr">
        <is>
          <t>B2. COOKWARE</t>
        </is>
      </c>
      <c r="I94" s="10" t="inlineStr">
        <is>
          <t>KINGSTON</t>
        </is>
      </c>
      <c r="J94" s="10" t="n"/>
      <c r="K94" s="10" t="n"/>
      <c r="L94" s="11" t="inlineStr">
        <is>
          <t>END-02</t>
        </is>
      </c>
      <c r="M94" s="11" t="n">
        <v>1</v>
      </c>
      <c r="N94" s="11" t="inlineStr">
        <is>
          <t>Rak</t>
        </is>
      </c>
      <c r="O94" s="12">
        <f>IF(L94="","",IFERROR(INDEX(DAFTAR_FIXTURE!$B$2:$B$51,MATCH(L94,DAFTAR_FIXTURE!$A$2:$A$51,0)),""))</f>
        <v/>
      </c>
      <c r="P94" s="12">
        <f>IF(AND($D94="",L94=""),"",IF(L94="",IF(AND(Q94="",V94=""),"Belum ditempatkan",""),IF(O94="","CEK ID FIXTURE tidak ada di DAFTAR_FIXTURE",IF(M94="","CEK ZONA NO kosong",IF(ISNA(MATCH(O94&amp;"|"&amp;M94,LAYOUT!$E$2:$E$80,0)),"CEK ZONA NO di luar layout",IF(N94&lt;&gt;INDEX(LAYOUT!$D$2:$D$80,MATCH(O94&amp;"|"&amp;M94,LAYOUT!$E$2:$E$80,0)),"CEK JENIS ZONA",IF($D94="","Zona STOCK",IF($E94="","CEK SKU DESCRIPTION kosong","OK"))))))))</f>
        <v/>
      </c>
      <c r="Q94" s="11" t="n"/>
      <c r="R94" s="11" t="n"/>
      <c r="S94" s="11" t="n"/>
      <c r="T94" s="12">
        <f>IF(Q94="","",IFERROR(INDEX(DAFTAR_FIXTURE!$B$2:$B$51,MATCH(Q94,DAFTAR_FIXTURE!$A$2:$A$51,0)),""))</f>
        <v/>
      </c>
      <c r="U94" s="12">
        <f>IF(Q94="","",IF(T94="","CEK ID FIXTURE tidak ada di DAFTAR_FIXTURE",IF(R94="","CEK ZONA NO kosong",IF(ISNA(MATCH(T94&amp;"|"&amp;R94,LAYOUT!$E$2:$E$80,0)),"CEK ZONA NO di luar layout",IF(S94&lt;&gt;INDEX(LAYOUT!$D$2:$D$80,MATCH(T94&amp;"|"&amp;R94,LAYOUT!$E$2:$E$80,0)),"CEK JENIS ZONA",IF($D94="","Zona STOCK",IF($E94="","CEK SKU DESCRIPTION kosong","OK")))))))</f>
        <v/>
      </c>
      <c r="V94" s="11" t="n"/>
      <c r="W94" s="11" t="n"/>
      <c r="X94" s="11" t="n"/>
      <c r="Y94" s="12">
        <f>IF(V94="","",IFERROR(INDEX(DAFTAR_FIXTURE!$B$2:$B$51,MATCH(V94,DAFTAR_FIXTURE!$A$2:$A$51,0)),""))</f>
        <v/>
      </c>
      <c r="Z94" s="12">
        <f>IF(V94="","",IF(Y94="","CEK ID FIXTURE tidak ada di DAFTAR_FIXTURE",IF(W94="","CEK ZONA NO kosong",IF(ISNA(MATCH(Y94&amp;"|"&amp;W94,LAYOUT!$E$2:$E$80,0)),"CEK ZONA NO di luar layout",IF(X94&lt;&gt;INDEX(LAYOUT!$D$2:$D$80,MATCH(Y94&amp;"|"&amp;W94,LAYOUT!$E$2:$E$80,0)),"CEK JENIS ZONA",IF($D94="","Zona STOCK",IF($E94="","CEK SKU DESCRIPTION kosong","OK")))))))</f>
        <v/>
      </c>
    </row>
    <row r="95">
      <c r="A95" s="10" t="inlineStr">
        <is>
          <t>Homeware</t>
        </is>
      </c>
      <c r="B95" s="10" t="inlineStr">
        <is>
          <t>Cookware</t>
        </is>
      </c>
      <c r="C95" s="10" t="inlineStr">
        <is>
          <t>Pots &amp; Pans</t>
        </is>
      </c>
      <c r="D95" s="10" t="inlineStr">
        <is>
          <t>10421608</t>
        </is>
      </c>
      <c r="E95" s="10" t="inlineStr">
        <is>
          <t>KINGSTON CASSEROLE WITH LID 20 CM GREEN</t>
        </is>
      </c>
      <c r="F95" s="10" t="n"/>
      <c r="G95" s="10" t="inlineStr">
        <is>
          <t>MASAK</t>
        </is>
      </c>
      <c r="H95" s="10" t="inlineStr">
        <is>
          <t>B2. COOKWARE</t>
        </is>
      </c>
      <c r="I95" s="10" t="inlineStr">
        <is>
          <t>KINGSTON</t>
        </is>
      </c>
      <c r="J95" s="10" t="n"/>
      <c r="K95" s="10" t="n"/>
      <c r="L95" s="11" t="inlineStr">
        <is>
          <t>END-02</t>
        </is>
      </c>
      <c r="M95" s="11" t="n">
        <v>2</v>
      </c>
      <c r="N95" s="11" t="inlineStr">
        <is>
          <t>Rak</t>
        </is>
      </c>
      <c r="O95" s="12">
        <f>IF(L95="","",IFERROR(INDEX(DAFTAR_FIXTURE!$B$2:$B$51,MATCH(L95,DAFTAR_FIXTURE!$A$2:$A$51,0)),""))</f>
        <v/>
      </c>
      <c r="P95" s="12">
        <f>IF(AND($D95="",L95=""),"",IF(L95="",IF(AND(Q95="",V95=""),"Belum ditempatkan",""),IF(O95="","CEK ID FIXTURE tidak ada di DAFTAR_FIXTURE",IF(M95="","CEK ZONA NO kosong",IF(ISNA(MATCH(O95&amp;"|"&amp;M95,LAYOUT!$E$2:$E$80,0)),"CEK ZONA NO di luar layout",IF(N95&lt;&gt;INDEX(LAYOUT!$D$2:$D$80,MATCH(O95&amp;"|"&amp;M95,LAYOUT!$E$2:$E$80,0)),"CEK JENIS ZONA",IF($D95="","Zona STOCK",IF($E95="","CEK SKU DESCRIPTION kosong","OK"))))))))</f>
        <v/>
      </c>
      <c r="Q95" s="11" t="n"/>
      <c r="R95" s="11" t="n"/>
      <c r="S95" s="11" t="n"/>
      <c r="T95" s="12">
        <f>IF(Q95="","",IFERROR(INDEX(DAFTAR_FIXTURE!$B$2:$B$51,MATCH(Q95,DAFTAR_FIXTURE!$A$2:$A$51,0)),""))</f>
        <v/>
      </c>
      <c r="U95" s="12">
        <f>IF(Q95="","",IF(T95="","CEK ID FIXTURE tidak ada di DAFTAR_FIXTURE",IF(R95="","CEK ZONA NO kosong",IF(ISNA(MATCH(T95&amp;"|"&amp;R95,LAYOUT!$E$2:$E$80,0)),"CEK ZONA NO di luar layout",IF(S95&lt;&gt;INDEX(LAYOUT!$D$2:$D$80,MATCH(T95&amp;"|"&amp;R95,LAYOUT!$E$2:$E$80,0)),"CEK JENIS ZONA",IF($D95="","Zona STOCK",IF($E95="","CEK SKU DESCRIPTION kosong","OK")))))))</f>
        <v/>
      </c>
      <c r="V95" s="11" t="n"/>
      <c r="W95" s="11" t="n"/>
      <c r="X95" s="11" t="n"/>
      <c r="Y95" s="12">
        <f>IF(V95="","",IFERROR(INDEX(DAFTAR_FIXTURE!$B$2:$B$51,MATCH(V95,DAFTAR_FIXTURE!$A$2:$A$51,0)),""))</f>
        <v/>
      </c>
      <c r="Z95" s="12">
        <f>IF(V95="","",IF(Y95="","CEK ID FIXTURE tidak ada di DAFTAR_FIXTURE",IF(W95="","CEK ZONA NO kosong",IF(ISNA(MATCH(Y95&amp;"|"&amp;W95,LAYOUT!$E$2:$E$80,0)),"CEK ZONA NO di luar layout",IF(X95&lt;&gt;INDEX(LAYOUT!$D$2:$D$80,MATCH(Y95&amp;"|"&amp;W95,LAYOUT!$E$2:$E$80,0)),"CEK JENIS ZONA",IF($D95="","Zona STOCK",IF($E95="","CEK SKU DESCRIPTION kosong","OK")))))))</f>
        <v/>
      </c>
    </row>
    <row r="96">
      <c r="A96" s="10" t="inlineStr">
        <is>
          <t>Homeware</t>
        </is>
      </c>
      <c r="B96" s="10" t="inlineStr">
        <is>
          <t>Cookware</t>
        </is>
      </c>
      <c r="C96" s="10" t="inlineStr">
        <is>
          <t>Pots &amp; Pans</t>
        </is>
      </c>
      <c r="D96" s="10" t="inlineStr">
        <is>
          <t>10421610</t>
        </is>
      </c>
      <c r="E96" s="10" t="inlineStr">
        <is>
          <t>KINGSTON GRILL PAN 24CM GREEN</t>
        </is>
      </c>
      <c r="F96" s="10" t="n"/>
      <c r="G96" s="10" t="inlineStr">
        <is>
          <t>MASAK</t>
        </is>
      </c>
      <c r="H96" s="10" t="inlineStr">
        <is>
          <t>B2. COOKWARE</t>
        </is>
      </c>
      <c r="I96" s="10" t="inlineStr">
        <is>
          <t>KINGSTON</t>
        </is>
      </c>
      <c r="J96" s="10" t="n"/>
      <c r="K96" s="10" t="n"/>
      <c r="L96" s="11" t="inlineStr">
        <is>
          <t>END-02</t>
        </is>
      </c>
      <c r="M96" s="11" t="n">
        <v>3</v>
      </c>
      <c r="N96" s="11" t="inlineStr">
        <is>
          <t>Rak</t>
        </is>
      </c>
      <c r="O96" s="12">
        <f>IF(L96="","",IFERROR(INDEX(DAFTAR_FIXTURE!$B$2:$B$51,MATCH(L96,DAFTAR_FIXTURE!$A$2:$A$51,0)),""))</f>
        <v/>
      </c>
      <c r="P96" s="12">
        <f>IF(AND($D96="",L96=""),"",IF(L96="",IF(AND(Q96="",V96=""),"Belum ditempatkan",""),IF(O96="","CEK ID FIXTURE tidak ada di DAFTAR_FIXTURE",IF(M96="","CEK ZONA NO kosong",IF(ISNA(MATCH(O96&amp;"|"&amp;M96,LAYOUT!$E$2:$E$80,0)),"CEK ZONA NO di luar layout",IF(N96&lt;&gt;INDEX(LAYOUT!$D$2:$D$80,MATCH(O96&amp;"|"&amp;M96,LAYOUT!$E$2:$E$80,0)),"CEK JENIS ZONA",IF($D96="","Zona STOCK",IF($E96="","CEK SKU DESCRIPTION kosong","OK"))))))))</f>
        <v/>
      </c>
      <c r="Q96" s="11" t="n"/>
      <c r="R96" s="11" t="n"/>
      <c r="S96" s="11" t="n"/>
      <c r="T96" s="12">
        <f>IF(Q96="","",IFERROR(INDEX(DAFTAR_FIXTURE!$B$2:$B$51,MATCH(Q96,DAFTAR_FIXTURE!$A$2:$A$51,0)),""))</f>
        <v/>
      </c>
      <c r="U96" s="12">
        <f>IF(Q96="","",IF(T96="","CEK ID FIXTURE tidak ada di DAFTAR_FIXTURE",IF(R96="","CEK ZONA NO kosong",IF(ISNA(MATCH(T96&amp;"|"&amp;R96,LAYOUT!$E$2:$E$80,0)),"CEK ZONA NO di luar layout",IF(S96&lt;&gt;INDEX(LAYOUT!$D$2:$D$80,MATCH(T96&amp;"|"&amp;R96,LAYOUT!$E$2:$E$80,0)),"CEK JENIS ZONA",IF($D96="","Zona STOCK",IF($E96="","CEK SKU DESCRIPTION kosong","OK")))))))</f>
        <v/>
      </c>
      <c r="V96" s="11" t="n"/>
      <c r="W96" s="11" t="n"/>
      <c r="X96" s="11" t="n"/>
      <c r="Y96" s="12">
        <f>IF(V96="","",IFERROR(INDEX(DAFTAR_FIXTURE!$B$2:$B$51,MATCH(V96,DAFTAR_FIXTURE!$A$2:$A$51,0)),""))</f>
        <v/>
      </c>
      <c r="Z96" s="12">
        <f>IF(V96="","",IF(Y96="","CEK ID FIXTURE tidak ada di DAFTAR_FIXTURE",IF(W96="","CEK ZONA NO kosong",IF(ISNA(MATCH(Y96&amp;"|"&amp;W96,LAYOUT!$E$2:$E$80,0)),"CEK ZONA NO di luar layout",IF(X96&lt;&gt;INDEX(LAYOUT!$D$2:$D$80,MATCH(Y96&amp;"|"&amp;W96,LAYOUT!$E$2:$E$80,0)),"CEK JENIS ZONA",IF($D96="","Zona STOCK",IF($E96="","CEK SKU DESCRIPTION kosong","OK")))))))</f>
        <v/>
      </c>
    </row>
    <row r="97">
      <c r="A97" s="10" t="inlineStr">
        <is>
          <t>Homeware</t>
        </is>
      </c>
      <c r="B97" s="10" t="inlineStr">
        <is>
          <t>Tableware</t>
        </is>
      </c>
      <c r="C97" s="10" t="inlineStr">
        <is>
          <t>Plates &amp; Bowls</t>
        </is>
      </c>
      <c r="D97" s="10" t="inlineStr">
        <is>
          <t>238182</t>
        </is>
      </c>
      <c r="E97" s="10" t="inlineStr">
        <is>
          <t>COUPLE PLATE 27CM SIMPLE PLUS</t>
        </is>
      </c>
      <c r="F97" s="10" t="n"/>
      <c r="G97" s="10" t="n"/>
      <c r="H97" s="10" t="n"/>
      <c r="I97" s="10" t="n"/>
      <c r="J97" s="10" t="n"/>
      <c r="K97" s="10" t="n"/>
      <c r="L97" s="11" t="inlineStr">
        <is>
          <t>WLL-01</t>
        </is>
      </c>
      <c r="M97" s="11" t="n">
        <v>1</v>
      </c>
      <c r="N97" s="11" t="inlineStr">
        <is>
          <t>Rak</t>
        </is>
      </c>
      <c r="O97" s="12">
        <f>IF(L97="","",IFERROR(INDEX(DAFTAR_FIXTURE!$B$2:$B$51,MATCH(L97,DAFTAR_FIXTURE!$A$2:$A$51,0)),""))</f>
        <v/>
      </c>
      <c r="P97" s="12">
        <f>IF(AND($D97="",L97=""),"",IF(L97="",IF(AND(Q97="",V97=""),"Belum ditempatkan",""),IF(O97="","CEK ID FIXTURE tidak ada di DAFTAR_FIXTURE",IF(M97="","CEK ZONA NO kosong",IF(ISNA(MATCH(O97&amp;"|"&amp;M97,LAYOUT!$E$2:$E$80,0)),"CEK ZONA NO di luar layout",IF(N97&lt;&gt;INDEX(LAYOUT!$D$2:$D$80,MATCH(O97&amp;"|"&amp;M97,LAYOUT!$E$2:$E$80,0)),"CEK JENIS ZONA",IF($D97="","Zona STOCK",IF($E97="","CEK SKU DESCRIPTION kosong","OK"))))))))</f>
        <v/>
      </c>
      <c r="Q97" s="11" t="n"/>
      <c r="R97" s="11" t="n"/>
      <c r="S97" s="11" t="n"/>
      <c r="T97" s="12">
        <f>IF(Q97="","",IFERROR(INDEX(DAFTAR_FIXTURE!$B$2:$B$51,MATCH(Q97,DAFTAR_FIXTURE!$A$2:$A$51,0)),""))</f>
        <v/>
      </c>
      <c r="U97" s="12">
        <f>IF(Q97="","",IF(T97="","CEK ID FIXTURE tidak ada di DAFTAR_FIXTURE",IF(R97="","CEK ZONA NO kosong",IF(ISNA(MATCH(T97&amp;"|"&amp;R97,LAYOUT!$E$2:$E$80,0)),"CEK ZONA NO di luar layout",IF(S97&lt;&gt;INDEX(LAYOUT!$D$2:$D$80,MATCH(T97&amp;"|"&amp;R97,LAYOUT!$E$2:$E$80,0)),"CEK JENIS ZONA",IF($D97="","Zona STOCK",IF($E97="","CEK SKU DESCRIPTION kosong","OK")))))))</f>
        <v/>
      </c>
      <c r="V97" s="11" t="n"/>
      <c r="W97" s="11" t="n"/>
      <c r="X97" s="11" t="n"/>
      <c r="Y97" s="12">
        <f>IF(V97="","",IFERROR(INDEX(DAFTAR_FIXTURE!$B$2:$B$51,MATCH(V97,DAFTAR_FIXTURE!$A$2:$A$51,0)),""))</f>
        <v/>
      </c>
      <c r="Z97" s="12">
        <f>IF(V97="","",IF(Y97="","CEK ID FIXTURE tidak ada di DAFTAR_FIXTURE",IF(W97="","CEK ZONA NO kosong",IF(ISNA(MATCH(Y97&amp;"|"&amp;W97,LAYOUT!$E$2:$E$80,0)),"CEK ZONA NO di luar layout",IF(X97&lt;&gt;INDEX(LAYOUT!$D$2:$D$80,MATCH(Y97&amp;"|"&amp;W97,LAYOUT!$E$2:$E$80,0)),"CEK JENIS ZONA",IF($D97="","Zona STOCK",IF($E97="","CEK SKU DESCRIPTION kosong","OK")))))))</f>
        <v/>
      </c>
    </row>
    <row r="98">
      <c r="A98" s="10" t="inlineStr">
        <is>
          <t>Homeware</t>
        </is>
      </c>
      <c r="B98" s="10" t="inlineStr">
        <is>
          <t>Tableware</t>
        </is>
      </c>
      <c r="C98" s="10" t="inlineStr">
        <is>
          <t>Plates &amp; Bowls</t>
        </is>
      </c>
      <c r="D98" s="10" t="inlineStr">
        <is>
          <t>238187</t>
        </is>
      </c>
      <c r="E98" s="10" t="inlineStr">
        <is>
          <t>RECT PLATE 14.5CMX22CM SIMPLE PLUS</t>
        </is>
      </c>
      <c r="F98" s="10" t="n"/>
      <c r="G98" s="10" t="n"/>
      <c r="H98" s="10" t="n"/>
      <c r="I98" s="10" t="n"/>
      <c r="J98" s="10" t="n"/>
      <c r="K98" s="10" t="n"/>
      <c r="L98" s="11" t="inlineStr">
        <is>
          <t>WLL-01</t>
        </is>
      </c>
      <c r="M98" s="11" t="n">
        <v>1</v>
      </c>
      <c r="N98" s="11" t="inlineStr">
        <is>
          <t>Rak</t>
        </is>
      </c>
      <c r="O98" s="12">
        <f>IF(L98="","",IFERROR(INDEX(DAFTAR_FIXTURE!$B$2:$B$51,MATCH(L98,DAFTAR_FIXTURE!$A$2:$A$51,0)),""))</f>
        <v/>
      </c>
      <c r="P98" s="12">
        <f>IF(AND($D98="",L98=""),"",IF(L98="",IF(AND(Q98="",V98=""),"Belum ditempatkan",""),IF(O98="","CEK ID FIXTURE tidak ada di DAFTAR_FIXTURE",IF(M98="","CEK ZONA NO kosong",IF(ISNA(MATCH(O98&amp;"|"&amp;M98,LAYOUT!$E$2:$E$80,0)),"CEK ZONA NO di luar layout",IF(N98&lt;&gt;INDEX(LAYOUT!$D$2:$D$80,MATCH(O98&amp;"|"&amp;M98,LAYOUT!$E$2:$E$80,0)),"CEK JENIS ZONA",IF($D98="","Zona STOCK",IF($E98="","CEK SKU DESCRIPTION kosong","OK"))))))))</f>
        <v/>
      </c>
      <c r="Q98" s="11" t="n"/>
      <c r="R98" s="11" t="n"/>
      <c r="S98" s="11" t="n"/>
      <c r="T98" s="12">
        <f>IF(Q98="","",IFERROR(INDEX(DAFTAR_FIXTURE!$B$2:$B$51,MATCH(Q98,DAFTAR_FIXTURE!$A$2:$A$51,0)),""))</f>
        <v/>
      </c>
      <c r="U98" s="12">
        <f>IF(Q98="","",IF(T98="","CEK ID FIXTURE tidak ada di DAFTAR_FIXTURE",IF(R98="","CEK ZONA NO kosong",IF(ISNA(MATCH(T98&amp;"|"&amp;R98,LAYOUT!$E$2:$E$80,0)),"CEK ZONA NO di luar layout",IF(S98&lt;&gt;INDEX(LAYOUT!$D$2:$D$80,MATCH(T98&amp;"|"&amp;R98,LAYOUT!$E$2:$E$80,0)),"CEK JENIS ZONA",IF($D98="","Zona STOCK",IF($E98="","CEK SKU DESCRIPTION kosong","OK")))))))</f>
        <v/>
      </c>
      <c r="V98" s="11" t="n"/>
      <c r="W98" s="11" t="n"/>
      <c r="X98" s="11" t="n"/>
      <c r="Y98" s="12">
        <f>IF(V98="","",IFERROR(INDEX(DAFTAR_FIXTURE!$B$2:$B$51,MATCH(V98,DAFTAR_FIXTURE!$A$2:$A$51,0)),""))</f>
        <v/>
      </c>
      <c r="Z98" s="12">
        <f>IF(V98="","",IF(Y98="","CEK ID FIXTURE tidak ada di DAFTAR_FIXTURE",IF(W98="","CEK ZONA NO kosong",IF(ISNA(MATCH(Y98&amp;"|"&amp;W98,LAYOUT!$E$2:$E$80,0)),"CEK ZONA NO di luar layout",IF(X98&lt;&gt;INDEX(LAYOUT!$D$2:$D$80,MATCH(Y98&amp;"|"&amp;W98,LAYOUT!$E$2:$E$80,0)),"CEK JENIS ZONA",IF($D98="","Zona STOCK",IF($E98="","CEK SKU DESCRIPTION kosong","OK")))))))</f>
        <v/>
      </c>
    </row>
    <row r="99">
      <c r="A99" s="10" t="inlineStr">
        <is>
          <t>Homeware</t>
        </is>
      </c>
      <c r="B99" s="10" t="inlineStr">
        <is>
          <t>Tableware</t>
        </is>
      </c>
      <c r="C99" s="10" t="inlineStr">
        <is>
          <t>Plates &amp; Bowls</t>
        </is>
      </c>
      <c r="D99" s="10" t="inlineStr">
        <is>
          <t>238192</t>
        </is>
      </c>
      <c r="E99" s="10" t="inlineStr">
        <is>
          <t>LOW BOWL 17 CM SIMPLE PLUS</t>
        </is>
      </c>
      <c r="F99" s="10" t="n"/>
      <c r="G99" s="10" t="n"/>
      <c r="H99" s="10" t="n"/>
      <c r="I99" s="10" t="n"/>
      <c r="J99" s="10" t="n"/>
      <c r="K99" s="10" t="n"/>
      <c r="L99" s="11" t="inlineStr">
        <is>
          <t>WLL-01</t>
        </is>
      </c>
      <c r="M99" s="11" t="n">
        <v>1</v>
      </c>
      <c r="N99" s="11" t="inlineStr">
        <is>
          <t>Rak</t>
        </is>
      </c>
      <c r="O99" s="12">
        <f>IF(L99="","",IFERROR(INDEX(DAFTAR_FIXTURE!$B$2:$B$51,MATCH(L99,DAFTAR_FIXTURE!$A$2:$A$51,0)),""))</f>
        <v/>
      </c>
      <c r="P99" s="12">
        <f>IF(AND($D99="",L99=""),"",IF(L99="",IF(AND(Q99="",V99=""),"Belum ditempatkan",""),IF(O99="","CEK ID FIXTURE tidak ada di DAFTAR_FIXTURE",IF(M99="","CEK ZONA NO kosong",IF(ISNA(MATCH(O99&amp;"|"&amp;M99,LAYOUT!$E$2:$E$80,0)),"CEK ZONA NO di luar layout",IF(N99&lt;&gt;INDEX(LAYOUT!$D$2:$D$80,MATCH(O99&amp;"|"&amp;M99,LAYOUT!$E$2:$E$80,0)),"CEK JENIS ZONA",IF($D99="","Zona STOCK",IF($E99="","CEK SKU DESCRIPTION kosong","OK"))))))))</f>
        <v/>
      </c>
      <c r="Q99" s="11" t="n"/>
      <c r="R99" s="11" t="n"/>
      <c r="S99" s="11" t="n"/>
      <c r="T99" s="12">
        <f>IF(Q99="","",IFERROR(INDEX(DAFTAR_FIXTURE!$B$2:$B$51,MATCH(Q99,DAFTAR_FIXTURE!$A$2:$A$51,0)),""))</f>
        <v/>
      </c>
      <c r="U99" s="12">
        <f>IF(Q99="","",IF(T99="","CEK ID FIXTURE tidak ada di DAFTAR_FIXTURE",IF(R99="","CEK ZONA NO kosong",IF(ISNA(MATCH(T99&amp;"|"&amp;R99,LAYOUT!$E$2:$E$80,0)),"CEK ZONA NO di luar layout",IF(S99&lt;&gt;INDEX(LAYOUT!$D$2:$D$80,MATCH(T99&amp;"|"&amp;R99,LAYOUT!$E$2:$E$80,0)),"CEK JENIS ZONA",IF($D99="","Zona STOCK",IF($E99="","CEK SKU DESCRIPTION kosong","OK")))))))</f>
        <v/>
      </c>
      <c r="V99" s="11" t="n"/>
      <c r="W99" s="11" t="n"/>
      <c r="X99" s="11" t="n"/>
      <c r="Y99" s="12">
        <f>IF(V99="","",IFERROR(INDEX(DAFTAR_FIXTURE!$B$2:$B$51,MATCH(V99,DAFTAR_FIXTURE!$A$2:$A$51,0)),""))</f>
        <v/>
      </c>
      <c r="Z99" s="12">
        <f>IF(V99="","",IF(Y99="","CEK ID FIXTURE tidak ada di DAFTAR_FIXTURE",IF(W99="","CEK ZONA NO kosong",IF(ISNA(MATCH(Y99&amp;"|"&amp;W99,LAYOUT!$E$2:$E$80,0)),"CEK ZONA NO di luar layout",IF(X99&lt;&gt;INDEX(LAYOUT!$D$2:$D$80,MATCH(Y99&amp;"|"&amp;W99,LAYOUT!$E$2:$E$80,0)),"CEK JENIS ZONA",IF($D99="","Zona STOCK",IF($E99="","CEK SKU DESCRIPTION kosong","OK")))))))</f>
        <v/>
      </c>
    </row>
    <row r="100">
      <c r="A100" s="10" t="inlineStr">
        <is>
          <t>Homeware</t>
        </is>
      </c>
      <c r="B100" s="10" t="inlineStr">
        <is>
          <t>Drinkware</t>
        </is>
      </c>
      <c r="C100" s="10" t="inlineStr">
        <is>
          <t>Glassware</t>
        </is>
      </c>
      <c r="D100" s="10" t="inlineStr">
        <is>
          <t>10099940</t>
        </is>
      </c>
      <c r="E100" s="10" t="inlineStr">
        <is>
          <t>INVERNESS WATER GLASS SET 355ML (6)</t>
        </is>
      </c>
      <c r="F100" s="10" t="n"/>
      <c r="G100" s="10" t="inlineStr">
        <is>
          <t>MAKAN</t>
        </is>
      </c>
      <c r="H100" s="10" t="inlineStr">
        <is>
          <t>A1. GLASSWARE</t>
        </is>
      </c>
      <c r="I100" s="10" t="inlineStr">
        <is>
          <t>INVERNESS</t>
        </is>
      </c>
      <c r="J100" s="10" t="n"/>
      <c r="K100" s="10" t="n"/>
      <c r="L100" s="11" t="inlineStr">
        <is>
          <t>WLL-01</t>
        </is>
      </c>
      <c r="M100" s="11" t="n">
        <v>6</v>
      </c>
      <c r="N100" s="11" t="inlineStr">
        <is>
          <t>Rak</t>
        </is>
      </c>
      <c r="O100" s="12">
        <f>IF(L100="","",IFERROR(INDEX(DAFTAR_FIXTURE!$B$2:$B$51,MATCH(L100,DAFTAR_FIXTURE!$A$2:$A$51,0)),""))</f>
        <v/>
      </c>
      <c r="P100" s="12">
        <f>IF(AND($D100="",L100=""),"",IF(L100="",IF(AND(Q100="",V100=""),"Belum ditempatkan",""),IF(O100="","CEK ID FIXTURE tidak ada di DAFTAR_FIXTURE",IF(M100="","CEK ZONA NO kosong",IF(ISNA(MATCH(O100&amp;"|"&amp;M100,LAYOUT!$E$2:$E$80,0)),"CEK ZONA NO di luar layout",IF(N100&lt;&gt;INDEX(LAYOUT!$D$2:$D$80,MATCH(O100&amp;"|"&amp;M100,LAYOUT!$E$2:$E$80,0)),"CEK JENIS ZONA",IF($D100="","Zona STOCK",IF($E100="","CEK SKU DESCRIPTION kosong","OK"))))))))</f>
        <v/>
      </c>
      <c r="Q100" s="11" t="n"/>
      <c r="R100" s="11" t="n"/>
      <c r="S100" s="11" t="n"/>
      <c r="T100" s="12">
        <f>IF(Q100="","",IFERROR(INDEX(DAFTAR_FIXTURE!$B$2:$B$51,MATCH(Q100,DAFTAR_FIXTURE!$A$2:$A$51,0)),""))</f>
        <v/>
      </c>
      <c r="U100" s="12">
        <f>IF(Q100="","",IF(T100="","CEK ID FIXTURE tidak ada di DAFTAR_FIXTURE",IF(R100="","CEK ZONA NO kosong",IF(ISNA(MATCH(T100&amp;"|"&amp;R100,LAYOUT!$E$2:$E$80,0)),"CEK ZONA NO di luar layout",IF(S100&lt;&gt;INDEX(LAYOUT!$D$2:$D$80,MATCH(T100&amp;"|"&amp;R100,LAYOUT!$E$2:$E$80,0)),"CEK JENIS ZONA",IF($D100="","Zona STOCK",IF($E100="","CEK SKU DESCRIPTION kosong","OK")))))))</f>
        <v/>
      </c>
      <c r="V100" s="11" t="n"/>
      <c r="W100" s="11" t="n"/>
      <c r="X100" s="11" t="n"/>
      <c r="Y100" s="12">
        <f>IF(V100="","",IFERROR(INDEX(DAFTAR_FIXTURE!$B$2:$B$51,MATCH(V100,DAFTAR_FIXTURE!$A$2:$A$51,0)),""))</f>
        <v/>
      </c>
      <c r="Z100" s="12">
        <f>IF(V100="","",IF(Y100="","CEK ID FIXTURE tidak ada di DAFTAR_FIXTURE",IF(W100="","CEK ZONA NO kosong",IF(ISNA(MATCH(Y100&amp;"|"&amp;W100,LAYOUT!$E$2:$E$80,0)),"CEK ZONA NO di luar layout",IF(X100&lt;&gt;INDEX(LAYOUT!$D$2:$D$80,MATCH(Y100&amp;"|"&amp;W100,LAYOUT!$E$2:$E$80,0)),"CEK JENIS ZONA",IF($D100="","Zona STOCK",IF($E100="","CEK SKU DESCRIPTION kosong","OK")))))))</f>
        <v/>
      </c>
    </row>
    <row r="101">
      <c r="A101" s="10" t="inlineStr">
        <is>
          <t>Homeware</t>
        </is>
      </c>
      <c r="B101" s="10" t="inlineStr">
        <is>
          <t>Drinkware</t>
        </is>
      </c>
      <c r="C101" s="10" t="inlineStr">
        <is>
          <t>Cup &amp; Saucer</t>
        </is>
      </c>
      <c r="D101" s="10" t="inlineStr">
        <is>
          <t>238190</t>
        </is>
      </c>
      <c r="E101" s="10" t="inlineStr">
        <is>
          <t>CUP 100 CC W/SAUCER 12.5CM SIMPLE PLUS</t>
        </is>
      </c>
      <c r="F101" s="10" t="n"/>
      <c r="G101" s="10" t="n"/>
      <c r="H101" s="10" t="n"/>
      <c r="I101" s="10" t="n"/>
      <c r="J101" s="10" t="n"/>
      <c r="K101" s="10" t="n"/>
      <c r="L101" s="11" t="inlineStr">
        <is>
          <t>WLL-01</t>
        </is>
      </c>
      <c r="M101" s="11" t="n">
        <v>6</v>
      </c>
      <c r="N101" s="11" t="inlineStr">
        <is>
          <t>Rak</t>
        </is>
      </c>
      <c r="O101" s="12">
        <f>IF(L101="","",IFERROR(INDEX(DAFTAR_FIXTURE!$B$2:$B$51,MATCH(L101,DAFTAR_FIXTURE!$A$2:$A$51,0)),""))</f>
        <v/>
      </c>
      <c r="P101" s="12">
        <f>IF(AND($D101="",L101=""),"",IF(L101="",IF(AND(Q101="",V101=""),"Belum ditempatkan",""),IF(O101="","CEK ID FIXTURE tidak ada di DAFTAR_FIXTURE",IF(M101="","CEK ZONA NO kosong",IF(ISNA(MATCH(O101&amp;"|"&amp;M101,LAYOUT!$E$2:$E$80,0)),"CEK ZONA NO di luar layout",IF(N101&lt;&gt;INDEX(LAYOUT!$D$2:$D$80,MATCH(O101&amp;"|"&amp;M101,LAYOUT!$E$2:$E$80,0)),"CEK JENIS ZONA",IF($D101="","Zona STOCK",IF($E101="","CEK SKU DESCRIPTION kosong","OK"))))))))</f>
        <v/>
      </c>
      <c r="Q101" s="11" t="n"/>
      <c r="R101" s="11" t="n"/>
      <c r="S101" s="11" t="n"/>
      <c r="T101" s="12">
        <f>IF(Q101="","",IFERROR(INDEX(DAFTAR_FIXTURE!$B$2:$B$51,MATCH(Q101,DAFTAR_FIXTURE!$A$2:$A$51,0)),""))</f>
        <v/>
      </c>
      <c r="U101" s="12">
        <f>IF(Q101="","",IF(T101="","CEK ID FIXTURE tidak ada di DAFTAR_FIXTURE",IF(R101="","CEK ZONA NO kosong",IF(ISNA(MATCH(T101&amp;"|"&amp;R101,LAYOUT!$E$2:$E$80,0)),"CEK ZONA NO di luar layout",IF(S101&lt;&gt;INDEX(LAYOUT!$D$2:$D$80,MATCH(T101&amp;"|"&amp;R101,LAYOUT!$E$2:$E$80,0)),"CEK JENIS ZONA",IF($D101="","Zona STOCK",IF($E101="","CEK SKU DESCRIPTION kosong","OK")))))))</f>
        <v/>
      </c>
      <c r="V101" s="11" t="n"/>
      <c r="W101" s="11" t="n"/>
      <c r="X101" s="11" t="n"/>
      <c r="Y101" s="12">
        <f>IF(V101="","",IFERROR(INDEX(DAFTAR_FIXTURE!$B$2:$B$51,MATCH(V101,DAFTAR_FIXTURE!$A$2:$A$51,0)),""))</f>
        <v/>
      </c>
      <c r="Z101" s="12">
        <f>IF(V101="","",IF(Y101="","CEK ID FIXTURE tidak ada di DAFTAR_FIXTURE",IF(W101="","CEK ZONA NO kosong",IF(ISNA(MATCH(Y101&amp;"|"&amp;W101,LAYOUT!$E$2:$E$80,0)),"CEK ZONA NO di luar layout",IF(X101&lt;&gt;INDEX(LAYOUT!$D$2:$D$80,MATCH(Y101&amp;"|"&amp;W101,LAYOUT!$E$2:$E$80,0)),"CEK JENIS ZONA",IF($D101="","Zona STOCK",IF($E101="","CEK SKU DESCRIPTION kosong","OK")))))))</f>
        <v/>
      </c>
    </row>
    <row r="102">
      <c r="A102" s="10" t="inlineStr">
        <is>
          <t>Homeware</t>
        </is>
      </c>
      <c r="B102" s="10" t="inlineStr">
        <is>
          <t>Drinkware</t>
        </is>
      </c>
      <c r="C102" s="10" t="inlineStr">
        <is>
          <t>Cup &amp; Saucer</t>
        </is>
      </c>
      <c r="D102" s="10" t="inlineStr">
        <is>
          <t>238191</t>
        </is>
      </c>
      <c r="E102" s="10" t="inlineStr">
        <is>
          <t>CUP 200 CC W/SAUCER 15.5CM SIMPLE PLUS</t>
        </is>
      </c>
      <c r="F102" s="10" t="n"/>
      <c r="G102" s="10" t="n"/>
      <c r="H102" s="10" t="n"/>
      <c r="I102" s="10" t="n"/>
      <c r="J102" s="10" t="n"/>
      <c r="K102" s="10" t="n"/>
      <c r="L102" s="11" t="inlineStr">
        <is>
          <t>WLL-01</t>
        </is>
      </c>
      <c r="M102" s="11" t="n">
        <v>6</v>
      </c>
      <c r="N102" s="11" t="inlineStr">
        <is>
          <t>Rak</t>
        </is>
      </c>
      <c r="O102" s="12">
        <f>IF(L102="","",IFERROR(INDEX(DAFTAR_FIXTURE!$B$2:$B$51,MATCH(L102,DAFTAR_FIXTURE!$A$2:$A$51,0)),""))</f>
        <v/>
      </c>
      <c r="P102" s="12">
        <f>IF(AND($D102="",L102=""),"",IF(L102="",IF(AND(Q102="",V102=""),"Belum ditempatkan",""),IF(O102="","CEK ID FIXTURE tidak ada di DAFTAR_FIXTURE",IF(M102="","CEK ZONA NO kosong",IF(ISNA(MATCH(O102&amp;"|"&amp;M102,LAYOUT!$E$2:$E$80,0)),"CEK ZONA NO di luar layout",IF(N102&lt;&gt;INDEX(LAYOUT!$D$2:$D$80,MATCH(O102&amp;"|"&amp;M102,LAYOUT!$E$2:$E$80,0)),"CEK JENIS ZONA",IF($D102="","Zona STOCK",IF($E102="","CEK SKU DESCRIPTION kosong","OK"))))))))</f>
        <v/>
      </c>
      <c r="Q102" s="11" t="n"/>
      <c r="R102" s="11" t="n"/>
      <c r="S102" s="11" t="n"/>
      <c r="T102" s="12">
        <f>IF(Q102="","",IFERROR(INDEX(DAFTAR_FIXTURE!$B$2:$B$51,MATCH(Q102,DAFTAR_FIXTURE!$A$2:$A$51,0)),""))</f>
        <v/>
      </c>
      <c r="U102" s="12">
        <f>IF(Q102="","",IF(T102="","CEK ID FIXTURE tidak ada di DAFTAR_FIXTURE",IF(R102="","CEK ZONA NO kosong",IF(ISNA(MATCH(T102&amp;"|"&amp;R102,LAYOUT!$E$2:$E$80,0)),"CEK ZONA NO di luar layout",IF(S102&lt;&gt;INDEX(LAYOUT!$D$2:$D$80,MATCH(T102&amp;"|"&amp;R102,LAYOUT!$E$2:$E$80,0)),"CEK JENIS ZONA",IF($D102="","Zona STOCK",IF($E102="","CEK SKU DESCRIPTION kosong","OK")))))))</f>
        <v/>
      </c>
      <c r="V102" s="11" t="n"/>
      <c r="W102" s="11" t="n"/>
      <c r="X102" s="11" t="n"/>
      <c r="Y102" s="12">
        <f>IF(V102="","",IFERROR(INDEX(DAFTAR_FIXTURE!$B$2:$B$51,MATCH(V102,DAFTAR_FIXTURE!$A$2:$A$51,0)),""))</f>
        <v/>
      </c>
      <c r="Z102" s="12">
        <f>IF(V102="","",IF(Y102="","CEK ID FIXTURE tidak ada di DAFTAR_FIXTURE",IF(W102="","CEK ZONA NO kosong",IF(ISNA(MATCH(Y102&amp;"|"&amp;W102,LAYOUT!$E$2:$E$80,0)),"CEK ZONA NO di luar layout",IF(X102&lt;&gt;INDEX(LAYOUT!$D$2:$D$80,MATCH(Y102&amp;"|"&amp;W102,LAYOUT!$E$2:$E$80,0)),"CEK JENIS ZONA",IF($D102="","Zona STOCK",IF($E102="","CEK SKU DESCRIPTION kosong","OK")))))))</f>
        <v/>
      </c>
    </row>
    <row r="103">
      <c r="A103" s="10" t="inlineStr">
        <is>
          <t>Homeware</t>
        </is>
      </c>
      <c r="B103" s="10" t="inlineStr">
        <is>
          <t>Storage</t>
        </is>
      </c>
      <c r="C103" s="10" t="inlineStr">
        <is>
          <t>Food Storage</t>
        </is>
      </c>
      <c r="D103" s="10" t="inlineStr">
        <is>
          <t>10680419</t>
        </is>
      </c>
      <c r="E103" s="10" t="inlineStr">
        <is>
          <t>MOSQUE DOME GLASS JAR SET OF 3 450ML</t>
        </is>
      </c>
      <c r="F103" s="10" t="n"/>
      <c r="G103" s="10" t="inlineStr">
        <is>
          <t>PENYIMPANAN</t>
        </is>
      </c>
      <c r="H103" s="10" t="inlineStr">
        <is>
          <t>E4. CANISTER</t>
        </is>
      </c>
      <c r="I103" s="10" t="inlineStr">
        <is>
          <t>GLASS FANCY</t>
        </is>
      </c>
      <c r="J103" s="10" t="n"/>
      <c r="K103" s="10" t="n"/>
      <c r="L103" s="11" t="inlineStr">
        <is>
          <t>WLL-02</t>
        </is>
      </c>
      <c r="M103" s="11" t="n">
        <v>5</v>
      </c>
      <c r="N103" s="11" t="inlineStr">
        <is>
          <t>Rak</t>
        </is>
      </c>
      <c r="O103" s="12">
        <f>IF(L103="","",IFERROR(INDEX(DAFTAR_FIXTURE!$B$2:$B$51,MATCH(L103,DAFTAR_FIXTURE!$A$2:$A$51,0)),""))</f>
        <v/>
      </c>
      <c r="P103" s="12">
        <f>IF(AND($D103="",L103=""),"",IF(L103="",IF(AND(Q103="",V103=""),"Belum ditempatkan",""),IF(O103="","CEK ID FIXTURE tidak ada di DAFTAR_FIXTURE",IF(M103="","CEK ZONA NO kosong",IF(ISNA(MATCH(O103&amp;"|"&amp;M103,LAYOUT!$E$2:$E$80,0)),"CEK ZONA NO di luar layout",IF(N103&lt;&gt;INDEX(LAYOUT!$D$2:$D$80,MATCH(O103&amp;"|"&amp;M103,LAYOUT!$E$2:$E$80,0)),"CEK JENIS ZONA",IF($D103="","Zona STOCK",IF($E103="","CEK SKU DESCRIPTION kosong","OK"))))))))</f>
        <v/>
      </c>
      <c r="Q103" s="11" t="n"/>
      <c r="R103" s="11" t="n"/>
      <c r="S103" s="11" t="n"/>
      <c r="T103" s="12">
        <f>IF(Q103="","",IFERROR(INDEX(DAFTAR_FIXTURE!$B$2:$B$51,MATCH(Q103,DAFTAR_FIXTURE!$A$2:$A$51,0)),""))</f>
        <v/>
      </c>
      <c r="U103" s="12">
        <f>IF(Q103="","",IF(T103="","CEK ID FIXTURE tidak ada di DAFTAR_FIXTURE",IF(R103="","CEK ZONA NO kosong",IF(ISNA(MATCH(T103&amp;"|"&amp;R103,LAYOUT!$E$2:$E$80,0)),"CEK ZONA NO di luar layout",IF(S103&lt;&gt;INDEX(LAYOUT!$D$2:$D$80,MATCH(T103&amp;"|"&amp;R103,LAYOUT!$E$2:$E$80,0)),"CEK JENIS ZONA",IF($D103="","Zona STOCK",IF($E103="","CEK SKU DESCRIPTION kosong","OK")))))))</f>
        <v/>
      </c>
      <c r="V103" s="11" t="n"/>
      <c r="W103" s="11" t="n"/>
      <c r="X103" s="11" t="n"/>
      <c r="Y103" s="12">
        <f>IF(V103="","",IFERROR(INDEX(DAFTAR_FIXTURE!$B$2:$B$51,MATCH(V103,DAFTAR_FIXTURE!$A$2:$A$51,0)),""))</f>
        <v/>
      </c>
      <c r="Z103" s="12">
        <f>IF(V103="","",IF(Y103="","CEK ID FIXTURE tidak ada di DAFTAR_FIXTURE",IF(W103="","CEK ZONA NO kosong",IF(ISNA(MATCH(Y103&amp;"|"&amp;W103,LAYOUT!$E$2:$E$80,0)),"CEK ZONA NO di luar layout",IF(X103&lt;&gt;INDEX(LAYOUT!$D$2:$D$80,MATCH(Y103&amp;"|"&amp;W103,LAYOUT!$E$2:$E$80,0)),"CEK JENIS ZONA",IF($D103="","Zona STOCK",IF($E103="","CEK SKU DESCRIPTION kosong","OK")))))))</f>
        <v/>
      </c>
    </row>
    <row r="104">
      <c r="A104" s="10" t="inlineStr">
        <is>
          <t>Homeware</t>
        </is>
      </c>
      <c r="B104" s="10" t="inlineStr">
        <is>
          <t>Storage</t>
        </is>
      </c>
      <c r="C104" s="10" t="inlineStr">
        <is>
          <t>Food Storage</t>
        </is>
      </c>
      <c r="D104" s="10" t="inlineStr">
        <is>
          <t>10682153</t>
        </is>
      </c>
      <c r="E104" s="10" t="inlineStr">
        <is>
          <t>EID 2026 GLASS JAR SET OF 3 900ML</t>
        </is>
      </c>
      <c r="F104" s="10" t="n"/>
      <c r="G104" s="10" t="inlineStr">
        <is>
          <t>PENYIMPANAN</t>
        </is>
      </c>
      <c r="H104" s="10" t="inlineStr">
        <is>
          <t>E4. CANISTER</t>
        </is>
      </c>
      <c r="I104" s="10" t="inlineStr">
        <is>
          <t>GLASS FANCY</t>
        </is>
      </c>
      <c r="J104" s="10" t="n"/>
      <c r="K104" s="10" t="n"/>
      <c r="L104" s="11" t="inlineStr">
        <is>
          <t>WLL-02</t>
        </is>
      </c>
      <c r="M104" s="11" t="n">
        <v>5</v>
      </c>
      <c r="N104" s="11" t="inlineStr">
        <is>
          <t>Rak</t>
        </is>
      </c>
      <c r="O104" s="12">
        <f>IF(L104="","",IFERROR(INDEX(DAFTAR_FIXTURE!$B$2:$B$51,MATCH(L104,DAFTAR_FIXTURE!$A$2:$A$51,0)),""))</f>
        <v/>
      </c>
      <c r="P104" s="12">
        <f>IF(AND($D104="",L104=""),"",IF(L104="",IF(AND(Q104="",V104=""),"Belum ditempatkan",""),IF(O104="","CEK ID FIXTURE tidak ada di DAFTAR_FIXTURE",IF(M104="","CEK ZONA NO kosong",IF(ISNA(MATCH(O104&amp;"|"&amp;M104,LAYOUT!$E$2:$E$80,0)),"CEK ZONA NO di luar layout",IF(N104&lt;&gt;INDEX(LAYOUT!$D$2:$D$80,MATCH(O104&amp;"|"&amp;M104,LAYOUT!$E$2:$E$80,0)),"CEK JENIS ZONA",IF($D104="","Zona STOCK",IF($E104="","CEK SKU DESCRIPTION kosong","OK"))))))))</f>
        <v/>
      </c>
      <c r="Q104" s="11" t="n"/>
      <c r="R104" s="11" t="n"/>
      <c r="S104" s="11" t="n"/>
      <c r="T104" s="12">
        <f>IF(Q104="","",IFERROR(INDEX(DAFTAR_FIXTURE!$B$2:$B$51,MATCH(Q104,DAFTAR_FIXTURE!$A$2:$A$51,0)),""))</f>
        <v/>
      </c>
      <c r="U104" s="12">
        <f>IF(Q104="","",IF(T104="","CEK ID FIXTURE tidak ada di DAFTAR_FIXTURE",IF(R104="","CEK ZONA NO kosong",IF(ISNA(MATCH(T104&amp;"|"&amp;R104,LAYOUT!$E$2:$E$80,0)),"CEK ZONA NO di luar layout",IF(S104&lt;&gt;INDEX(LAYOUT!$D$2:$D$80,MATCH(T104&amp;"|"&amp;R104,LAYOUT!$E$2:$E$80,0)),"CEK JENIS ZONA",IF($D104="","Zona STOCK",IF($E104="","CEK SKU DESCRIPTION kosong","OK")))))))</f>
        <v/>
      </c>
      <c r="V104" s="11" t="n"/>
      <c r="W104" s="11" t="n"/>
      <c r="X104" s="11" t="n"/>
      <c r="Y104" s="12">
        <f>IF(V104="","",IFERROR(INDEX(DAFTAR_FIXTURE!$B$2:$B$51,MATCH(V104,DAFTAR_FIXTURE!$A$2:$A$51,0)),""))</f>
        <v/>
      </c>
      <c r="Z104" s="12">
        <f>IF(V104="","",IF(Y104="","CEK ID FIXTURE tidak ada di DAFTAR_FIXTURE",IF(W104="","CEK ZONA NO kosong",IF(ISNA(MATCH(Y104&amp;"|"&amp;W104,LAYOUT!$E$2:$E$80,0)),"CEK ZONA NO di luar layout",IF(X104&lt;&gt;INDEX(LAYOUT!$D$2:$D$80,MATCH(Y104&amp;"|"&amp;W104,LAYOUT!$E$2:$E$80,0)),"CEK JENIS ZONA",IF($D104="","Zona STOCK",IF($E104="","CEK SKU DESCRIPTION kosong","OK")))))))</f>
        <v/>
      </c>
    </row>
    <row r="105">
      <c r="A105" s="10" t="inlineStr">
        <is>
          <t>Homeware</t>
        </is>
      </c>
      <c r="B105" s="10" t="inlineStr">
        <is>
          <t>Storage</t>
        </is>
      </c>
      <c r="C105" s="10" t="inlineStr">
        <is>
          <t>Food Storage</t>
        </is>
      </c>
      <c r="D105" s="10" t="inlineStr">
        <is>
          <t>10682154</t>
        </is>
      </c>
      <c r="E105" s="10" t="inlineStr">
        <is>
          <t>GRETTA GLASS JAR SET OF 4 WITH RACK</t>
        </is>
      </c>
      <c r="F105" s="10" t="n"/>
      <c r="G105" s="10" t="inlineStr">
        <is>
          <t>PENYIMPANAN</t>
        </is>
      </c>
      <c r="H105" s="10" t="inlineStr">
        <is>
          <t>E4. CANISTER</t>
        </is>
      </c>
      <c r="I105" s="10" t="inlineStr">
        <is>
          <t>GLASS BASIC</t>
        </is>
      </c>
      <c r="J105" s="10" t="n"/>
      <c r="K105" s="10" t="n"/>
      <c r="L105" s="11" t="inlineStr">
        <is>
          <t>WLL-02</t>
        </is>
      </c>
      <c r="M105" s="11" t="n">
        <v>5</v>
      </c>
      <c r="N105" s="11" t="inlineStr">
        <is>
          <t>Rak</t>
        </is>
      </c>
      <c r="O105" s="12">
        <f>IF(L105="","",IFERROR(INDEX(DAFTAR_FIXTURE!$B$2:$B$51,MATCH(L105,DAFTAR_FIXTURE!$A$2:$A$51,0)),""))</f>
        <v/>
      </c>
      <c r="P105" s="12">
        <f>IF(AND($D105="",L105=""),"",IF(L105="",IF(AND(Q105="",V105=""),"Belum ditempatkan",""),IF(O105="","CEK ID FIXTURE tidak ada di DAFTAR_FIXTURE",IF(M105="","CEK ZONA NO kosong",IF(ISNA(MATCH(O105&amp;"|"&amp;M105,LAYOUT!$E$2:$E$80,0)),"CEK ZONA NO di luar layout",IF(N105&lt;&gt;INDEX(LAYOUT!$D$2:$D$80,MATCH(O105&amp;"|"&amp;M105,LAYOUT!$E$2:$E$80,0)),"CEK JENIS ZONA",IF($D105="","Zona STOCK",IF($E105="","CEK SKU DESCRIPTION kosong","OK"))))))))</f>
        <v/>
      </c>
      <c r="Q105" s="11" t="n"/>
      <c r="R105" s="11" t="n"/>
      <c r="S105" s="11" t="n"/>
      <c r="T105" s="12">
        <f>IF(Q105="","",IFERROR(INDEX(DAFTAR_FIXTURE!$B$2:$B$51,MATCH(Q105,DAFTAR_FIXTURE!$A$2:$A$51,0)),""))</f>
        <v/>
      </c>
      <c r="U105" s="12">
        <f>IF(Q105="","",IF(T105="","CEK ID FIXTURE tidak ada di DAFTAR_FIXTURE",IF(R105="","CEK ZONA NO kosong",IF(ISNA(MATCH(T105&amp;"|"&amp;R105,LAYOUT!$E$2:$E$80,0)),"CEK ZONA NO di luar layout",IF(S105&lt;&gt;INDEX(LAYOUT!$D$2:$D$80,MATCH(T105&amp;"|"&amp;R105,LAYOUT!$E$2:$E$80,0)),"CEK JENIS ZONA",IF($D105="","Zona STOCK",IF($E105="","CEK SKU DESCRIPTION kosong","OK")))))))</f>
        <v/>
      </c>
      <c r="V105" s="11" t="n"/>
      <c r="W105" s="11" t="n"/>
      <c r="X105" s="11" t="n"/>
      <c r="Y105" s="12">
        <f>IF(V105="","",IFERROR(INDEX(DAFTAR_FIXTURE!$B$2:$B$51,MATCH(V105,DAFTAR_FIXTURE!$A$2:$A$51,0)),""))</f>
        <v/>
      </c>
      <c r="Z105" s="12">
        <f>IF(V105="","",IF(Y105="","CEK ID FIXTURE tidak ada di DAFTAR_FIXTURE",IF(W105="","CEK ZONA NO kosong",IF(ISNA(MATCH(Y105&amp;"|"&amp;W105,LAYOUT!$E$2:$E$80,0)),"CEK ZONA NO di luar layout",IF(X105&lt;&gt;INDEX(LAYOUT!$D$2:$D$80,MATCH(Y105&amp;"|"&amp;W105,LAYOUT!$E$2:$E$80,0)),"CEK JENIS ZONA",IF($D105="","Zona STOCK",IF($E105="","CEK SKU DESCRIPTION kosong","OK")))))))</f>
        <v/>
      </c>
    </row>
    <row r="106">
      <c r="A106" s="10" t="inlineStr">
        <is>
          <t>Homeware</t>
        </is>
      </c>
      <c r="B106" s="10" t="inlineStr">
        <is>
          <t>Storage</t>
        </is>
      </c>
      <c r="C106" s="10" t="inlineStr">
        <is>
          <t>Food Storage</t>
        </is>
      </c>
      <c r="D106" s="10" t="inlineStr">
        <is>
          <t>10682155</t>
        </is>
      </c>
      <c r="E106" s="10" t="inlineStr">
        <is>
          <t>GRETTA GLASS JAR SET OF 3 WITH RACK</t>
        </is>
      </c>
      <c r="F106" s="10" t="n"/>
      <c r="G106" s="10" t="inlineStr">
        <is>
          <t>PENYIMPANAN</t>
        </is>
      </c>
      <c r="H106" s="10" t="inlineStr">
        <is>
          <t>E4. CANISTER</t>
        </is>
      </c>
      <c r="I106" s="10" t="inlineStr">
        <is>
          <t>GLASS BASIC</t>
        </is>
      </c>
      <c r="J106" s="10" t="n"/>
      <c r="K106" s="10" t="n"/>
      <c r="L106" s="11" t="inlineStr">
        <is>
          <t>WLL-02</t>
        </is>
      </c>
      <c r="M106" s="11" t="n">
        <v>5</v>
      </c>
      <c r="N106" s="11" t="inlineStr">
        <is>
          <t>Rak</t>
        </is>
      </c>
      <c r="O106" s="12">
        <f>IF(L106="","",IFERROR(INDEX(DAFTAR_FIXTURE!$B$2:$B$51,MATCH(L106,DAFTAR_FIXTURE!$A$2:$A$51,0)),""))</f>
        <v/>
      </c>
      <c r="P106" s="12">
        <f>IF(AND($D106="",L106=""),"",IF(L106="",IF(AND(Q106="",V106=""),"Belum ditempatkan",""),IF(O106="","CEK ID FIXTURE tidak ada di DAFTAR_FIXTURE",IF(M106="","CEK ZONA NO kosong",IF(ISNA(MATCH(O106&amp;"|"&amp;M106,LAYOUT!$E$2:$E$80,0)),"CEK ZONA NO di luar layout",IF(N106&lt;&gt;INDEX(LAYOUT!$D$2:$D$80,MATCH(O106&amp;"|"&amp;M106,LAYOUT!$E$2:$E$80,0)),"CEK JENIS ZONA",IF($D106="","Zona STOCK",IF($E106="","CEK SKU DESCRIPTION kosong","OK"))))))))</f>
        <v/>
      </c>
      <c r="Q106" s="11" t="n"/>
      <c r="R106" s="11" t="n"/>
      <c r="S106" s="11" t="n"/>
      <c r="T106" s="12">
        <f>IF(Q106="","",IFERROR(INDEX(DAFTAR_FIXTURE!$B$2:$B$51,MATCH(Q106,DAFTAR_FIXTURE!$A$2:$A$51,0)),""))</f>
        <v/>
      </c>
      <c r="U106" s="12">
        <f>IF(Q106="","",IF(T106="","CEK ID FIXTURE tidak ada di DAFTAR_FIXTURE",IF(R106="","CEK ZONA NO kosong",IF(ISNA(MATCH(T106&amp;"|"&amp;R106,LAYOUT!$E$2:$E$80,0)),"CEK ZONA NO di luar layout",IF(S106&lt;&gt;INDEX(LAYOUT!$D$2:$D$80,MATCH(T106&amp;"|"&amp;R106,LAYOUT!$E$2:$E$80,0)),"CEK JENIS ZONA",IF($D106="","Zona STOCK",IF($E106="","CEK SKU DESCRIPTION kosong","OK")))))))</f>
        <v/>
      </c>
      <c r="V106" s="11" t="n"/>
      <c r="W106" s="11" t="n"/>
      <c r="X106" s="11" t="n"/>
      <c r="Y106" s="12">
        <f>IF(V106="","",IFERROR(INDEX(DAFTAR_FIXTURE!$B$2:$B$51,MATCH(V106,DAFTAR_FIXTURE!$A$2:$A$51,0)),""))</f>
        <v/>
      </c>
      <c r="Z106" s="12">
        <f>IF(V106="","",IF(Y106="","CEK ID FIXTURE tidak ada di DAFTAR_FIXTURE",IF(W106="","CEK ZONA NO kosong",IF(ISNA(MATCH(Y106&amp;"|"&amp;W106,LAYOUT!$E$2:$E$80,0)),"CEK ZONA NO di luar layout",IF(X106&lt;&gt;INDEX(LAYOUT!$D$2:$D$80,MATCH(Y106&amp;"|"&amp;W106,LAYOUT!$E$2:$E$80,0)),"CEK JENIS ZONA",IF($D106="","Zona STOCK",IF($E106="","CEK SKU DESCRIPTION kosong","OK")))))))</f>
        <v/>
      </c>
    </row>
    <row r="107">
      <c r="A107" s="10" t="inlineStr">
        <is>
          <t>Homeware</t>
        </is>
      </c>
      <c r="B107" s="10" t="inlineStr">
        <is>
          <t>Tableware</t>
        </is>
      </c>
      <c r="C107" s="10" t="inlineStr">
        <is>
          <t>Serving Set</t>
        </is>
      </c>
      <c r="D107" s="10" t="inlineStr">
        <is>
          <t>10681572</t>
        </is>
      </c>
      <c r="E107" s="10" t="inlineStr">
        <is>
          <t>SERVING GLASS OVAL PLATER ZOE GOLD</t>
        </is>
      </c>
      <c r="F107" s="10" t="n"/>
      <c r="G107" s="10" t="inlineStr">
        <is>
          <t>MAKAN</t>
        </is>
      </c>
      <c r="H107" s="10" t="inlineStr">
        <is>
          <t>A2. SERVINGWARE</t>
        </is>
      </c>
      <c r="I107" s="10" t="inlineStr">
        <is>
          <t>W/GOLD RACK GLASS</t>
        </is>
      </c>
      <c r="J107" s="10" t="n"/>
      <c r="K107" s="10" t="n"/>
      <c r="L107" s="11" t="inlineStr">
        <is>
          <t>WLL-03</t>
        </is>
      </c>
      <c r="M107" s="11" t="n">
        <v>4</v>
      </c>
      <c r="N107" s="11" t="inlineStr">
        <is>
          <t>Rak</t>
        </is>
      </c>
      <c r="O107" s="12">
        <f>IF(L107="","",IFERROR(INDEX(DAFTAR_FIXTURE!$B$2:$B$51,MATCH(L107,DAFTAR_FIXTURE!$A$2:$A$51,0)),""))</f>
        <v/>
      </c>
      <c r="P107" s="12">
        <f>IF(AND($D107="",L107=""),"",IF(L107="",IF(AND(Q107="",V107=""),"Belum ditempatkan",""),IF(O107="","CEK ID FIXTURE tidak ada di DAFTAR_FIXTURE",IF(M107="","CEK ZONA NO kosong",IF(ISNA(MATCH(O107&amp;"|"&amp;M107,LAYOUT!$E$2:$E$80,0)),"CEK ZONA NO di luar layout",IF(N107&lt;&gt;INDEX(LAYOUT!$D$2:$D$80,MATCH(O107&amp;"|"&amp;M107,LAYOUT!$E$2:$E$80,0)),"CEK JENIS ZONA",IF($D107="","Zona STOCK",IF($E107="","CEK SKU DESCRIPTION kosong","OK"))))))))</f>
        <v/>
      </c>
      <c r="Q107" s="11" t="n"/>
      <c r="R107" s="11" t="n"/>
      <c r="S107" s="11" t="n"/>
      <c r="T107" s="12">
        <f>IF(Q107="","",IFERROR(INDEX(DAFTAR_FIXTURE!$B$2:$B$51,MATCH(Q107,DAFTAR_FIXTURE!$A$2:$A$51,0)),""))</f>
        <v/>
      </c>
      <c r="U107" s="12">
        <f>IF(Q107="","",IF(T107="","CEK ID FIXTURE tidak ada di DAFTAR_FIXTURE",IF(R107="","CEK ZONA NO kosong",IF(ISNA(MATCH(T107&amp;"|"&amp;R107,LAYOUT!$E$2:$E$80,0)),"CEK ZONA NO di luar layout",IF(S107&lt;&gt;INDEX(LAYOUT!$D$2:$D$80,MATCH(T107&amp;"|"&amp;R107,LAYOUT!$E$2:$E$80,0)),"CEK JENIS ZONA",IF($D107="","Zona STOCK",IF($E107="","CEK SKU DESCRIPTION kosong","OK")))))))</f>
        <v/>
      </c>
      <c r="V107" s="11" t="n"/>
      <c r="W107" s="11" t="n"/>
      <c r="X107" s="11" t="n"/>
      <c r="Y107" s="12">
        <f>IF(V107="","",IFERROR(INDEX(DAFTAR_FIXTURE!$B$2:$B$51,MATCH(V107,DAFTAR_FIXTURE!$A$2:$A$51,0)),""))</f>
        <v/>
      </c>
      <c r="Z107" s="12">
        <f>IF(V107="","",IF(Y107="","CEK ID FIXTURE tidak ada di DAFTAR_FIXTURE",IF(W107="","CEK ZONA NO kosong",IF(ISNA(MATCH(Y107&amp;"|"&amp;W107,LAYOUT!$E$2:$E$80,0)),"CEK ZONA NO di luar layout",IF(X107&lt;&gt;INDEX(LAYOUT!$D$2:$D$80,MATCH(Y107&amp;"|"&amp;W107,LAYOUT!$E$2:$E$80,0)),"CEK JENIS ZONA",IF($D107="","Zona STOCK",IF($E107="","CEK SKU DESCRIPTION kosong","OK")))))))</f>
        <v/>
      </c>
    </row>
    <row r="108">
      <c r="A108" s="10" t="inlineStr">
        <is>
          <t>Homeware</t>
        </is>
      </c>
      <c r="B108" s="10" t="inlineStr">
        <is>
          <t>Tableware</t>
        </is>
      </c>
      <c r="C108" s="10" t="inlineStr">
        <is>
          <t>Serving Set</t>
        </is>
      </c>
      <c r="D108" s="10" t="inlineStr">
        <is>
          <t>10681573</t>
        </is>
      </c>
      <c r="E108" s="10" t="inlineStr">
        <is>
          <t>SERVING GLASS SQR TWO RACK ZENA GOLD</t>
        </is>
      </c>
      <c r="F108" s="10" t="n"/>
      <c r="G108" s="10" t="inlineStr">
        <is>
          <t>MAKAN</t>
        </is>
      </c>
      <c r="H108" s="10" t="inlineStr">
        <is>
          <t>A2. SERVINGWARE</t>
        </is>
      </c>
      <c r="I108" s="10" t="inlineStr">
        <is>
          <t>W/GOLD RACK GLASS</t>
        </is>
      </c>
      <c r="J108" s="10" t="n"/>
      <c r="K108" s="10" t="n"/>
      <c r="L108" s="11" t="inlineStr">
        <is>
          <t>WLL-03</t>
        </is>
      </c>
      <c r="M108" s="11" t="n">
        <v>4</v>
      </c>
      <c r="N108" s="11" t="inlineStr">
        <is>
          <t>Rak</t>
        </is>
      </c>
      <c r="O108" s="12">
        <f>IF(L108="","",IFERROR(INDEX(DAFTAR_FIXTURE!$B$2:$B$51,MATCH(L108,DAFTAR_FIXTURE!$A$2:$A$51,0)),""))</f>
        <v/>
      </c>
      <c r="P108" s="12">
        <f>IF(AND($D108="",L108=""),"",IF(L108="",IF(AND(Q108="",V108=""),"Belum ditempatkan",""),IF(O108="","CEK ID FIXTURE tidak ada di DAFTAR_FIXTURE",IF(M108="","CEK ZONA NO kosong",IF(ISNA(MATCH(O108&amp;"|"&amp;M108,LAYOUT!$E$2:$E$80,0)),"CEK ZONA NO di luar layout",IF(N108&lt;&gt;INDEX(LAYOUT!$D$2:$D$80,MATCH(O108&amp;"|"&amp;M108,LAYOUT!$E$2:$E$80,0)),"CEK JENIS ZONA",IF($D108="","Zona STOCK",IF($E108="","CEK SKU DESCRIPTION kosong","OK"))))))))</f>
        <v/>
      </c>
      <c r="Q108" s="11" t="n"/>
      <c r="R108" s="11" t="n"/>
      <c r="S108" s="11" t="n"/>
      <c r="T108" s="12">
        <f>IF(Q108="","",IFERROR(INDEX(DAFTAR_FIXTURE!$B$2:$B$51,MATCH(Q108,DAFTAR_FIXTURE!$A$2:$A$51,0)),""))</f>
        <v/>
      </c>
      <c r="U108" s="12">
        <f>IF(Q108="","",IF(T108="","CEK ID FIXTURE tidak ada di DAFTAR_FIXTURE",IF(R108="","CEK ZONA NO kosong",IF(ISNA(MATCH(T108&amp;"|"&amp;R108,LAYOUT!$E$2:$E$80,0)),"CEK ZONA NO di luar layout",IF(S108&lt;&gt;INDEX(LAYOUT!$D$2:$D$80,MATCH(T108&amp;"|"&amp;R108,LAYOUT!$E$2:$E$80,0)),"CEK JENIS ZONA",IF($D108="","Zona STOCK",IF($E108="","CEK SKU DESCRIPTION kosong","OK")))))))</f>
        <v/>
      </c>
      <c r="V108" s="11" t="n"/>
      <c r="W108" s="11" t="n"/>
      <c r="X108" s="11" t="n"/>
      <c r="Y108" s="12">
        <f>IF(V108="","",IFERROR(INDEX(DAFTAR_FIXTURE!$B$2:$B$51,MATCH(V108,DAFTAR_FIXTURE!$A$2:$A$51,0)),""))</f>
        <v/>
      </c>
      <c r="Z108" s="12">
        <f>IF(V108="","",IF(Y108="","CEK ID FIXTURE tidak ada di DAFTAR_FIXTURE",IF(W108="","CEK ZONA NO kosong",IF(ISNA(MATCH(Y108&amp;"|"&amp;W108,LAYOUT!$E$2:$E$80,0)),"CEK ZONA NO di luar layout",IF(X108&lt;&gt;INDEX(LAYOUT!$D$2:$D$80,MATCH(Y108&amp;"|"&amp;W108,LAYOUT!$E$2:$E$80,0)),"CEK JENIS ZONA",IF($D108="","Zona STOCK",IF($E108="","CEK SKU DESCRIPTION kosong","OK")))))))</f>
        <v/>
      </c>
    </row>
    <row r="109">
      <c r="A109" s="10" t="inlineStr">
        <is>
          <t>Homeware</t>
        </is>
      </c>
      <c r="B109" s="10" t="inlineStr">
        <is>
          <t>Tableware</t>
        </is>
      </c>
      <c r="C109" s="10" t="inlineStr">
        <is>
          <t>Serving Set</t>
        </is>
      </c>
      <c r="D109" s="10" t="inlineStr">
        <is>
          <t>10681574</t>
        </is>
      </c>
      <c r="E109" s="10" t="inlineStr">
        <is>
          <t>SERVING GLASS RND TWO RACK ZIA GOLD</t>
        </is>
      </c>
      <c r="F109" s="10" t="n"/>
      <c r="G109" s="10" t="inlineStr">
        <is>
          <t>MAKAN</t>
        </is>
      </c>
      <c r="H109" s="10" t="inlineStr">
        <is>
          <t>A2. SERVINGWARE</t>
        </is>
      </c>
      <c r="I109" s="10" t="inlineStr">
        <is>
          <t>W/GOLD RACK GLASS</t>
        </is>
      </c>
      <c r="J109" s="10" t="n"/>
      <c r="K109" s="10" t="n"/>
      <c r="L109" s="11" t="inlineStr">
        <is>
          <t>WLL-03</t>
        </is>
      </c>
      <c r="M109" s="11" t="n">
        <v>4</v>
      </c>
      <c r="N109" s="11" t="inlineStr">
        <is>
          <t>Rak</t>
        </is>
      </c>
      <c r="O109" s="12">
        <f>IF(L109="","",IFERROR(INDEX(DAFTAR_FIXTURE!$B$2:$B$51,MATCH(L109,DAFTAR_FIXTURE!$A$2:$A$51,0)),""))</f>
        <v/>
      </c>
      <c r="P109" s="12">
        <f>IF(AND($D109="",L109=""),"",IF(L109="",IF(AND(Q109="",V109=""),"Belum ditempatkan",""),IF(O109="","CEK ID FIXTURE tidak ada di DAFTAR_FIXTURE",IF(M109="","CEK ZONA NO kosong",IF(ISNA(MATCH(O109&amp;"|"&amp;M109,LAYOUT!$E$2:$E$80,0)),"CEK ZONA NO di luar layout",IF(N109&lt;&gt;INDEX(LAYOUT!$D$2:$D$80,MATCH(O109&amp;"|"&amp;M109,LAYOUT!$E$2:$E$80,0)),"CEK JENIS ZONA",IF($D109="","Zona STOCK",IF($E109="","CEK SKU DESCRIPTION kosong","OK"))))))))</f>
        <v/>
      </c>
      <c r="Q109" s="11" t="n"/>
      <c r="R109" s="11" t="n"/>
      <c r="S109" s="11" t="n"/>
      <c r="T109" s="12">
        <f>IF(Q109="","",IFERROR(INDEX(DAFTAR_FIXTURE!$B$2:$B$51,MATCH(Q109,DAFTAR_FIXTURE!$A$2:$A$51,0)),""))</f>
        <v/>
      </c>
      <c r="U109" s="12">
        <f>IF(Q109="","",IF(T109="","CEK ID FIXTURE tidak ada di DAFTAR_FIXTURE",IF(R109="","CEK ZONA NO kosong",IF(ISNA(MATCH(T109&amp;"|"&amp;R109,LAYOUT!$E$2:$E$80,0)),"CEK ZONA NO di luar layout",IF(S109&lt;&gt;INDEX(LAYOUT!$D$2:$D$80,MATCH(T109&amp;"|"&amp;R109,LAYOUT!$E$2:$E$80,0)),"CEK JENIS ZONA",IF($D109="","Zona STOCK",IF($E109="","CEK SKU DESCRIPTION kosong","OK")))))))</f>
        <v/>
      </c>
      <c r="V109" s="11" t="n"/>
      <c r="W109" s="11" t="n"/>
      <c r="X109" s="11" t="n"/>
      <c r="Y109" s="12">
        <f>IF(V109="","",IFERROR(INDEX(DAFTAR_FIXTURE!$B$2:$B$51,MATCH(V109,DAFTAR_FIXTURE!$A$2:$A$51,0)),""))</f>
        <v/>
      </c>
      <c r="Z109" s="12">
        <f>IF(V109="","",IF(Y109="","CEK ID FIXTURE tidak ada di DAFTAR_FIXTURE",IF(W109="","CEK ZONA NO kosong",IF(ISNA(MATCH(Y109&amp;"|"&amp;W109,LAYOUT!$E$2:$E$80,0)),"CEK ZONA NO di luar layout",IF(X109&lt;&gt;INDEX(LAYOUT!$D$2:$D$80,MATCH(Y109&amp;"|"&amp;W109,LAYOUT!$E$2:$E$80,0)),"CEK JENIS ZONA",IF($D109="","Zona STOCK",IF($E109="","CEK SKU DESCRIPTION kosong","OK")))))))</f>
        <v/>
      </c>
    </row>
    <row r="110">
      <c r="A110" s="10" t="inlineStr">
        <is>
          <t>Homeware</t>
        </is>
      </c>
      <c r="B110" s="10" t="inlineStr">
        <is>
          <t>Tableware</t>
        </is>
      </c>
      <c r="C110" s="10" t="inlineStr">
        <is>
          <t>Serving Set</t>
        </is>
      </c>
      <c r="D110" s="10" t="inlineStr">
        <is>
          <t>10470030</t>
        </is>
      </c>
      <c r="E110" s="10" t="inlineStr">
        <is>
          <t>SERVING SET RND DETACHABLE MARBLE (2)</t>
        </is>
      </c>
      <c r="F110" s="10" t="n"/>
      <c r="G110" s="10" t="inlineStr">
        <is>
          <t>MAKAN</t>
        </is>
      </c>
      <c r="H110" s="10" t="inlineStr">
        <is>
          <t>A2. SERVINGWARE</t>
        </is>
      </c>
      <c r="I110" s="10" t="inlineStr">
        <is>
          <t>SERVING SET MARBLE</t>
        </is>
      </c>
      <c r="J110" s="10" t="n"/>
      <c r="K110" s="10" t="n"/>
      <c r="L110" s="11" t="inlineStr">
        <is>
          <t>WLL-03</t>
        </is>
      </c>
      <c r="M110" s="11" t="n">
        <v>5</v>
      </c>
      <c r="N110" s="11" t="inlineStr">
        <is>
          <t>Rak</t>
        </is>
      </c>
      <c r="O110" s="12">
        <f>IF(L110="","",IFERROR(INDEX(DAFTAR_FIXTURE!$B$2:$B$51,MATCH(L110,DAFTAR_FIXTURE!$A$2:$A$51,0)),""))</f>
        <v/>
      </c>
      <c r="P110" s="12">
        <f>IF(AND($D110="",L110=""),"",IF(L110="",IF(AND(Q110="",V110=""),"Belum ditempatkan",""),IF(O110="","CEK ID FIXTURE tidak ada di DAFTAR_FIXTURE",IF(M110="","CEK ZONA NO kosong",IF(ISNA(MATCH(O110&amp;"|"&amp;M110,LAYOUT!$E$2:$E$80,0)),"CEK ZONA NO di luar layout",IF(N110&lt;&gt;INDEX(LAYOUT!$D$2:$D$80,MATCH(O110&amp;"|"&amp;M110,LAYOUT!$E$2:$E$80,0)),"CEK JENIS ZONA",IF($D110="","Zona STOCK",IF($E110="","CEK SKU DESCRIPTION kosong","OK"))))))))</f>
        <v/>
      </c>
      <c r="Q110" s="11" t="n"/>
      <c r="R110" s="11" t="n"/>
      <c r="S110" s="11" t="n"/>
      <c r="T110" s="12">
        <f>IF(Q110="","",IFERROR(INDEX(DAFTAR_FIXTURE!$B$2:$B$51,MATCH(Q110,DAFTAR_FIXTURE!$A$2:$A$51,0)),""))</f>
        <v/>
      </c>
      <c r="U110" s="12">
        <f>IF(Q110="","",IF(T110="","CEK ID FIXTURE tidak ada di DAFTAR_FIXTURE",IF(R110="","CEK ZONA NO kosong",IF(ISNA(MATCH(T110&amp;"|"&amp;R110,LAYOUT!$E$2:$E$80,0)),"CEK ZONA NO di luar layout",IF(S110&lt;&gt;INDEX(LAYOUT!$D$2:$D$80,MATCH(T110&amp;"|"&amp;R110,LAYOUT!$E$2:$E$80,0)),"CEK JENIS ZONA",IF($D110="","Zona STOCK",IF($E110="","CEK SKU DESCRIPTION kosong","OK")))))))</f>
        <v/>
      </c>
      <c r="V110" s="11" t="n"/>
      <c r="W110" s="11" t="n"/>
      <c r="X110" s="11" t="n"/>
      <c r="Y110" s="12">
        <f>IF(V110="","",IFERROR(INDEX(DAFTAR_FIXTURE!$B$2:$B$51,MATCH(V110,DAFTAR_FIXTURE!$A$2:$A$51,0)),""))</f>
        <v/>
      </c>
      <c r="Z110" s="12">
        <f>IF(V110="","",IF(Y110="","CEK ID FIXTURE tidak ada di DAFTAR_FIXTURE",IF(W110="","CEK ZONA NO kosong",IF(ISNA(MATCH(Y110&amp;"|"&amp;W110,LAYOUT!$E$2:$E$80,0)),"CEK ZONA NO di luar layout",IF(X110&lt;&gt;INDEX(LAYOUT!$D$2:$D$80,MATCH(Y110&amp;"|"&amp;W110,LAYOUT!$E$2:$E$80,0)),"CEK JENIS ZONA",IF($D110="","Zona STOCK",IF($E110="","CEK SKU DESCRIPTION kosong","OK")))))))</f>
        <v/>
      </c>
    </row>
    <row r="111">
      <c r="A111" s="10" t="inlineStr">
        <is>
          <t>Homeware</t>
        </is>
      </c>
      <c r="B111" s="10" t="inlineStr">
        <is>
          <t>Tableware</t>
        </is>
      </c>
      <c r="C111" s="10" t="inlineStr">
        <is>
          <t>Serving Set</t>
        </is>
      </c>
      <c r="D111" s="10" t="inlineStr">
        <is>
          <t>10470031</t>
        </is>
      </c>
      <c r="E111" s="10" t="inlineStr">
        <is>
          <t>SERVING SET W/RACK SQR MARBLE BLACK (3)</t>
        </is>
      </c>
      <c r="F111" s="10" t="n"/>
      <c r="G111" s="10" t="inlineStr">
        <is>
          <t>MAKAN</t>
        </is>
      </c>
      <c r="H111" s="10" t="inlineStr">
        <is>
          <t>A2. SERVINGWARE</t>
        </is>
      </c>
      <c r="I111" s="10" t="inlineStr">
        <is>
          <t>SERVING SET MARBLE</t>
        </is>
      </c>
      <c r="J111" s="10" t="n"/>
      <c r="K111" s="10" t="n"/>
      <c r="L111" s="11" t="inlineStr">
        <is>
          <t>WLL-03</t>
        </is>
      </c>
      <c r="M111" s="11" t="n">
        <v>5</v>
      </c>
      <c r="N111" s="11" t="inlineStr">
        <is>
          <t>Rak</t>
        </is>
      </c>
      <c r="O111" s="12">
        <f>IF(L111="","",IFERROR(INDEX(DAFTAR_FIXTURE!$B$2:$B$51,MATCH(L111,DAFTAR_FIXTURE!$A$2:$A$51,0)),""))</f>
        <v/>
      </c>
      <c r="P111" s="12">
        <f>IF(AND($D111="",L111=""),"",IF(L111="",IF(AND(Q111="",V111=""),"Belum ditempatkan",""),IF(O111="","CEK ID FIXTURE tidak ada di DAFTAR_FIXTURE",IF(M111="","CEK ZONA NO kosong",IF(ISNA(MATCH(O111&amp;"|"&amp;M111,LAYOUT!$E$2:$E$80,0)),"CEK ZONA NO di luar layout",IF(N111&lt;&gt;INDEX(LAYOUT!$D$2:$D$80,MATCH(O111&amp;"|"&amp;M111,LAYOUT!$E$2:$E$80,0)),"CEK JENIS ZONA",IF($D111="","Zona STOCK",IF($E111="","CEK SKU DESCRIPTION kosong","OK"))))))))</f>
        <v/>
      </c>
      <c r="Q111" s="11" t="n"/>
      <c r="R111" s="11" t="n"/>
      <c r="S111" s="11" t="n"/>
      <c r="T111" s="12">
        <f>IF(Q111="","",IFERROR(INDEX(DAFTAR_FIXTURE!$B$2:$B$51,MATCH(Q111,DAFTAR_FIXTURE!$A$2:$A$51,0)),""))</f>
        <v/>
      </c>
      <c r="U111" s="12">
        <f>IF(Q111="","",IF(T111="","CEK ID FIXTURE tidak ada di DAFTAR_FIXTURE",IF(R111="","CEK ZONA NO kosong",IF(ISNA(MATCH(T111&amp;"|"&amp;R111,LAYOUT!$E$2:$E$80,0)),"CEK ZONA NO di luar layout",IF(S111&lt;&gt;INDEX(LAYOUT!$D$2:$D$80,MATCH(T111&amp;"|"&amp;R111,LAYOUT!$E$2:$E$80,0)),"CEK JENIS ZONA",IF($D111="","Zona STOCK",IF($E111="","CEK SKU DESCRIPTION kosong","OK")))))))</f>
        <v/>
      </c>
      <c r="V111" s="11" t="n"/>
      <c r="W111" s="11" t="n"/>
      <c r="X111" s="11" t="n"/>
      <c r="Y111" s="12">
        <f>IF(V111="","",IFERROR(INDEX(DAFTAR_FIXTURE!$B$2:$B$51,MATCH(V111,DAFTAR_FIXTURE!$A$2:$A$51,0)),""))</f>
        <v/>
      </c>
      <c r="Z111" s="12">
        <f>IF(V111="","",IF(Y111="","CEK ID FIXTURE tidak ada di DAFTAR_FIXTURE",IF(W111="","CEK ZONA NO kosong",IF(ISNA(MATCH(Y111&amp;"|"&amp;W111,LAYOUT!$E$2:$E$80,0)),"CEK ZONA NO di luar layout",IF(X111&lt;&gt;INDEX(LAYOUT!$D$2:$D$80,MATCH(Y111&amp;"|"&amp;W111,LAYOUT!$E$2:$E$80,0)),"CEK JENIS ZONA",IF($D111="","Zona STOCK",IF($E111="","CEK SKU DESCRIPTION kosong","OK")))))))</f>
        <v/>
      </c>
    </row>
    <row r="112">
      <c r="A112" s="10" t="inlineStr">
        <is>
          <t>Homeware</t>
        </is>
      </c>
      <c r="B112" s="10" t="inlineStr">
        <is>
          <t>Tableware</t>
        </is>
      </c>
      <c r="C112" s="10" t="inlineStr">
        <is>
          <t>Serving Set</t>
        </is>
      </c>
      <c r="D112" s="10" t="inlineStr">
        <is>
          <t>10470032</t>
        </is>
      </c>
      <c r="E112" s="10" t="inlineStr">
        <is>
          <t>SERVING SET W/RACK STACK WHITE (3)</t>
        </is>
      </c>
      <c r="F112" s="10" t="n"/>
      <c r="G112" s="10" t="inlineStr">
        <is>
          <t>MAKAN</t>
        </is>
      </c>
      <c r="H112" s="10" t="inlineStr">
        <is>
          <t>A2. SERVINGWARE</t>
        </is>
      </c>
      <c r="I112" s="10" t="inlineStr">
        <is>
          <t>SERVING SET MARBLE</t>
        </is>
      </c>
      <c r="J112" s="10" t="n"/>
      <c r="K112" s="10" t="n"/>
      <c r="L112" s="11" t="inlineStr">
        <is>
          <t>WLL-03</t>
        </is>
      </c>
      <c r="M112" s="11" t="n">
        <v>5</v>
      </c>
      <c r="N112" s="11" t="inlineStr">
        <is>
          <t>Rak</t>
        </is>
      </c>
      <c r="O112" s="12">
        <f>IF(L112="","",IFERROR(INDEX(DAFTAR_FIXTURE!$B$2:$B$51,MATCH(L112,DAFTAR_FIXTURE!$A$2:$A$51,0)),""))</f>
        <v/>
      </c>
      <c r="P112" s="12">
        <f>IF(AND($D112="",L112=""),"",IF(L112="",IF(AND(Q112="",V112=""),"Belum ditempatkan",""),IF(O112="","CEK ID FIXTURE tidak ada di DAFTAR_FIXTURE",IF(M112="","CEK ZONA NO kosong",IF(ISNA(MATCH(O112&amp;"|"&amp;M112,LAYOUT!$E$2:$E$80,0)),"CEK ZONA NO di luar layout",IF(N112&lt;&gt;INDEX(LAYOUT!$D$2:$D$80,MATCH(O112&amp;"|"&amp;M112,LAYOUT!$E$2:$E$80,0)),"CEK JENIS ZONA",IF($D112="","Zona STOCK",IF($E112="","CEK SKU DESCRIPTION kosong","OK"))))))))</f>
        <v/>
      </c>
      <c r="Q112" s="11" t="n"/>
      <c r="R112" s="11" t="n"/>
      <c r="S112" s="11" t="n"/>
      <c r="T112" s="12">
        <f>IF(Q112="","",IFERROR(INDEX(DAFTAR_FIXTURE!$B$2:$B$51,MATCH(Q112,DAFTAR_FIXTURE!$A$2:$A$51,0)),""))</f>
        <v/>
      </c>
      <c r="U112" s="12">
        <f>IF(Q112="","",IF(T112="","CEK ID FIXTURE tidak ada di DAFTAR_FIXTURE",IF(R112="","CEK ZONA NO kosong",IF(ISNA(MATCH(T112&amp;"|"&amp;R112,LAYOUT!$E$2:$E$80,0)),"CEK ZONA NO di luar layout",IF(S112&lt;&gt;INDEX(LAYOUT!$D$2:$D$80,MATCH(T112&amp;"|"&amp;R112,LAYOUT!$E$2:$E$80,0)),"CEK JENIS ZONA",IF($D112="","Zona STOCK",IF($E112="","CEK SKU DESCRIPTION kosong","OK")))))))</f>
        <v/>
      </c>
      <c r="V112" s="11" t="n"/>
      <c r="W112" s="11" t="n"/>
      <c r="X112" s="11" t="n"/>
      <c r="Y112" s="12">
        <f>IF(V112="","",IFERROR(INDEX(DAFTAR_FIXTURE!$B$2:$B$51,MATCH(V112,DAFTAR_FIXTURE!$A$2:$A$51,0)),""))</f>
        <v/>
      </c>
      <c r="Z112" s="12">
        <f>IF(V112="","",IF(Y112="","CEK ID FIXTURE tidak ada di DAFTAR_FIXTURE",IF(W112="","CEK ZONA NO kosong",IF(ISNA(MATCH(Y112&amp;"|"&amp;W112,LAYOUT!$E$2:$E$80,0)),"CEK ZONA NO di luar layout",IF(X112&lt;&gt;INDEX(LAYOUT!$D$2:$D$80,MATCH(Y112&amp;"|"&amp;W112,LAYOUT!$E$2:$E$80,0)),"CEK JENIS ZONA",IF($D112="","Zona STOCK",IF($E112="","CEK SKU DESCRIPTION kosong","OK")))))))</f>
        <v/>
      </c>
    </row>
    <row r="113">
      <c r="A113" s="10" t="inlineStr">
        <is>
          <t>Homeware</t>
        </is>
      </c>
      <c r="B113" s="10" t="inlineStr">
        <is>
          <t>Kitchenware</t>
        </is>
      </c>
      <c r="C113" s="10" t="inlineStr">
        <is>
          <t>Kitchen Tools</t>
        </is>
      </c>
      <c r="D113" s="10" t="inlineStr">
        <is>
          <t>10198149</t>
        </is>
      </c>
      <c r="E113" s="10" t="inlineStr">
        <is>
          <t>TANTA STRAINER DIA 10CM</t>
        </is>
      </c>
      <c r="F113" s="10" t="n"/>
      <c r="G113" s="10" t="inlineStr">
        <is>
          <t>ALAT MASAK</t>
        </is>
      </c>
      <c r="H113" s="10" t="inlineStr">
        <is>
          <t>C1. KITCHEN TOOLS</t>
        </is>
      </c>
      <c r="I113" s="10" t="inlineStr">
        <is>
          <t>TANTA S/S</t>
        </is>
      </c>
      <c r="J113" s="10" t="n"/>
      <c r="K113" s="10" t="n"/>
      <c r="L113" s="11" t="inlineStr">
        <is>
          <t>GND-03</t>
        </is>
      </c>
      <c r="M113" s="11" t="n">
        <v>2</v>
      </c>
      <c r="N113" s="11" t="inlineStr">
        <is>
          <t>Gantungan</t>
        </is>
      </c>
      <c r="O113" s="12">
        <f>IF(L113="","",IFERROR(INDEX(DAFTAR_FIXTURE!$B$2:$B$51,MATCH(L113,DAFTAR_FIXTURE!$A$2:$A$51,0)),""))</f>
        <v/>
      </c>
      <c r="P113" s="12">
        <f>IF(AND($D113="",L113=""),"",IF(L113="",IF(AND(Q113="",V113=""),"Belum ditempatkan",""),IF(O113="","CEK ID FIXTURE tidak ada di DAFTAR_FIXTURE",IF(M113="","CEK ZONA NO kosong",IF(ISNA(MATCH(O113&amp;"|"&amp;M113,LAYOUT!$E$2:$E$80,0)),"CEK ZONA NO di luar layout",IF(N113&lt;&gt;INDEX(LAYOUT!$D$2:$D$80,MATCH(O113&amp;"|"&amp;M113,LAYOUT!$E$2:$E$80,0)),"CEK JENIS ZONA",IF($D113="","Zona STOCK",IF($E113="","CEK SKU DESCRIPTION kosong","OK"))))))))</f>
        <v/>
      </c>
      <c r="Q113" s="11" t="n"/>
      <c r="R113" s="11" t="n"/>
      <c r="S113" s="11" t="n"/>
      <c r="T113" s="12">
        <f>IF(Q113="","",IFERROR(INDEX(DAFTAR_FIXTURE!$B$2:$B$51,MATCH(Q113,DAFTAR_FIXTURE!$A$2:$A$51,0)),""))</f>
        <v/>
      </c>
      <c r="U113" s="12">
        <f>IF(Q113="","",IF(T113="","CEK ID FIXTURE tidak ada di DAFTAR_FIXTURE",IF(R113="","CEK ZONA NO kosong",IF(ISNA(MATCH(T113&amp;"|"&amp;R113,LAYOUT!$E$2:$E$80,0)),"CEK ZONA NO di luar layout",IF(S113&lt;&gt;INDEX(LAYOUT!$D$2:$D$80,MATCH(T113&amp;"|"&amp;R113,LAYOUT!$E$2:$E$80,0)),"CEK JENIS ZONA",IF($D113="","Zona STOCK",IF($E113="","CEK SKU DESCRIPTION kosong","OK")))))))</f>
        <v/>
      </c>
      <c r="V113" s="11" t="n"/>
      <c r="W113" s="11" t="n"/>
      <c r="X113" s="11" t="n"/>
      <c r="Y113" s="12">
        <f>IF(V113="","",IFERROR(INDEX(DAFTAR_FIXTURE!$B$2:$B$51,MATCH(V113,DAFTAR_FIXTURE!$A$2:$A$51,0)),""))</f>
        <v/>
      </c>
      <c r="Z113" s="12">
        <f>IF(V113="","",IF(Y113="","CEK ID FIXTURE tidak ada di DAFTAR_FIXTURE",IF(W113="","CEK ZONA NO kosong",IF(ISNA(MATCH(Y113&amp;"|"&amp;W113,LAYOUT!$E$2:$E$80,0)),"CEK ZONA NO di luar layout",IF(X113&lt;&gt;INDEX(LAYOUT!$D$2:$D$80,MATCH(Y113&amp;"|"&amp;W113,LAYOUT!$E$2:$E$80,0)),"CEK JENIS ZONA",IF($D113="","Zona STOCK",IF($E113="","CEK SKU DESCRIPTION kosong","OK")))))))</f>
        <v/>
      </c>
    </row>
    <row r="114">
      <c r="A114" s="10" t="inlineStr">
        <is>
          <t>Homeware</t>
        </is>
      </c>
      <c r="B114" s="10" t="inlineStr">
        <is>
          <t>Kitchenware</t>
        </is>
      </c>
      <c r="C114" s="10" t="inlineStr">
        <is>
          <t>Kitchen Tools</t>
        </is>
      </c>
      <c r="D114" s="10" t="inlineStr">
        <is>
          <t>10198150</t>
        </is>
      </c>
      <c r="E114" s="10" t="inlineStr">
        <is>
          <t>TANTA NYLON TONGS 9 INCH</t>
        </is>
      </c>
      <c r="F114" s="10" t="n"/>
      <c r="G114" s="10" t="inlineStr">
        <is>
          <t>ALAT MASAK</t>
        </is>
      </c>
      <c r="H114" s="10" t="inlineStr">
        <is>
          <t>C1. KITCHEN TOOLS</t>
        </is>
      </c>
      <c r="I114" s="10" t="inlineStr">
        <is>
          <t>TANTA NYLON</t>
        </is>
      </c>
      <c r="J114" s="10" t="n"/>
      <c r="K114" s="10" t="n"/>
      <c r="L114" s="11" t="inlineStr">
        <is>
          <t>GND-03</t>
        </is>
      </c>
      <c r="M114" s="11" t="n">
        <v>2</v>
      </c>
      <c r="N114" s="11" t="inlineStr">
        <is>
          <t>Gantungan</t>
        </is>
      </c>
      <c r="O114" s="12">
        <f>IF(L114="","",IFERROR(INDEX(DAFTAR_FIXTURE!$B$2:$B$51,MATCH(L114,DAFTAR_FIXTURE!$A$2:$A$51,0)),""))</f>
        <v/>
      </c>
      <c r="P114" s="12">
        <f>IF(AND($D114="",L114=""),"",IF(L114="",IF(AND(Q114="",V114=""),"Belum ditempatkan",""),IF(O114="","CEK ID FIXTURE tidak ada di DAFTAR_FIXTURE",IF(M114="","CEK ZONA NO kosong",IF(ISNA(MATCH(O114&amp;"|"&amp;M114,LAYOUT!$E$2:$E$80,0)),"CEK ZONA NO di luar layout",IF(N114&lt;&gt;INDEX(LAYOUT!$D$2:$D$80,MATCH(O114&amp;"|"&amp;M114,LAYOUT!$E$2:$E$80,0)),"CEK JENIS ZONA",IF($D114="","Zona STOCK",IF($E114="","CEK SKU DESCRIPTION kosong","OK"))))))))</f>
        <v/>
      </c>
      <c r="Q114" s="11" t="n"/>
      <c r="R114" s="11" t="n"/>
      <c r="S114" s="11" t="n"/>
      <c r="T114" s="12">
        <f>IF(Q114="","",IFERROR(INDEX(DAFTAR_FIXTURE!$B$2:$B$51,MATCH(Q114,DAFTAR_FIXTURE!$A$2:$A$51,0)),""))</f>
        <v/>
      </c>
      <c r="U114" s="12">
        <f>IF(Q114="","",IF(T114="","CEK ID FIXTURE tidak ada di DAFTAR_FIXTURE",IF(R114="","CEK ZONA NO kosong",IF(ISNA(MATCH(T114&amp;"|"&amp;R114,LAYOUT!$E$2:$E$80,0)),"CEK ZONA NO di luar layout",IF(S114&lt;&gt;INDEX(LAYOUT!$D$2:$D$80,MATCH(T114&amp;"|"&amp;R114,LAYOUT!$E$2:$E$80,0)),"CEK JENIS ZONA",IF($D114="","Zona STOCK",IF($E114="","CEK SKU DESCRIPTION kosong","OK")))))))</f>
        <v/>
      </c>
      <c r="V114" s="11" t="n"/>
      <c r="W114" s="11" t="n"/>
      <c r="X114" s="11" t="n"/>
      <c r="Y114" s="12">
        <f>IF(V114="","",IFERROR(INDEX(DAFTAR_FIXTURE!$B$2:$B$51,MATCH(V114,DAFTAR_FIXTURE!$A$2:$A$51,0)),""))</f>
        <v/>
      </c>
      <c r="Z114" s="12">
        <f>IF(V114="","",IF(Y114="","CEK ID FIXTURE tidak ada di DAFTAR_FIXTURE",IF(W114="","CEK ZONA NO kosong",IF(ISNA(MATCH(Y114&amp;"|"&amp;W114,LAYOUT!$E$2:$E$80,0)),"CEK ZONA NO di luar layout",IF(X114&lt;&gt;INDEX(LAYOUT!$D$2:$D$80,MATCH(Y114&amp;"|"&amp;W114,LAYOUT!$E$2:$E$80,0)),"CEK JENIS ZONA",IF($D114="","Zona STOCK",IF($E114="","CEK SKU DESCRIPTION kosong","OK")))))))</f>
        <v/>
      </c>
    </row>
    <row r="115">
      <c r="A115" s="10" t="inlineStr">
        <is>
          <t>Homeware</t>
        </is>
      </c>
      <c r="B115" s="10" t="inlineStr">
        <is>
          <t>Kitchenware</t>
        </is>
      </c>
      <c r="C115" s="10" t="inlineStr">
        <is>
          <t>Kitchen Tools</t>
        </is>
      </c>
      <c r="D115" s="10" t="inlineStr">
        <is>
          <t>10198151</t>
        </is>
      </c>
      <c r="E115" s="10" t="inlineStr">
        <is>
          <t>TANTA NYLON TONGS 12 INCH</t>
        </is>
      </c>
      <c r="F115" s="10" t="n"/>
      <c r="G115" s="10" t="inlineStr">
        <is>
          <t>ALAT MASAK</t>
        </is>
      </c>
      <c r="H115" s="10" t="inlineStr">
        <is>
          <t>C1. KITCHEN TOOLS</t>
        </is>
      </c>
      <c r="I115" s="10" t="inlineStr">
        <is>
          <t>TANTA NYLON</t>
        </is>
      </c>
      <c r="J115" s="10" t="n"/>
      <c r="K115" s="10" t="n"/>
      <c r="L115" s="11" t="inlineStr">
        <is>
          <t>GND-03</t>
        </is>
      </c>
      <c r="M115" s="11" t="n">
        <v>2</v>
      </c>
      <c r="N115" s="11" t="inlineStr">
        <is>
          <t>Gantungan</t>
        </is>
      </c>
      <c r="O115" s="12">
        <f>IF(L115="","",IFERROR(INDEX(DAFTAR_FIXTURE!$B$2:$B$51,MATCH(L115,DAFTAR_FIXTURE!$A$2:$A$51,0)),""))</f>
        <v/>
      </c>
      <c r="P115" s="12">
        <f>IF(AND($D115="",L115=""),"",IF(L115="",IF(AND(Q115="",V115=""),"Belum ditempatkan",""),IF(O115="","CEK ID FIXTURE tidak ada di DAFTAR_FIXTURE",IF(M115="","CEK ZONA NO kosong",IF(ISNA(MATCH(O115&amp;"|"&amp;M115,LAYOUT!$E$2:$E$80,0)),"CEK ZONA NO di luar layout",IF(N115&lt;&gt;INDEX(LAYOUT!$D$2:$D$80,MATCH(O115&amp;"|"&amp;M115,LAYOUT!$E$2:$E$80,0)),"CEK JENIS ZONA",IF($D115="","Zona STOCK",IF($E115="","CEK SKU DESCRIPTION kosong","OK"))))))))</f>
        <v/>
      </c>
      <c r="Q115" s="11" t="n"/>
      <c r="R115" s="11" t="n"/>
      <c r="S115" s="11" t="n"/>
      <c r="T115" s="12">
        <f>IF(Q115="","",IFERROR(INDEX(DAFTAR_FIXTURE!$B$2:$B$51,MATCH(Q115,DAFTAR_FIXTURE!$A$2:$A$51,0)),""))</f>
        <v/>
      </c>
      <c r="U115" s="12">
        <f>IF(Q115="","",IF(T115="","CEK ID FIXTURE tidak ada di DAFTAR_FIXTURE",IF(R115="","CEK ZONA NO kosong",IF(ISNA(MATCH(T115&amp;"|"&amp;R115,LAYOUT!$E$2:$E$80,0)),"CEK ZONA NO di luar layout",IF(S115&lt;&gt;INDEX(LAYOUT!$D$2:$D$80,MATCH(T115&amp;"|"&amp;R115,LAYOUT!$E$2:$E$80,0)),"CEK JENIS ZONA",IF($D115="","Zona STOCK",IF($E115="","CEK SKU DESCRIPTION kosong","OK")))))))</f>
        <v/>
      </c>
      <c r="V115" s="11" t="n"/>
      <c r="W115" s="11" t="n"/>
      <c r="X115" s="11" t="n"/>
      <c r="Y115" s="12">
        <f>IF(V115="","",IFERROR(INDEX(DAFTAR_FIXTURE!$B$2:$B$51,MATCH(V115,DAFTAR_FIXTURE!$A$2:$A$51,0)),""))</f>
        <v/>
      </c>
      <c r="Z115" s="12">
        <f>IF(V115="","",IF(Y115="","CEK ID FIXTURE tidak ada di DAFTAR_FIXTURE",IF(W115="","CEK ZONA NO kosong",IF(ISNA(MATCH(Y115&amp;"|"&amp;W115,LAYOUT!$E$2:$E$80,0)),"CEK ZONA NO di luar layout",IF(X115&lt;&gt;INDEX(LAYOUT!$D$2:$D$80,MATCH(Y115&amp;"|"&amp;W115,LAYOUT!$E$2:$E$80,0)),"CEK JENIS ZONA",IF($D115="","Zona STOCK",IF($E115="","CEK SKU DESCRIPTION kosong","OK")))))))</f>
        <v/>
      </c>
    </row>
    <row r="116">
      <c r="A116" s="10" t="inlineStr">
        <is>
          <t>Homeware</t>
        </is>
      </c>
      <c r="B116" s="10" t="inlineStr">
        <is>
          <t>Kitchenware</t>
        </is>
      </c>
      <c r="C116" s="10" t="inlineStr">
        <is>
          <t>Kitchen Tools</t>
        </is>
      </c>
      <c r="D116" s="10" t="inlineStr">
        <is>
          <t>10198152</t>
        </is>
      </c>
      <c r="E116" s="10" t="inlineStr">
        <is>
          <t>TANTA S/S SOLID TURNER M</t>
        </is>
      </c>
      <c r="F116" s="10" t="n"/>
      <c r="G116" s="10" t="inlineStr">
        <is>
          <t>ALAT MASAK</t>
        </is>
      </c>
      <c r="H116" s="10" t="inlineStr">
        <is>
          <t>C1. KITCHEN TOOLS</t>
        </is>
      </c>
      <c r="I116" s="10" t="inlineStr">
        <is>
          <t>TANTA S/S</t>
        </is>
      </c>
      <c r="J116" s="10" t="n"/>
      <c r="K116" s="10" t="n"/>
      <c r="L116" s="11" t="inlineStr">
        <is>
          <t>GND-03</t>
        </is>
      </c>
      <c r="M116" s="11" t="n">
        <v>2</v>
      </c>
      <c r="N116" s="11" t="inlineStr">
        <is>
          <t>Gantungan</t>
        </is>
      </c>
      <c r="O116" s="12">
        <f>IF(L116="","",IFERROR(INDEX(DAFTAR_FIXTURE!$B$2:$B$51,MATCH(L116,DAFTAR_FIXTURE!$A$2:$A$51,0)),""))</f>
        <v/>
      </c>
      <c r="P116" s="12">
        <f>IF(AND($D116="",L116=""),"",IF(L116="",IF(AND(Q116="",V116=""),"Belum ditempatkan",""),IF(O116="","CEK ID FIXTURE tidak ada di DAFTAR_FIXTURE",IF(M116="","CEK ZONA NO kosong",IF(ISNA(MATCH(O116&amp;"|"&amp;M116,LAYOUT!$E$2:$E$80,0)),"CEK ZONA NO di luar layout",IF(N116&lt;&gt;INDEX(LAYOUT!$D$2:$D$80,MATCH(O116&amp;"|"&amp;M116,LAYOUT!$E$2:$E$80,0)),"CEK JENIS ZONA",IF($D116="","Zona STOCK",IF($E116="","CEK SKU DESCRIPTION kosong","OK"))))))))</f>
        <v/>
      </c>
      <c r="Q116" s="11" t="n"/>
      <c r="R116" s="11" t="n"/>
      <c r="S116" s="11" t="n"/>
      <c r="T116" s="12">
        <f>IF(Q116="","",IFERROR(INDEX(DAFTAR_FIXTURE!$B$2:$B$51,MATCH(Q116,DAFTAR_FIXTURE!$A$2:$A$51,0)),""))</f>
        <v/>
      </c>
      <c r="U116" s="12">
        <f>IF(Q116="","",IF(T116="","CEK ID FIXTURE tidak ada di DAFTAR_FIXTURE",IF(R116="","CEK ZONA NO kosong",IF(ISNA(MATCH(T116&amp;"|"&amp;R116,LAYOUT!$E$2:$E$80,0)),"CEK ZONA NO di luar layout",IF(S116&lt;&gt;INDEX(LAYOUT!$D$2:$D$80,MATCH(T116&amp;"|"&amp;R116,LAYOUT!$E$2:$E$80,0)),"CEK JENIS ZONA",IF($D116="","Zona STOCK",IF($E116="","CEK SKU DESCRIPTION kosong","OK")))))))</f>
        <v/>
      </c>
      <c r="V116" s="11" t="n"/>
      <c r="W116" s="11" t="n"/>
      <c r="X116" s="11" t="n"/>
      <c r="Y116" s="12">
        <f>IF(V116="","",IFERROR(INDEX(DAFTAR_FIXTURE!$B$2:$B$51,MATCH(V116,DAFTAR_FIXTURE!$A$2:$A$51,0)),""))</f>
        <v/>
      </c>
      <c r="Z116" s="12">
        <f>IF(V116="","",IF(Y116="","CEK ID FIXTURE tidak ada di DAFTAR_FIXTURE",IF(W116="","CEK ZONA NO kosong",IF(ISNA(MATCH(Y116&amp;"|"&amp;W116,LAYOUT!$E$2:$E$80,0)),"CEK ZONA NO di luar layout",IF(X116&lt;&gt;INDEX(LAYOUT!$D$2:$D$80,MATCH(Y116&amp;"|"&amp;W116,LAYOUT!$E$2:$E$80,0)),"CEK JENIS ZONA",IF($D116="","Zona STOCK",IF($E116="","CEK SKU DESCRIPTION kosong","OK")))))))</f>
        <v/>
      </c>
    </row>
    <row r="117">
      <c r="A117" s="10" t="inlineStr">
        <is>
          <t>Homeware</t>
        </is>
      </c>
      <c r="B117" s="10" t="inlineStr">
        <is>
          <t>Kitchenware</t>
        </is>
      </c>
      <c r="C117" s="10" t="inlineStr">
        <is>
          <t>Kitchen Tools</t>
        </is>
      </c>
      <c r="D117" s="10" t="inlineStr">
        <is>
          <t>10198154</t>
        </is>
      </c>
      <c r="E117" s="10" t="inlineStr">
        <is>
          <t>TANTA S/S LADLE</t>
        </is>
      </c>
      <c r="F117" s="10" t="n"/>
      <c r="G117" s="10" t="inlineStr">
        <is>
          <t>ALAT MASAK</t>
        </is>
      </c>
      <c r="H117" s="10" t="inlineStr">
        <is>
          <t>C1. KITCHEN TOOLS</t>
        </is>
      </c>
      <c r="I117" s="10" t="inlineStr">
        <is>
          <t>TANTA S/S</t>
        </is>
      </c>
      <c r="J117" s="10" t="n"/>
      <c r="K117" s="10" t="n"/>
      <c r="L117" s="11" t="inlineStr">
        <is>
          <t>GND-03</t>
        </is>
      </c>
      <c r="M117" s="11" t="n">
        <v>2</v>
      </c>
      <c r="N117" s="11" t="inlineStr">
        <is>
          <t>Gantungan</t>
        </is>
      </c>
      <c r="O117" s="12">
        <f>IF(L117="","",IFERROR(INDEX(DAFTAR_FIXTURE!$B$2:$B$51,MATCH(L117,DAFTAR_FIXTURE!$A$2:$A$51,0)),""))</f>
        <v/>
      </c>
      <c r="P117" s="12">
        <f>IF(AND($D117="",L117=""),"",IF(L117="",IF(AND(Q117="",V117=""),"Belum ditempatkan",""),IF(O117="","CEK ID FIXTURE tidak ada di DAFTAR_FIXTURE",IF(M117="","CEK ZONA NO kosong",IF(ISNA(MATCH(O117&amp;"|"&amp;M117,LAYOUT!$E$2:$E$80,0)),"CEK ZONA NO di luar layout",IF(N117&lt;&gt;INDEX(LAYOUT!$D$2:$D$80,MATCH(O117&amp;"|"&amp;M117,LAYOUT!$E$2:$E$80,0)),"CEK JENIS ZONA",IF($D117="","Zona STOCK",IF($E117="","CEK SKU DESCRIPTION kosong","OK"))))))))</f>
        <v/>
      </c>
      <c r="Q117" s="11" t="n"/>
      <c r="R117" s="11" t="n"/>
      <c r="S117" s="11" t="n"/>
      <c r="T117" s="12">
        <f>IF(Q117="","",IFERROR(INDEX(DAFTAR_FIXTURE!$B$2:$B$51,MATCH(Q117,DAFTAR_FIXTURE!$A$2:$A$51,0)),""))</f>
        <v/>
      </c>
      <c r="U117" s="12">
        <f>IF(Q117="","",IF(T117="","CEK ID FIXTURE tidak ada di DAFTAR_FIXTURE",IF(R117="","CEK ZONA NO kosong",IF(ISNA(MATCH(T117&amp;"|"&amp;R117,LAYOUT!$E$2:$E$80,0)),"CEK ZONA NO di luar layout",IF(S117&lt;&gt;INDEX(LAYOUT!$D$2:$D$80,MATCH(T117&amp;"|"&amp;R117,LAYOUT!$E$2:$E$80,0)),"CEK JENIS ZONA",IF($D117="","Zona STOCK",IF($E117="","CEK SKU DESCRIPTION kosong","OK")))))))</f>
        <v/>
      </c>
      <c r="V117" s="11" t="n"/>
      <c r="W117" s="11" t="n"/>
      <c r="X117" s="11" t="n"/>
      <c r="Y117" s="12">
        <f>IF(V117="","",IFERROR(INDEX(DAFTAR_FIXTURE!$B$2:$B$51,MATCH(V117,DAFTAR_FIXTURE!$A$2:$A$51,0)),""))</f>
        <v/>
      </c>
      <c r="Z117" s="12">
        <f>IF(V117="","",IF(Y117="","CEK ID FIXTURE tidak ada di DAFTAR_FIXTURE",IF(W117="","CEK ZONA NO kosong",IF(ISNA(MATCH(Y117&amp;"|"&amp;W117,LAYOUT!$E$2:$E$80,0)),"CEK ZONA NO di luar layout",IF(X117&lt;&gt;INDEX(LAYOUT!$D$2:$D$80,MATCH(Y117&amp;"|"&amp;W117,LAYOUT!$E$2:$E$80,0)),"CEK JENIS ZONA",IF($D117="","Zona STOCK",IF($E117="","CEK SKU DESCRIPTION kosong","OK")))))))</f>
        <v/>
      </c>
    </row>
    <row r="118">
      <c r="A118" s="10" t="inlineStr">
        <is>
          <t>Homeware</t>
        </is>
      </c>
      <c r="B118" s="10" t="inlineStr">
        <is>
          <t>Kitchenware</t>
        </is>
      </c>
      <c r="C118" s="10" t="inlineStr">
        <is>
          <t>Kitchen Tools</t>
        </is>
      </c>
      <c r="D118" s="10" t="inlineStr">
        <is>
          <t>10198156</t>
        </is>
      </c>
      <c r="E118" s="10" t="inlineStr">
        <is>
          <t>TANTA NYLON SLOTTED TURNER M</t>
        </is>
      </c>
      <c r="F118" s="10" t="n"/>
      <c r="G118" s="10" t="inlineStr">
        <is>
          <t>ALAT MASAK</t>
        </is>
      </c>
      <c r="H118" s="10" t="inlineStr">
        <is>
          <t>C1. KITCHEN TOOLS</t>
        </is>
      </c>
      <c r="I118" s="10" t="inlineStr">
        <is>
          <t>TANTA NYLON</t>
        </is>
      </c>
      <c r="J118" s="10" t="n"/>
      <c r="K118" s="10" t="n"/>
      <c r="L118" s="11" t="inlineStr">
        <is>
          <t>GND-03</t>
        </is>
      </c>
      <c r="M118" s="11" t="n">
        <v>2</v>
      </c>
      <c r="N118" s="11" t="inlineStr">
        <is>
          <t>Gantungan</t>
        </is>
      </c>
      <c r="O118" s="12">
        <f>IF(L118="","",IFERROR(INDEX(DAFTAR_FIXTURE!$B$2:$B$51,MATCH(L118,DAFTAR_FIXTURE!$A$2:$A$51,0)),""))</f>
        <v/>
      </c>
      <c r="P118" s="12">
        <f>IF(AND($D118="",L118=""),"",IF(L118="",IF(AND(Q118="",V118=""),"Belum ditempatkan",""),IF(O118="","CEK ID FIXTURE tidak ada di DAFTAR_FIXTURE",IF(M118="","CEK ZONA NO kosong",IF(ISNA(MATCH(O118&amp;"|"&amp;M118,LAYOUT!$E$2:$E$80,0)),"CEK ZONA NO di luar layout",IF(N118&lt;&gt;INDEX(LAYOUT!$D$2:$D$80,MATCH(O118&amp;"|"&amp;M118,LAYOUT!$E$2:$E$80,0)),"CEK JENIS ZONA",IF($D118="","Zona STOCK",IF($E118="","CEK SKU DESCRIPTION kosong","OK"))))))))</f>
        <v/>
      </c>
      <c r="Q118" s="11" t="n"/>
      <c r="R118" s="11" t="n"/>
      <c r="S118" s="11" t="n"/>
      <c r="T118" s="12">
        <f>IF(Q118="","",IFERROR(INDEX(DAFTAR_FIXTURE!$B$2:$B$51,MATCH(Q118,DAFTAR_FIXTURE!$A$2:$A$51,0)),""))</f>
        <v/>
      </c>
      <c r="U118" s="12">
        <f>IF(Q118="","",IF(T118="","CEK ID FIXTURE tidak ada di DAFTAR_FIXTURE",IF(R118="","CEK ZONA NO kosong",IF(ISNA(MATCH(T118&amp;"|"&amp;R118,LAYOUT!$E$2:$E$80,0)),"CEK ZONA NO di luar layout",IF(S118&lt;&gt;INDEX(LAYOUT!$D$2:$D$80,MATCH(T118&amp;"|"&amp;R118,LAYOUT!$E$2:$E$80,0)),"CEK JENIS ZONA",IF($D118="","Zona STOCK",IF($E118="","CEK SKU DESCRIPTION kosong","OK")))))))</f>
        <v/>
      </c>
      <c r="V118" s="11" t="n"/>
      <c r="W118" s="11" t="n"/>
      <c r="X118" s="11" t="n"/>
      <c r="Y118" s="12">
        <f>IF(V118="","",IFERROR(INDEX(DAFTAR_FIXTURE!$B$2:$B$51,MATCH(V118,DAFTAR_FIXTURE!$A$2:$A$51,0)),""))</f>
        <v/>
      </c>
      <c r="Z118" s="12">
        <f>IF(V118="","",IF(Y118="","CEK ID FIXTURE tidak ada di DAFTAR_FIXTURE",IF(W118="","CEK ZONA NO kosong",IF(ISNA(MATCH(Y118&amp;"|"&amp;W118,LAYOUT!$E$2:$E$80,0)),"CEK ZONA NO di luar layout",IF(X118&lt;&gt;INDEX(LAYOUT!$D$2:$D$80,MATCH(Y118&amp;"|"&amp;W118,LAYOUT!$E$2:$E$80,0)),"CEK JENIS ZONA",IF($D118="","Zona STOCK",IF($E118="","CEK SKU DESCRIPTION kosong","OK")))))))</f>
        <v/>
      </c>
    </row>
    <row r="119">
      <c r="A119" s="10" t="inlineStr">
        <is>
          <t>Homeware</t>
        </is>
      </c>
      <c r="B119" s="10" t="inlineStr">
        <is>
          <t>Kitchenware</t>
        </is>
      </c>
      <c r="C119" s="10" t="inlineStr">
        <is>
          <t>Kitchen Tools</t>
        </is>
      </c>
      <c r="D119" s="10" t="inlineStr">
        <is>
          <t>10198157</t>
        </is>
      </c>
      <c r="E119" s="10" t="inlineStr">
        <is>
          <t>TANTA NYLON SOLID TURNER L</t>
        </is>
      </c>
      <c r="F119" s="10" t="n"/>
      <c r="G119" s="10" t="inlineStr">
        <is>
          <t>ALAT MASAK</t>
        </is>
      </c>
      <c r="H119" s="10" t="inlineStr">
        <is>
          <t>C1. KITCHEN TOOLS</t>
        </is>
      </c>
      <c r="I119" s="10" t="inlineStr">
        <is>
          <t>TANTA NYLON</t>
        </is>
      </c>
      <c r="J119" s="10" t="n"/>
      <c r="K119" s="10" t="n"/>
      <c r="L119" s="11" t="inlineStr">
        <is>
          <t>GND-03</t>
        </is>
      </c>
      <c r="M119" s="11" t="n">
        <v>3</v>
      </c>
      <c r="N119" s="11" t="inlineStr">
        <is>
          <t>Gantungan</t>
        </is>
      </c>
      <c r="O119" s="12">
        <f>IF(L119="","",IFERROR(INDEX(DAFTAR_FIXTURE!$B$2:$B$51,MATCH(L119,DAFTAR_FIXTURE!$A$2:$A$51,0)),""))</f>
        <v/>
      </c>
      <c r="P119" s="12">
        <f>IF(AND($D119="",L119=""),"",IF(L119="",IF(AND(Q119="",V119=""),"Belum ditempatkan",""),IF(O119="","CEK ID FIXTURE tidak ada di DAFTAR_FIXTURE",IF(M119="","CEK ZONA NO kosong",IF(ISNA(MATCH(O119&amp;"|"&amp;M119,LAYOUT!$E$2:$E$80,0)),"CEK ZONA NO di luar layout",IF(N119&lt;&gt;INDEX(LAYOUT!$D$2:$D$80,MATCH(O119&amp;"|"&amp;M119,LAYOUT!$E$2:$E$80,0)),"CEK JENIS ZONA",IF($D119="","Zona STOCK",IF($E119="","CEK SKU DESCRIPTION kosong","OK"))))))))</f>
        <v/>
      </c>
      <c r="Q119" s="11" t="n"/>
      <c r="R119" s="11" t="n"/>
      <c r="S119" s="11" t="n"/>
      <c r="T119" s="12">
        <f>IF(Q119="","",IFERROR(INDEX(DAFTAR_FIXTURE!$B$2:$B$51,MATCH(Q119,DAFTAR_FIXTURE!$A$2:$A$51,0)),""))</f>
        <v/>
      </c>
      <c r="U119" s="12">
        <f>IF(Q119="","",IF(T119="","CEK ID FIXTURE tidak ada di DAFTAR_FIXTURE",IF(R119="","CEK ZONA NO kosong",IF(ISNA(MATCH(T119&amp;"|"&amp;R119,LAYOUT!$E$2:$E$80,0)),"CEK ZONA NO di luar layout",IF(S119&lt;&gt;INDEX(LAYOUT!$D$2:$D$80,MATCH(T119&amp;"|"&amp;R119,LAYOUT!$E$2:$E$80,0)),"CEK JENIS ZONA",IF($D119="","Zona STOCK",IF($E119="","CEK SKU DESCRIPTION kosong","OK")))))))</f>
        <v/>
      </c>
      <c r="V119" s="11" t="n"/>
      <c r="W119" s="11" t="n"/>
      <c r="X119" s="11" t="n"/>
      <c r="Y119" s="12">
        <f>IF(V119="","",IFERROR(INDEX(DAFTAR_FIXTURE!$B$2:$B$51,MATCH(V119,DAFTAR_FIXTURE!$A$2:$A$51,0)),""))</f>
        <v/>
      </c>
      <c r="Z119" s="12">
        <f>IF(V119="","",IF(Y119="","CEK ID FIXTURE tidak ada di DAFTAR_FIXTURE",IF(W119="","CEK ZONA NO kosong",IF(ISNA(MATCH(Y119&amp;"|"&amp;W119,LAYOUT!$E$2:$E$80,0)),"CEK ZONA NO di luar layout",IF(X119&lt;&gt;INDEX(LAYOUT!$D$2:$D$80,MATCH(Y119&amp;"|"&amp;W119,LAYOUT!$E$2:$E$80,0)),"CEK JENIS ZONA",IF($D119="","Zona STOCK",IF($E119="","CEK SKU DESCRIPTION kosong","OK")))))))</f>
        <v/>
      </c>
    </row>
    <row r="120">
      <c r="A120" s="10" t="inlineStr">
        <is>
          <t>Homeware</t>
        </is>
      </c>
      <c r="B120" s="10" t="inlineStr">
        <is>
          <t>Kitchenware</t>
        </is>
      </c>
      <c r="C120" s="10" t="inlineStr">
        <is>
          <t>Kitchen Tools</t>
        </is>
      </c>
      <c r="D120" s="10" t="inlineStr">
        <is>
          <t>10198159</t>
        </is>
      </c>
      <c r="E120" s="10" t="inlineStr">
        <is>
          <t>TANTA NYLON LADLE</t>
        </is>
      </c>
      <c r="F120" s="10" t="n"/>
      <c r="G120" s="10" t="inlineStr">
        <is>
          <t>ALAT MASAK</t>
        </is>
      </c>
      <c r="H120" s="10" t="inlineStr">
        <is>
          <t>C1. KITCHEN TOOLS</t>
        </is>
      </c>
      <c r="I120" s="10" t="inlineStr">
        <is>
          <t>TANTA NYLON</t>
        </is>
      </c>
      <c r="J120" s="10" t="n"/>
      <c r="K120" s="10" t="n"/>
      <c r="L120" s="11" t="inlineStr">
        <is>
          <t>GND-03</t>
        </is>
      </c>
      <c r="M120" s="11" t="n">
        <v>3</v>
      </c>
      <c r="N120" s="11" t="inlineStr">
        <is>
          <t>Gantungan</t>
        </is>
      </c>
      <c r="O120" s="12">
        <f>IF(L120="","",IFERROR(INDEX(DAFTAR_FIXTURE!$B$2:$B$51,MATCH(L120,DAFTAR_FIXTURE!$A$2:$A$51,0)),""))</f>
        <v/>
      </c>
      <c r="P120" s="12">
        <f>IF(AND($D120="",L120=""),"",IF(L120="",IF(AND(Q120="",V120=""),"Belum ditempatkan",""),IF(O120="","CEK ID FIXTURE tidak ada di DAFTAR_FIXTURE",IF(M120="","CEK ZONA NO kosong",IF(ISNA(MATCH(O120&amp;"|"&amp;M120,LAYOUT!$E$2:$E$80,0)),"CEK ZONA NO di luar layout",IF(N120&lt;&gt;INDEX(LAYOUT!$D$2:$D$80,MATCH(O120&amp;"|"&amp;M120,LAYOUT!$E$2:$E$80,0)),"CEK JENIS ZONA",IF($D120="","Zona STOCK",IF($E120="","CEK SKU DESCRIPTION kosong","OK"))))))))</f>
        <v/>
      </c>
      <c r="Q120" s="11" t="n"/>
      <c r="R120" s="11" t="n"/>
      <c r="S120" s="11" t="n"/>
      <c r="T120" s="12">
        <f>IF(Q120="","",IFERROR(INDEX(DAFTAR_FIXTURE!$B$2:$B$51,MATCH(Q120,DAFTAR_FIXTURE!$A$2:$A$51,0)),""))</f>
        <v/>
      </c>
      <c r="U120" s="12">
        <f>IF(Q120="","",IF(T120="","CEK ID FIXTURE tidak ada di DAFTAR_FIXTURE",IF(R120="","CEK ZONA NO kosong",IF(ISNA(MATCH(T120&amp;"|"&amp;R120,LAYOUT!$E$2:$E$80,0)),"CEK ZONA NO di luar layout",IF(S120&lt;&gt;INDEX(LAYOUT!$D$2:$D$80,MATCH(T120&amp;"|"&amp;R120,LAYOUT!$E$2:$E$80,0)),"CEK JENIS ZONA",IF($D120="","Zona STOCK",IF($E120="","CEK SKU DESCRIPTION kosong","OK")))))))</f>
        <v/>
      </c>
      <c r="V120" s="11" t="n"/>
      <c r="W120" s="11" t="n"/>
      <c r="X120" s="11" t="n"/>
      <c r="Y120" s="12">
        <f>IF(V120="","",IFERROR(INDEX(DAFTAR_FIXTURE!$B$2:$B$51,MATCH(V120,DAFTAR_FIXTURE!$A$2:$A$51,0)),""))</f>
        <v/>
      </c>
      <c r="Z120" s="12">
        <f>IF(V120="","",IF(Y120="","CEK ID FIXTURE tidak ada di DAFTAR_FIXTURE",IF(W120="","CEK ZONA NO kosong",IF(ISNA(MATCH(Y120&amp;"|"&amp;W120,LAYOUT!$E$2:$E$80,0)),"CEK ZONA NO di luar layout",IF(X120&lt;&gt;INDEX(LAYOUT!$D$2:$D$80,MATCH(Y120&amp;"|"&amp;W120,LAYOUT!$E$2:$E$80,0)),"CEK JENIS ZONA",IF($D120="","Zona STOCK",IF($E120="","CEK SKU DESCRIPTION kosong","OK")))))))</f>
        <v/>
      </c>
    </row>
    <row r="121">
      <c r="A121" s="10" t="inlineStr">
        <is>
          <t>Homeware</t>
        </is>
      </c>
      <c r="B121" s="10" t="inlineStr">
        <is>
          <t>Kitchenware</t>
        </is>
      </c>
      <c r="C121" s="10" t="inlineStr">
        <is>
          <t>Kitchen Tools</t>
        </is>
      </c>
      <c r="D121" s="10" t="inlineStr">
        <is>
          <t>10198160</t>
        </is>
      </c>
      <c r="E121" s="10" t="inlineStr">
        <is>
          <t>TANTA NYLON WHISK</t>
        </is>
      </c>
      <c r="F121" s="10" t="n"/>
      <c r="G121" s="10" t="inlineStr">
        <is>
          <t>ALAT MASAK</t>
        </is>
      </c>
      <c r="H121" s="10" t="inlineStr">
        <is>
          <t>C1. KITCHEN TOOLS</t>
        </is>
      </c>
      <c r="I121" s="10" t="inlineStr">
        <is>
          <t>TANTA NYLON</t>
        </is>
      </c>
      <c r="J121" s="10" t="n"/>
      <c r="K121" s="10" t="n"/>
      <c r="L121" s="11" t="inlineStr">
        <is>
          <t>GND-03</t>
        </is>
      </c>
      <c r="M121" s="11" t="n">
        <v>3</v>
      </c>
      <c r="N121" s="11" t="inlineStr">
        <is>
          <t>Gantungan</t>
        </is>
      </c>
      <c r="O121" s="12">
        <f>IF(L121="","",IFERROR(INDEX(DAFTAR_FIXTURE!$B$2:$B$51,MATCH(L121,DAFTAR_FIXTURE!$A$2:$A$51,0)),""))</f>
        <v/>
      </c>
      <c r="P121" s="12">
        <f>IF(AND($D121="",L121=""),"",IF(L121="",IF(AND(Q121="",V121=""),"Belum ditempatkan",""),IF(O121="","CEK ID FIXTURE tidak ada di DAFTAR_FIXTURE",IF(M121="","CEK ZONA NO kosong",IF(ISNA(MATCH(O121&amp;"|"&amp;M121,LAYOUT!$E$2:$E$80,0)),"CEK ZONA NO di luar layout",IF(N121&lt;&gt;INDEX(LAYOUT!$D$2:$D$80,MATCH(O121&amp;"|"&amp;M121,LAYOUT!$E$2:$E$80,0)),"CEK JENIS ZONA",IF($D121="","Zona STOCK",IF($E121="","CEK SKU DESCRIPTION kosong","OK"))))))))</f>
        <v/>
      </c>
      <c r="Q121" s="11" t="n"/>
      <c r="R121" s="11" t="n"/>
      <c r="S121" s="11" t="n"/>
      <c r="T121" s="12">
        <f>IF(Q121="","",IFERROR(INDEX(DAFTAR_FIXTURE!$B$2:$B$51,MATCH(Q121,DAFTAR_FIXTURE!$A$2:$A$51,0)),""))</f>
        <v/>
      </c>
      <c r="U121" s="12">
        <f>IF(Q121="","",IF(T121="","CEK ID FIXTURE tidak ada di DAFTAR_FIXTURE",IF(R121="","CEK ZONA NO kosong",IF(ISNA(MATCH(T121&amp;"|"&amp;R121,LAYOUT!$E$2:$E$80,0)),"CEK ZONA NO di luar layout",IF(S121&lt;&gt;INDEX(LAYOUT!$D$2:$D$80,MATCH(T121&amp;"|"&amp;R121,LAYOUT!$E$2:$E$80,0)),"CEK JENIS ZONA",IF($D121="","Zona STOCK",IF($E121="","CEK SKU DESCRIPTION kosong","OK")))))))</f>
        <v/>
      </c>
      <c r="V121" s="11" t="n"/>
      <c r="W121" s="11" t="n"/>
      <c r="X121" s="11" t="n"/>
      <c r="Y121" s="12">
        <f>IF(V121="","",IFERROR(INDEX(DAFTAR_FIXTURE!$B$2:$B$51,MATCH(V121,DAFTAR_FIXTURE!$A$2:$A$51,0)),""))</f>
        <v/>
      </c>
      <c r="Z121" s="12">
        <f>IF(V121="","",IF(Y121="","CEK ID FIXTURE tidak ada di DAFTAR_FIXTURE",IF(W121="","CEK ZONA NO kosong",IF(ISNA(MATCH(Y121&amp;"|"&amp;W121,LAYOUT!$E$2:$E$80,0)),"CEK ZONA NO di luar layout",IF(X121&lt;&gt;INDEX(LAYOUT!$D$2:$D$80,MATCH(Y121&amp;"|"&amp;W121,LAYOUT!$E$2:$E$80,0)),"CEK JENIS ZONA",IF($D121="","Zona STOCK",IF($E121="","CEK SKU DESCRIPTION kosong","OK")))))))</f>
        <v/>
      </c>
    </row>
    <row r="122">
      <c r="A122" s="10" t="inlineStr">
        <is>
          <t>Homeware</t>
        </is>
      </c>
      <c r="B122" s="10" t="inlineStr">
        <is>
          <t>Kitchenware</t>
        </is>
      </c>
      <c r="C122" s="10" t="inlineStr">
        <is>
          <t>Kitchen Tools</t>
        </is>
      </c>
      <c r="D122" s="10" t="inlineStr">
        <is>
          <t>10198149</t>
        </is>
      </c>
      <c r="E122" s="10" t="inlineStr">
        <is>
          <t>TANTA STRAINER DIA 10CM</t>
        </is>
      </c>
      <c r="F122" s="10" t="n"/>
      <c r="G122" s="10" t="inlineStr">
        <is>
          <t>ALAT MASAK</t>
        </is>
      </c>
      <c r="H122" s="10" t="inlineStr">
        <is>
          <t>C1. KITCHEN TOOLS</t>
        </is>
      </c>
      <c r="I122" s="10" t="inlineStr">
        <is>
          <t>TANTA S/S</t>
        </is>
      </c>
      <c r="J122" s="10" t="n"/>
      <c r="K122" s="10" t="n"/>
      <c r="L122" s="11" t="inlineStr">
        <is>
          <t>GND-03</t>
        </is>
      </c>
      <c r="M122" s="11" t="n">
        <v>3</v>
      </c>
      <c r="N122" s="11" t="inlineStr">
        <is>
          <t>Gantungan</t>
        </is>
      </c>
      <c r="O122" s="12">
        <f>IF(L122="","",IFERROR(INDEX(DAFTAR_FIXTURE!$B$2:$B$51,MATCH(L122,DAFTAR_FIXTURE!$A$2:$A$51,0)),""))</f>
        <v/>
      </c>
      <c r="P122" s="12">
        <f>IF(AND($D122="",L122=""),"",IF(L122="",IF(AND(Q122="",V122=""),"Belum ditempatkan",""),IF(O122="","CEK ID FIXTURE tidak ada di DAFTAR_FIXTURE",IF(M122="","CEK ZONA NO kosong",IF(ISNA(MATCH(O122&amp;"|"&amp;M122,LAYOUT!$E$2:$E$80,0)),"CEK ZONA NO di luar layout",IF(N122&lt;&gt;INDEX(LAYOUT!$D$2:$D$80,MATCH(O122&amp;"|"&amp;M122,LAYOUT!$E$2:$E$80,0)),"CEK JENIS ZONA",IF($D122="","Zona STOCK",IF($E122="","CEK SKU DESCRIPTION kosong","OK"))))))))</f>
        <v/>
      </c>
      <c r="Q122" s="11" t="n"/>
      <c r="R122" s="11" t="n"/>
      <c r="S122" s="11" t="n"/>
      <c r="T122" s="12">
        <f>IF(Q122="","",IFERROR(INDEX(DAFTAR_FIXTURE!$B$2:$B$51,MATCH(Q122,DAFTAR_FIXTURE!$A$2:$A$51,0)),""))</f>
        <v/>
      </c>
      <c r="U122" s="12">
        <f>IF(Q122="","",IF(T122="","CEK ID FIXTURE tidak ada di DAFTAR_FIXTURE",IF(R122="","CEK ZONA NO kosong",IF(ISNA(MATCH(T122&amp;"|"&amp;R122,LAYOUT!$E$2:$E$80,0)),"CEK ZONA NO di luar layout",IF(S122&lt;&gt;INDEX(LAYOUT!$D$2:$D$80,MATCH(T122&amp;"|"&amp;R122,LAYOUT!$E$2:$E$80,0)),"CEK JENIS ZONA",IF($D122="","Zona STOCK",IF($E122="","CEK SKU DESCRIPTION kosong","OK")))))))</f>
        <v/>
      </c>
      <c r="V122" s="11" t="n"/>
      <c r="W122" s="11" t="n"/>
      <c r="X122" s="11" t="n"/>
      <c r="Y122" s="12">
        <f>IF(V122="","",IFERROR(INDEX(DAFTAR_FIXTURE!$B$2:$B$51,MATCH(V122,DAFTAR_FIXTURE!$A$2:$A$51,0)),""))</f>
        <v/>
      </c>
      <c r="Z122" s="12">
        <f>IF(V122="","",IF(Y122="","CEK ID FIXTURE tidak ada di DAFTAR_FIXTURE",IF(W122="","CEK ZONA NO kosong",IF(ISNA(MATCH(Y122&amp;"|"&amp;W122,LAYOUT!$E$2:$E$80,0)),"CEK ZONA NO di luar layout",IF(X122&lt;&gt;INDEX(LAYOUT!$D$2:$D$80,MATCH(Y122&amp;"|"&amp;W122,LAYOUT!$E$2:$E$80,0)),"CEK JENIS ZONA",IF($D122="","Zona STOCK",IF($E122="","CEK SKU DESCRIPTION kosong","OK")))))))</f>
        <v/>
      </c>
    </row>
    <row r="123">
      <c r="A123" s="10" t="inlineStr">
        <is>
          <t>Homeware</t>
        </is>
      </c>
      <c r="B123" s="10" t="inlineStr">
        <is>
          <t>Kitchenware</t>
        </is>
      </c>
      <c r="C123" s="10" t="inlineStr">
        <is>
          <t>Kitchen Tools</t>
        </is>
      </c>
      <c r="D123" s="10" t="inlineStr">
        <is>
          <t>10198150</t>
        </is>
      </c>
      <c r="E123" s="10" t="inlineStr">
        <is>
          <t>TANTA NYLON TONGS 9 INCH</t>
        </is>
      </c>
      <c r="F123" s="10" t="n"/>
      <c r="G123" s="10" t="inlineStr">
        <is>
          <t>ALAT MASAK</t>
        </is>
      </c>
      <c r="H123" s="10" t="inlineStr">
        <is>
          <t>C1. KITCHEN TOOLS</t>
        </is>
      </c>
      <c r="I123" s="10" t="inlineStr">
        <is>
          <t>TANTA NYLON</t>
        </is>
      </c>
      <c r="J123" s="10" t="n"/>
      <c r="K123" s="10" t="n"/>
      <c r="L123" s="11" t="inlineStr">
        <is>
          <t>GND-03</t>
        </is>
      </c>
      <c r="M123" s="11" t="n">
        <v>3</v>
      </c>
      <c r="N123" s="11" t="inlineStr">
        <is>
          <t>Gantungan</t>
        </is>
      </c>
      <c r="O123" s="12">
        <f>IF(L123="","",IFERROR(INDEX(DAFTAR_FIXTURE!$B$2:$B$51,MATCH(L123,DAFTAR_FIXTURE!$A$2:$A$51,0)),""))</f>
        <v/>
      </c>
      <c r="P123" s="12">
        <f>IF(AND($D123="",L123=""),"",IF(L123="",IF(AND(Q123="",V123=""),"Belum ditempatkan",""),IF(O123="","CEK ID FIXTURE tidak ada di DAFTAR_FIXTURE",IF(M123="","CEK ZONA NO kosong",IF(ISNA(MATCH(O123&amp;"|"&amp;M123,LAYOUT!$E$2:$E$80,0)),"CEK ZONA NO di luar layout",IF(N123&lt;&gt;INDEX(LAYOUT!$D$2:$D$80,MATCH(O123&amp;"|"&amp;M123,LAYOUT!$E$2:$E$80,0)),"CEK JENIS ZONA",IF($D123="","Zona STOCK",IF($E123="","CEK SKU DESCRIPTION kosong","OK"))))))))</f>
        <v/>
      </c>
      <c r="Q123" s="11" t="n"/>
      <c r="R123" s="11" t="n"/>
      <c r="S123" s="11" t="n"/>
      <c r="T123" s="12">
        <f>IF(Q123="","",IFERROR(INDEX(DAFTAR_FIXTURE!$B$2:$B$51,MATCH(Q123,DAFTAR_FIXTURE!$A$2:$A$51,0)),""))</f>
        <v/>
      </c>
      <c r="U123" s="12">
        <f>IF(Q123="","",IF(T123="","CEK ID FIXTURE tidak ada di DAFTAR_FIXTURE",IF(R123="","CEK ZONA NO kosong",IF(ISNA(MATCH(T123&amp;"|"&amp;R123,LAYOUT!$E$2:$E$80,0)),"CEK ZONA NO di luar layout",IF(S123&lt;&gt;INDEX(LAYOUT!$D$2:$D$80,MATCH(T123&amp;"|"&amp;R123,LAYOUT!$E$2:$E$80,0)),"CEK JENIS ZONA",IF($D123="","Zona STOCK",IF($E123="","CEK SKU DESCRIPTION kosong","OK")))))))</f>
        <v/>
      </c>
      <c r="V123" s="11" t="n"/>
      <c r="W123" s="11" t="n"/>
      <c r="X123" s="11" t="n"/>
      <c r="Y123" s="12">
        <f>IF(V123="","",IFERROR(INDEX(DAFTAR_FIXTURE!$B$2:$B$51,MATCH(V123,DAFTAR_FIXTURE!$A$2:$A$51,0)),""))</f>
        <v/>
      </c>
      <c r="Z123" s="12">
        <f>IF(V123="","",IF(Y123="","CEK ID FIXTURE tidak ada di DAFTAR_FIXTURE",IF(W123="","CEK ZONA NO kosong",IF(ISNA(MATCH(Y123&amp;"|"&amp;W123,LAYOUT!$E$2:$E$80,0)),"CEK ZONA NO di luar layout",IF(X123&lt;&gt;INDEX(LAYOUT!$D$2:$D$80,MATCH(Y123&amp;"|"&amp;W123,LAYOUT!$E$2:$E$80,0)),"CEK JENIS ZONA",IF($D123="","Zona STOCK",IF($E123="","CEK SKU DESCRIPTION kosong","OK")))))))</f>
        <v/>
      </c>
    </row>
    <row r="124">
      <c r="A124" s="10" t="inlineStr">
        <is>
          <t>Homeware</t>
        </is>
      </c>
      <c r="B124" s="10" t="inlineStr">
        <is>
          <t>Kitchenware</t>
        </is>
      </c>
      <c r="C124" s="10" t="inlineStr">
        <is>
          <t>Kitchen Tools</t>
        </is>
      </c>
      <c r="D124" s="10" t="inlineStr">
        <is>
          <t>10198151</t>
        </is>
      </c>
      <c r="E124" s="10" t="inlineStr">
        <is>
          <t>TANTA NYLON TONGS 12 INCH</t>
        </is>
      </c>
      <c r="F124" s="10" t="n"/>
      <c r="G124" s="10" t="inlineStr">
        <is>
          <t>ALAT MASAK</t>
        </is>
      </c>
      <c r="H124" s="10" t="inlineStr">
        <is>
          <t>C1. KITCHEN TOOLS</t>
        </is>
      </c>
      <c r="I124" s="10" t="inlineStr">
        <is>
          <t>TANTA NYLON</t>
        </is>
      </c>
      <c r="J124" s="10" t="n"/>
      <c r="K124" s="10" t="n"/>
      <c r="L124" s="11" t="inlineStr">
        <is>
          <t>GND-03</t>
        </is>
      </c>
      <c r="M124" s="11" t="n">
        <v>3</v>
      </c>
      <c r="N124" s="11" t="inlineStr">
        <is>
          <t>Gantungan</t>
        </is>
      </c>
      <c r="O124" s="12">
        <f>IF(L124="","",IFERROR(INDEX(DAFTAR_FIXTURE!$B$2:$B$51,MATCH(L124,DAFTAR_FIXTURE!$A$2:$A$51,0)),""))</f>
        <v/>
      </c>
      <c r="P124" s="12">
        <f>IF(AND($D124="",L124=""),"",IF(L124="",IF(AND(Q124="",V124=""),"Belum ditempatkan",""),IF(O124="","CEK ID FIXTURE tidak ada di DAFTAR_FIXTURE",IF(M124="","CEK ZONA NO kosong",IF(ISNA(MATCH(O124&amp;"|"&amp;M124,LAYOUT!$E$2:$E$80,0)),"CEK ZONA NO di luar layout",IF(N124&lt;&gt;INDEX(LAYOUT!$D$2:$D$80,MATCH(O124&amp;"|"&amp;M124,LAYOUT!$E$2:$E$80,0)),"CEK JENIS ZONA",IF($D124="","Zona STOCK",IF($E124="","CEK SKU DESCRIPTION kosong","OK"))))))))</f>
        <v/>
      </c>
      <c r="Q124" s="11" t="n"/>
      <c r="R124" s="11" t="n"/>
      <c r="S124" s="11" t="n"/>
      <c r="T124" s="12">
        <f>IF(Q124="","",IFERROR(INDEX(DAFTAR_FIXTURE!$B$2:$B$51,MATCH(Q124,DAFTAR_FIXTURE!$A$2:$A$51,0)),""))</f>
        <v/>
      </c>
      <c r="U124" s="12">
        <f>IF(Q124="","",IF(T124="","CEK ID FIXTURE tidak ada di DAFTAR_FIXTURE",IF(R124="","CEK ZONA NO kosong",IF(ISNA(MATCH(T124&amp;"|"&amp;R124,LAYOUT!$E$2:$E$80,0)),"CEK ZONA NO di luar layout",IF(S124&lt;&gt;INDEX(LAYOUT!$D$2:$D$80,MATCH(T124&amp;"|"&amp;R124,LAYOUT!$E$2:$E$80,0)),"CEK JENIS ZONA",IF($D124="","Zona STOCK",IF($E124="","CEK SKU DESCRIPTION kosong","OK")))))))</f>
        <v/>
      </c>
      <c r="V124" s="11" t="n"/>
      <c r="W124" s="11" t="n"/>
      <c r="X124" s="11" t="n"/>
      <c r="Y124" s="12">
        <f>IF(V124="","",IFERROR(INDEX(DAFTAR_FIXTURE!$B$2:$B$51,MATCH(V124,DAFTAR_FIXTURE!$A$2:$A$51,0)),""))</f>
        <v/>
      </c>
      <c r="Z124" s="12">
        <f>IF(V124="","",IF(Y124="","CEK ID FIXTURE tidak ada di DAFTAR_FIXTURE",IF(W124="","CEK ZONA NO kosong",IF(ISNA(MATCH(Y124&amp;"|"&amp;W124,LAYOUT!$E$2:$E$80,0)),"CEK ZONA NO di luar layout",IF(X124&lt;&gt;INDEX(LAYOUT!$D$2:$D$80,MATCH(Y124&amp;"|"&amp;W124,LAYOUT!$E$2:$E$80,0)),"CEK JENIS ZONA",IF($D124="","Zona STOCK",IF($E124="","CEK SKU DESCRIPTION kosong","OK")))))))</f>
        <v/>
      </c>
    </row>
    <row r="125">
      <c r="A125" s="10" t="inlineStr">
        <is>
          <t>Homeware</t>
        </is>
      </c>
      <c r="B125" s="10" t="inlineStr">
        <is>
          <t>Kitchenware</t>
        </is>
      </c>
      <c r="C125" s="10" t="inlineStr">
        <is>
          <t>Kitchen Tools</t>
        </is>
      </c>
      <c r="D125" s="10" t="inlineStr">
        <is>
          <t>10198152</t>
        </is>
      </c>
      <c r="E125" s="10" t="inlineStr">
        <is>
          <t>TANTA S/S SOLID TURNER M</t>
        </is>
      </c>
      <c r="F125" s="10" t="n"/>
      <c r="G125" s="10" t="inlineStr">
        <is>
          <t>ALAT MASAK</t>
        </is>
      </c>
      <c r="H125" s="10" t="inlineStr">
        <is>
          <t>C1. KITCHEN TOOLS</t>
        </is>
      </c>
      <c r="I125" s="10" t="inlineStr">
        <is>
          <t>TANTA S/S</t>
        </is>
      </c>
      <c r="J125" s="10" t="n"/>
      <c r="K125" s="10" t="n"/>
      <c r="L125" s="11" t="inlineStr">
        <is>
          <t>GND-03</t>
        </is>
      </c>
      <c r="M125" s="11" t="n">
        <v>4</v>
      </c>
      <c r="N125" s="11" t="inlineStr">
        <is>
          <t>Gantungan</t>
        </is>
      </c>
      <c r="O125" s="12">
        <f>IF(L125="","",IFERROR(INDEX(DAFTAR_FIXTURE!$B$2:$B$51,MATCH(L125,DAFTAR_FIXTURE!$A$2:$A$51,0)),""))</f>
        <v/>
      </c>
      <c r="P125" s="12">
        <f>IF(AND($D125="",L125=""),"",IF(L125="",IF(AND(Q125="",V125=""),"Belum ditempatkan",""),IF(O125="","CEK ID FIXTURE tidak ada di DAFTAR_FIXTURE",IF(M125="","CEK ZONA NO kosong",IF(ISNA(MATCH(O125&amp;"|"&amp;M125,LAYOUT!$E$2:$E$80,0)),"CEK ZONA NO di luar layout",IF(N125&lt;&gt;INDEX(LAYOUT!$D$2:$D$80,MATCH(O125&amp;"|"&amp;M125,LAYOUT!$E$2:$E$80,0)),"CEK JENIS ZONA",IF($D125="","Zona STOCK",IF($E125="","CEK SKU DESCRIPTION kosong","OK"))))))))</f>
        <v/>
      </c>
      <c r="Q125" s="11" t="n"/>
      <c r="R125" s="11" t="n"/>
      <c r="S125" s="11" t="n"/>
      <c r="T125" s="12">
        <f>IF(Q125="","",IFERROR(INDEX(DAFTAR_FIXTURE!$B$2:$B$51,MATCH(Q125,DAFTAR_FIXTURE!$A$2:$A$51,0)),""))</f>
        <v/>
      </c>
      <c r="U125" s="12">
        <f>IF(Q125="","",IF(T125="","CEK ID FIXTURE tidak ada di DAFTAR_FIXTURE",IF(R125="","CEK ZONA NO kosong",IF(ISNA(MATCH(T125&amp;"|"&amp;R125,LAYOUT!$E$2:$E$80,0)),"CEK ZONA NO di luar layout",IF(S125&lt;&gt;INDEX(LAYOUT!$D$2:$D$80,MATCH(T125&amp;"|"&amp;R125,LAYOUT!$E$2:$E$80,0)),"CEK JENIS ZONA",IF($D125="","Zona STOCK",IF($E125="","CEK SKU DESCRIPTION kosong","OK")))))))</f>
        <v/>
      </c>
      <c r="V125" s="11" t="n"/>
      <c r="W125" s="11" t="n"/>
      <c r="X125" s="11" t="n"/>
      <c r="Y125" s="12">
        <f>IF(V125="","",IFERROR(INDEX(DAFTAR_FIXTURE!$B$2:$B$51,MATCH(V125,DAFTAR_FIXTURE!$A$2:$A$51,0)),""))</f>
        <v/>
      </c>
      <c r="Z125" s="12">
        <f>IF(V125="","",IF(Y125="","CEK ID FIXTURE tidak ada di DAFTAR_FIXTURE",IF(W125="","CEK ZONA NO kosong",IF(ISNA(MATCH(Y125&amp;"|"&amp;W125,LAYOUT!$E$2:$E$80,0)),"CEK ZONA NO di luar layout",IF(X125&lt;&gt;INDEX(LAYOUT!$D$2:$D$80,MATCH(Y125&amp;"|"&amp;W125,LAYOUT!$E$2:$E$80,0)),"CEK JENIS ZONA",IF($D125="","Zona STOCK",IF($E125="","CEK SKU DESCRIPTION kosong","OK")))))))</f>
        <v/>
      </c>
    </row>
    <row r="126">
      <c r="A126" s="10" t="inlineStr">
        <is>
          <t>Homeware</t>
        </is>
      </c>
      <c r="B126" s="10" t="inlineStr">
        <is>
          <t>Kitchenware</t>
        </is>
      </c>
      <c r="C126" s="10" t="inlineStr">
        <is>
          <t>Kitchen Tools</t>
        </is>
      </c>
      <c r="D126" s="10" t="inlineStr">
        <is>
          <t>10198154</t>
        </is>
      </c>
      <c r="E126" s="10" t="inlineStr">
        <is>
          <t>TANTA S/S LADLE</t>
        </is>
      </c>
      <c r="F126" s="10" t="n"/>
      <c r="G126" s="10" t="inlineStr">
        <is>
          <t>ALAT MASAK</t>
        </is>
      </c>
      <c r="H126" s="10" t="inlineStr">
        <is>
          <t>C1. KITCHEN TOOLS</t>
        </is>
      </c>
      <c r="I126" s="10" t="inlineStr">
        <is>
          <t>TANTA S/S</t>
        </is>
      </c>
      <c r="J126" s="10" t="n"/>
      <c r="K126" s="10" t="n"/>
      <c r="L126" s="11" t="inlineStr">
        <is>
          <t>GND-03</t>
        </is>
      </c>
      <c r="M126" s="11" t="n">
        <v>4</v>
      </c>
      <c r="N126" s="11" t="inlineStr">
        <is>
          <t>Gantungan</t>
        </is>
      </c>
      <c r="O126" s="12">
        <f>IF(L126="","",IFERROR(INDEX(DAFTAR_FIXTURE!$B$2:$B$51,MATCH(L126,DAFTAR_FIXTURE!$A$2:$A$51,0)),""))</f>
        <v/>
      </c>
      <c r="P126" s="12">
        <f>IF(AND($D126="",L126=""),"",IF(L126="",IF(AND(Q126="",V126=""),"Belum ditempatkan",""),IF(O126="","CEK ID FIXTURE tidak ada di DAFTAR_FIXTURE",IF(M126="","CEK ZONA NO kosong",IF(ISNA(MATCH(O126&amp;"|"&amp;M126,LAYOUT!$E$2:$E$80,0)),"CEK ZONA NO di luar layout",IF(N126&lt;&gt;INDEX(LAYOUT!$D$2:$D$80,MATCH(O126&amp;"|"&amp;M126,LAYOUT!$E$2:$E$80,0)),"CEK JENIS ZONA",IF($D126="","Zona STOCK",IF($E126="","CEK SKU DESCRIPTION kosong","OK"))))))))</f>
        <v/>
      </c>
      <c r="Q126" s="11" t="n"/>
      <c r="R126" s="11" t="n"/>
      <c r="S126" s="11" t="n"/>
      <c r="T126" s="12">
        <f>IF(Q126="","",IFERROR(INDEX(DAFTAR_FIXTURE!$B$2:$B$51,MATCH(Q126,DAFTAR_FIXTURE!$A$2:$A$51,0)),""))</f>
        <v/>
      </c>
      <c r="U126" s="12">
        <f>IF(Q126="","",IF(T126="","CEK ID FIXTURE tidak ada di DAFTAR_FIXTURE",IF(R126="","CEK ZONA NO kosong",IF(ISNA(MATCH(T126&amp;"|"&amp;R126,LAYOUT!$E$2:$E$80,0)),"CEK ZONA NO di luar layout",IF(S126&lt;&gt;INDEX(LAYOUT!$D$2:$D$80,MATCH(T126&amp;"|"&amp;R126,LAYOUT!$E$2:$E$80,0)),"CEK JENIS ZONA",IF($D126="","Zona STOCK",IF($E126="","CEK SKU DESCRIPTION kosong","OK")))))))</f>
        <v/>
      </c>
      <c r="V126" s="11" t="n"/>
      <c r="W126" s="11" t="n"/>
      <c r="X126" s="11" t="n"/>
      <c r="Y126" s="12">
        <f>IF(V126="","",IFERROR(INDEX(DAFTAR_FIXTURE!$B$2:$B$51,MATCH(V126,DAFTAR_FIXTURE!$A$2:$A$51,0)),""))</f>
        <v/>
      </c>
      <c r="Z126" s="12">
        <f>IF(V126="","",IF(Y126="","CEK ID FIXTURE tidak ada di DAFTAR_FIXTURE",IF(W126="","CEK ZONA NO kosong",IF(ISNA(MATCH(Y126&amp;"|"&amp;W126,LAYOUT!$E$2:$E$80,0)),"CEK ZONA NO di luar layout",IF(X126&lt;&gt;INDEX(LAYOUT!$D$2:$D$80,MATCH(Y126&amp;"|"&amp;W126,LAYOUT!$E$2:$E$80,0)),"CEK JENIS ZONA",IF($D126="","Zona STOCK",IF($E126="","CEK SKU DESCRIPTION kosong","OK")))))))</f>
        <v/>
      </c>
    </row>
    <row r="127">
      <c r="A127" s="10" t="inlineStr">
        <is>
          <t>Homeware</t>
        </is>
      </c>
      <c r="B127" s="10" t="inlineStr">
        <is>
          <t>Kitchenware</t>
        </is>
      </c>
      <c r="C127" s="10" t="inlineStr">
        <is>
          <t>Kitchen Tools</t>
        </is>
      </c>
      <c r="D127" s="10" t="inlineStr">
        <is>
          <t>10198156</t>
        </is>
      </c>
      <c r="E127" s="10" t="inlineStr">
        <is>
          <t>TANTA NYLON SLOTTED TURNER M</t>
        </is>
      </c>
      <c r="F127" s="10" t="n"/>
      <c r="G127" s="10" t="inlineStr">
        <is>
          <t>ALAT MASAK</t>
        </is>
      </c>
      <c r="H127" s="10" t="inlineStr">
        <is>
          <t>C1. KITCHEN TOOLS</t>
        </is>
      </c>
      <c r="I127" s="10" t="inlineStr">
        <is>
          <t>TANTA NYLON</t>
        </is>
      </c>
      <c r="J127" s="10" t="n"/>
      <c r="K127" s="10" t="n"/>
      <c r="L127" s="11" t="inlineStr">
        <is>
          <t>GND-03</t>
        </is>
      </c>
      <c r="M127" s="11" t="n">
        <v>4</v>
      </c>
      <c r="N127" s="11" t="inlineStr">
        <is>
          <t>Gantungan</t>
        </is>
      </c>
      <c r="O127" s="12">
        <f>IF(L127="","",IFERROR(INDEX(DAFTAR_FIXTURE!$B$2:$B$51,MATCH(L127,DAFTAR_FIXTURE!$A$2:$A$51,0)),""))</f>
        <v/>
      </c>
      <c r="P127" s="12">
        <f>IF(AND($D127="",L127=""),"",IF(L127="",IF(AND(Q127="",V127=""),"Belum ditempatkan",""),IF(O127="","CEK ID FIXTURE tidak ada di DAFTAR_FIXTURE",IF(M127="","CEK ZONA NO kosong",IF(ISNA(MATCH(O127&amp;"|"&amp;M127,LAYOUT!$E$2:$E$80,0)),"CEK ZONA NO di luar layout",IF(N127&lt;&gt;INDEX(LAYOUT!$D$2:$D$80,MATCH(O127&amp;"|"&amp;M127,LAYOUT!$E$2:$E$80,0)),"CEK JENIS ZONA",IF($D127="","Zona STOCK",IF($E127="","CEK SKU DESCRIPTION kosong","OK"))))))))</f>
        <v/>
      </c>
      <c r="Q127" s="11" t="n"/>
      <c r="R127" s="11" t="n"/>
      <c r="S127" s="11" t="n"/>
      <c r="T127" s="12">
        <f>IF(Q127="","",IFERROR(INDEX(DAFTAR_FIXTURE!$B$2:$B$51,MATCH(Q127,DAFTAR_FIXTURE!$A$2:$A$51,0)),""))</f>
        <v/>
      </c>
      <c r="U127" s="12">
        <f>IF(Q127="","",IF(T127="","CEK ID FIXTURE tidak ada di DAFTAR_FIXTURE",IF(R127="","CEK ZONA NO kosong",IF(ISNA(MATCH(T127&amp;"|"&amp;R127,LAYOUT!$E$2:$E$80,0)),"CEK ZONA NO di luar layout",IF(S127&lt;&gt;INDEX(LAYOUT!$D$2:$D$80,MATCH(T127&amp;"|"&amp;R127,LAYOUT!$E$2:$E$80,0)),"CEK JENIS ZONA",IF($D127="","Zona STOCK",IF($E127="","CEK SKU DESCRIPTION kosong","OK")))))))</f>
        <v/>
      </c>
      <c r="V127" s="11" t="n"/>
      <c r="W127" s="11" t="n"/>
      <c r="X127" s="11" t="n"/>
      <c r="Y127" s="12">
        <f>IF(V127="","",IFERROR(INDEX(DAFTAR_FIXTURE!$B$2:$B$51,MATCH(V127,DAFTAR_FIXTURE!$A$2:$A$51,0)),""))</f>
        <v/>
      </c>
      <c r="Z127" s="12">
        <f>IF(V127="","",IF(Y127="","CEK ID FIXTURE tidak ada di DAFTAR_FIXTURE",IF(W127="","CEK ZONA NO kosong",IF(ISNA(MATCH(Y127&amp;"|"&amp;W127,LAYOUT!$E$2:$E$80,0)),"CEK ZONA NO di luar layout",IF(X127&lt;&gt;INDEX(LAYOUT!$D$2:$D$80,MATCH(Y127&amp;"|"&amp;W127,LAYOUT!$E$2:$E$80,0)),"CEK JENIS ZONA",IF($D127="","Zona STOCK",IF($E127="","CEK SKU DESCRIPTION kosong","OK")))))))</f>
        <v/>
      </c>
    </row>
    <row r="128">
      <c r="A128" s="10" t="inlineStr">
        <is>
          <t>Homeware</t>
        </is>
      </c>
      <c r="B128" s="10" t="inlineStr">
        <is>
          <t>Kitchenware</t>
        </is>
      </c>
      <c r="C128" s="10" t="inlineStr">
        <is>
          <t>Kitchen Tools</t>
        </is>
      </c>
      <c r="D128" s="10" t="inlineStr">
        <is>
          <t>10198157</t>
        </is>
      </c>
      <c r="E128" s="10" t="inlineStr">
        <is>
          <t>TANTA NYLON SOLID TURNER L</t>
        </is>
      </c>
      <c r="F128" s="10" t="n"/>
      <c r="G128" s="10" t="inlineStr">
        <is>
          <t>ALAT MASAK</t>
        </is>
      </c>
      <c r="H128" s="10" t="inlineStr">
        <is>
          <t>C1. KITCHEN TOOLS</t>
        </is>
      </c>
      <c r="I128" s="10" t="inlineStr">
        <is>
          <t>TANTA NYLON</t>
        </is>
      </c>
      <c r="J128" s="10" t="n"/>
      <c r="K128" s="10" t="n"/>
      <c r="L128" s="11" t="inlineStr">
        <is>
          <t>GND-03</t>
        </is>
      </c>
      <c r="M128" s="11" t="n">
        <v>4</v>
      </c>
      <c r="N128" s="11" t="inlineStr">
        <is>
          <t>Gantungan</t>
        </is>
      </c>
      <c r="O128" s="12">
        <f>IF(L128="","",IFERROR(INDEX(DAFTAR_FIXTURE!$B$2:$B$51,MATCH(L128,DAFTAR_FIXTURE!$A$2:$A$51,0)),""))</f>
        <v/>
      </c>
      <c r="P128" s="12">
        <f>IF(AND($D128="",L128=""),"",IF(L128="",IF(AND(Q128="",V128=""),"Belum ditempatkan",""),IF(O128="","CEK ID FIXTURE tidak ada di DAFTAR_FIXTURE",IF(M128="","CEK ZONA NO kosong",IF(ISNA(MATCH(O128&amp;"|"&amp;M128,LAYOUT!$E$2:$E$80,0)),"CEK ZONA NO di luar layout",IF(N128&lt;&gt;INDEX(LAYOUT!$D$2:$D$80,MATCH(O128&amp;"|"&amp;M128,LAYOUT!$E$2:$E$80,0)),"CEK JENIS ZONA",IF($D128="","Zona STOCK",IF($E128="","CEK SKU DESCRIPTION kosong","OK"))))))))</f>
        <v/>
      </c>
      <c r="Q128" s="11" t="n"/>
      <c r="R128" s="11" t="n"/>
      <c r="S128" s="11" t="n"/>
      <c r="T128" s="12">
        <f>IF(Q128="","",IFERROR(INDEX(DAFTAR_FIXTURE!$B$2:$B$51,MATCH(Q128,DAFTAR_FIXTURE!$A$2:$A$51,0)),""))</f>
        <v/>
      </c>
      <c r="U128" s="12">
        <f>IF(Q128="","",IF(T128="","CEK ID FIXTURE tidak ada di DAFTAR_FIXTURE",IF(R128="","CEK ZONA NO kosong",IF(ISNA(MATCH(T128&amp;"|"&amp;R128,LAYOUT!$E$2:$E$80,0)),"CEK ZONA NO di luar layout",IF(S128&lt;&gt;INDEX(LAYOUT!$D$2:$D$80,MATCH(T128&amp;"|"&amp;R128,LAYOUT!$E$2:$E$80,0)),"CEK JENIS ZONA",IF($D128="","Zona STOCK",IF($E128="","CEK SKU DESCRIPTION kosong","OK")))))))</f>
        <v/>
      </c>
      <c r="V128" s="11" t="n"/>
      <c r="W128" s="11" t="n"/>
      <c r="X128" s="11" t="n"/>
      <c r="Y128" s="12">
        <f>IF(V128="","",IFERROR(INDEX(DAFTAR_FIXTURE!$B$2:$B$51,MATCH(V128,DAFTAR_FIXTURE!$A$2:$A$51,0)),""))</f>
        <v/>
      </c>
      <c r="Z128" s="12">
        <f>IF(V128="","",IF(Y128="","CEK ID FIXTURE tidak ada di DAFTAR_FIXTURE",IF(W128="","CEK ZONA NO kosong",IF(ISNA(MATCH(Y128&amp;"|"&amp;W128,LAYOUT!$E$2:$E$80,0)),"CEK ZONA NO di luar layout",IF(X128&lt;&gt;INDEX(LAYOUT!$D$2:$D$80,MATCH(Y128&amp;"|"&amp;W128,LAYOUT!$E$2:$E$80,0)),"CEK JENIS ZONA",IF($D128="","Zona STOCK",IF($E128="","CEK SKU DESCRIPTION kosong","OK")))))))</f>
        <v/>
      </c>
    </row>
    <row r="129">
      <c r="A129" s="10" t="inlineStr">
        <is>
          <t>Homeware</t>
        </is>
      </c>
      <c r="B129" s="10" t="inlineStr">
        <is>
          <t>Kitchenware</t>
        </is>
      </c>
      <c r="C129" s="10" t="inlineStr">
        <is>
          <t>Kitchen Tools</t>
        </is>
      </c>
      <c r="D129" s="10" t="inlineStr">
        <is>
          <t>10198159</t>
        </is>
      </c>
      <c r="E129" s="10" t="inlineStr">
        <is>
          <t>TANTA NYLON LADLE</t>
        </is>
      </c>
      <c r="F129" s="10" t="n"/>
      <c r="G129" s="10" t="inlineStr">
        <is>
          <t>ALAT MASAK</t>
        </is>
      </c>
      <c r="H129" s="10" t="inlineStr">
        <is>
          <t>C1. KITCHEN TOOLS</t>
        </is>
      </c>
      <c r="I129" s="10" t="inlineStr">
        <is>
          <t>TANTA NYLON</t>
        </is>
      </c>
      <c r="J129" s="10" t="n"/>
      <c r="K129" s="10" t="n"/>
      <c r="L129" s="11" t="inlineStr">
        <is>
          <t>GND-03</t>
        </is>
      </c>
      <c r="M129" s="11" t="n">
        <v>4</v>
      </c>
      <c r="N129" s="11" t="inlineStr">
        <is>
          <t>Gantungan</t>
        </is>
      </c>
      <c r="O129" s="12">
        <f>IF(L129="","",IFERROR(INDEX(DAFTAR_FIXTURE!$B$2:$B$51,MATCH(L129,DAFTAR_FIXTURE!$A$2:$A$51,0)),""))</f>
        <v/>
      </c>
      <c r="P129" s="12">
        <f>IF(AND($D129="",L129=""),"",IF(L129="",IF(AND(Q129="",V129=""),"Belum ditempatkan",""),IF(O129="","CEK ID FIXTURE tidak ada di DAFTAR_FIXTURE",IF(M129="","CEK ZONA NO kosong",IF(ISNA(MATCH(O129&amp;"|"&amp;M129,LAYOUT!$E$2:$E$80,0)),"CEK ZONA NO di luar layout",IF(N129&lt;&gt;INDEX(LAYOUT!$D$2:$D$80,MATCH(O129&amp;"|"&amp;M129,LAYOUT!$E$2:$E$80,0)),"CEK JENIS ZONA",IF($D129="","Zona STOCK",IF($E129="","CEK SKU DESCRIPTION kosong","OK"))))))))</f>
        <v/>
      </c>
      <c r="Q129" s="11" t="n"/>
      <c r="R129" s="11" t="n"/>
      <c r="S129" s="11" t="n"/>
      <c r="T129" s="12">
        <f>IF(Q129="","",IFERROR(INDEX(DAFTAR_FIXTURE!$B$2:$B$51,MATCH(Q129,DAFTAR_FIXTURE!$A$2:$A$51,0)),""))</f>
        <v/>
      </c>
      <c r="U129" s="12">
        <f>IF(Q129="","",IF(T129="","CEK ID FIXTURE tidak ada di DAFTAR_FIXTURE",IF(R129="","CEK ZONA NO kosong",IF(ISNA(MATCH(T129&amp;"|"&amp;R129,LAYOUT!$E$2:$E$80,0)),"CEK ZONA NO di luar layout",IF(S129&lt;&gt;INDEX(LAYOUT!$D$2:$D$80,MATCH(T129&amp;"|"&amp;R129,LAYOUT!$E$2:$E$80,0)),"CEK JENIS ZONA",IF($D129="","Zona STOCK",IF($E129="","CEK SKU DESCRIPTION kosong","OK")))))))</f>
        <v/>
      </c>
      <c r="V129" s="11" t="n"/>
      <c r="W129" s="11" t="n"/>
      <c r="X129" s="11" t="n"/>
      <c r="Y129" s="12">
        <f>IF(V129="","",IFERROR(INDEX(DAFTAR_FIXTURE!$B$2:$B$51,MATCH(V129,DAFTAR_FIXTURE!$A$2:$A$51,0)),""))</f>
        <v/>
      </c>
      <c r="Z129" s="12">
        <f>IF(V129="","",IF(Y129="","CEK ID FIXTURE tidak ada di DAFTAR_FIXTURE",IF(W129="","CEK ZONA NO kosong",IF(ISNA(MATCH(Y129&amp;"|"&amp;W129,LAYOUT!$E$2:$E$80,0)),"CEK ZONA NO di luar layout",IF(X129&lt;&gt;INDEX(LAYOUT!$D$2:$D$80,MATCH(Y129&amp;"|"&amp;W129,LAYOUT!$E$2:$E$80,0)),"CEK JENIS ZONA",IF($D129="","Zona STOCK",IF($E129="","CEK SKU DESCRIPTION kosong","OK")))))))</f>
        <v/>
      </c>
    </row>
    <row r="130">
      <c r="A130" s="10" t="inlineStr">
        <is>
          <t>Homeware</t>
        </is>
      </c>
      <c r="B130" s="10" t="inlineStr">
        <is>
          <t>Kitchenware</t>
        </is>
      </c>
      <c r="C130" s="10" t="inlineStr">
        <is>
          <t>Kitchen Tools</t>
        </is>
      </c>
      <c r="D130" s="10" t="inlineStr">
        <is>
          <t>10198160</t>
        </is>
      </c>
      <c r="E130" s="10" t="inlineStr">
        <is>
          <t>TANTA NYLON WHISK</t>
        </is>
      </c>
      <c r="F130" s="10" t="n"/>
      <c r="G130" s="10" t="inlineStr">
        <is>
          <t>ALAT MASAK</t>
        </is>
      </c>
      <c r="H130" s="10" t="inlineStr">
        <is>
          <t>C1. KITCHEN TOOLS</t>
        </is>
      </c>
      <c r="I130" s="10" t="inlineStr">
        <is>
          <t>TANTA NYLON</t>
        </is>
      </c>
      <c r="J130" s="10" t="n"/>
      <c r="K130" s="10" t="n"/>
      <c r="L130" s="11" t="inlineStr">
        <is>
          <t>GND-03</t>
        </is>
      </c>
      <c r="M130" s="11" t="n">
        <v>4</v>
      </c>
      <c r="N130" s="11" t="inlineStr">
        <is>
          <t>Gantungan</t>
        </is>
      </c>
      <c r="O130" s="12">
        <f>IF(L130="","",IFERROR(INDEX(DAFTAR_FIXTURE!$B$2:$B$51,MATCH(L130,DAFTAR_FIXTURE!$A$2:$A$51,0)),""))</f>
        <v/>
      </c>
      <c r="P130" s="12">
        <f>IF(AND($D130="",L130=""),"",IF(L130="",IF(AND(Q130="",V130=""),"Belum ditempatkan",""),IF(O130="","CEK ID FIXTURE tidak ada di DAFTAR_FIXTURE",IF(M130="","CEK ZONA NO kosong",IF(ISNA(MATCH(O130&amp;"|"&amp;M130,LAYOUT!$E$2:$E$80,0)),"CEK ZONA NO di luar layout",IF(N130&lt;&gt;INDEX(LAYOUT!$D$2:$D$80,MATCH(O130&amp;"|"&amp;M130,LAYOUT!$E$2:$E$80,0)),"CEK JENIS ZONA",IF($D130="","Zona STOCK",IF($E130="","CEK SKU DESCRIPTION kosong","OK"))))))))</f>
        <v/>
      </c>
      <c r="Q130" s="11" t="n"/>
      <c r="R130" s="11" t="n"/>
      <c r="S130" s="11" t="n"/>
      <c r="T130" s="12">
        <f>IF(Q130="","",IFERROR(INDEX(DAFTAR_FIXTURE!$B$2:$B$51,MATCH(Q130,DAFTAR_FIXTURE!$A$2:$A$51,0)),""))</f>
        <v/>
      </c>
      <c r="U130" s="12">
        <f>IF(Q130="","",IF(T130="","CEK ID FIXTURE tidak ada di DAFTAR_FIXTURE",IF(R130="","CEK ZONA NO kosong",IF(ISNA(MATCH(T130&amp;"|"&amp;R130,LAYOUT!$E$2:$E$80,0)),"CEK ZONA NO di luar layout",IF(S130&lt;&gt;INDEX(LAYOUT!$D$2:$D$80,MATCH(T130&amp;"|"&amp;R130,LAYOUT!$E$2:$E$80,0)),"CEK JENIS ZONA",IF($D130="","Zona STOCK",IF($E130="","CEK SKU DESCRIPTION kosong","OK")))))))</f>
        <v/>
      </c>
      <c r="V130" s="11" t="n"/>
      <c r="W130" s="11" t="n"/>
      <c r="X130" s="11" t="n"/>
      <c r="Y130" s="12">
        <f>IF(V130="","",IFERROR(INDEX(DAFTAR_FIXTURE!$B$2:$B$51,MATCH(V130,DAFTAR_FIXTURE!$A$2:$A$51,0)),""))</f>
        <v/>
      </c>
      <c r="Z130" s="12">
        <f>IF(V130="","",IF(Y130="","CEK ID FIXTURE tidak ada di DAFTAR_FIXTURE",IF(W130="","CEK ZONA NO kosong",IF(ISNA(MATCH(Y130&amp;"|"&amp;W130,LAYOUT!$E$2:$E$80,0)),"CEK ZONA NO di luar layout",IF(X130&lt;&gt;INDEX(LAYOUT!$D$2:$D$80,MATCH(Y130&amp;"|"&amp;W130,LAYOUT!$E$2:$E$80,0)),"CEK JENIS ZONA",IF($D130="","Zona STOCK",IF($E130="","CEK SKU DESCRIPTION kosong","OK")))))))</f>
        <v/>
      </c>
    </row>
    <row r="131">
      <c r="A131" s="10" t="inlineStr">
        <is>
          <t>Homeware</t>
        </is>
      </c>
      <c r="B131" s="10" t="inlineStr">
        <is>
          <t>Drinkware</t>
        </is>
      </c>
      <c r="C131" s="10" t="inlineStr">
        <is>
          <t>Cup &amp; Saucer</t>
        </is>
      </c>
      <c r="D131" s="10" t="inlineStr">
        <is>
          <t>238190</t>
        </is>
      </c>
      <c r="E131" s="10" t="inlineStr">
        <is>
          <t>CUP 100 CC W/SAUCER 12.5CM SIMPLE PLUS</t>
        </is>
      </c>
      <c r="F131" s="10" t="n"/>
      <c r="G131" s="10" t="n"/>
      <c r="H131" s="10" t="n"/>
      <c r="I131" s="10" t="n"/>
      <c r="J131" s="10" t="n"/>
      <c r="K131" s="10" t="n"/>
      <c r="L131" s="11" t="inlineStr">
        <is>
          <t>PLT-02</t>
        </is>
      </c>
      <c r="M131" s="11" t="n">
        <v>1</v>
      </c>
      <c r="N131" s="11" t="inlineStr">
        <is>
          <t>Rak</t>
        </is>
      </c>
      <c r="O131" s="12">
        <f>IF(L131="","",IFERROR(INDEX(DAFTAR_FIXTURE!$B$2:$B$51,MATCH(L131,DAFTAR_FIXTURE!$A$2:$A$51,0)),""))</f>
        <v/>
      </c>
      <c r="P131" s="12">
        <f>IF(AND($D131="",L131=""),"",IF(L131="",IF(AND(Q131="",V131=""),"Belum ditempatkan",""),IF(O131="","CEK ID FIXTURE tidak ada di DAFTAR_FIXTURE",IF(M131="","CEK ZONA NO kosong",IF(ISNA(MATCH(O131&amp;"|"&amp;M131,LAYOUT!$E$2:$E$80,0)),"CEK ZONA NO di luar layout",IF(N131&lt;&gt;INDEX(LAYOUT!$D$2:$D$80,MATCH(O131&amp;"|"&amp;M131,LAYOUT!$E$2:$E$80,0)),"CEK JENIS ZONA",IF($D131="","Zona STOCK",IF($E131="","CEK SKU DESCRIPTION kosong","OK"))))))))</f>
        <v/>
      </c>
      <c r="Q131" s="11" t="n"/>
      <c r="R131" s="11" t="n"/>
      <c r="S131" s="11" t="n"/>
      <c r="T131" s="12">
        <f>IF(Q131="","",IFERROR(INDEX(DAFTAR_FIXTURE!$B$2:$B$51,MATCH(Q131,DAFTAR_FIXTURE!$A$2:$A$51,0)),""))</f>
        <v/>
      </c>
      <c r="U131" s="12">
        <f>IF(Q131="","",IF(T131="","CEK ID FIXTURE tidak ada di DAFTAR_FIXTURE",IF(R131="","CEK ZONA NO kosong",IF(ISNA(MATCH(T131&amp;"|"&amp;R131,LAYOUT!$E$2:$E$80,0)),"CEK ZONA NO di luar layout",IF(S131&lt;&gt;INDEX(LAYOUT!$D$2:$D$80,MATCH(T131&amp;"|"&amp;R131,LAYOUT!$E$2:$E$80,0)),"CEK JENIS ZONA",IF($D131="","Zona STOCK",IF($E131="","CEK SKU DESCRIPTION kosong","OK")))))))</f>
        <v/>
      </c>
      <c r="V131" s="11" t="n"/>
      <c r="W131" s="11" t="n"/>
      <c r="X131" s="11" t="n"/>
      <c r="Y131" s="12">
        <f>IF(V131="","",IFERROR(INDEX(DAFTAR_FIXTURE!$B$2:$B$51,MATCH(V131,DAFTAR_FIXTURE!$A$2:$A$51,0)),""))</f>
        <v/>
      </c>
      <c r="Z131" s="12">
        <f>IF(V131="","",IF(Y131="","CEK ID FIXTURE tidak ada di DAFTAR_FIXTURE",IF(W131="","CEK ZONA NO kosong",IF(ISNA(MATCH(Y131&amp;"|"&amp;W131,LAYOUT!$E$2:$E$80,0)),"CEK ZONA NO di luar layout",IF(X131&lt;&gt;INDEX(LAYOUT!$D$2:$D$80,MATCH(Y131&amp;"|"&amp;W131,LAYOUT!$E$2:$E$80,0)),"CEK JENIS ZONA",IF($D131="","Zona STOCK",IF($E131="","CEK SKU DESCRIPTION kosong","OK")))))))</f>
        <v/>
      </c>
    </row>
    <row r="132">
      <c r="A132" s="10" t="inlineStr">
        <is>
          <t>Homeware</t>
        </is>
      </c>
      <c r="B132" s="10" t="inlineStr">
        <is>
          <t>Drinkware</t>
        </is>
      </c>
      <c r="C132" s="10" t="inlineStr">
        <is>
          <t>Cup &amp; Saucer</t>
        </is>
      </c>
      <c r="D132" s="10" t="inlineStr">
        <is>
          <t>238191</t>
        </is>
      </c>
      <c r="E132" s="10" t="inlineStr">
        <is>
          <t>CUP 200 CC W/SAUCER 15.5CM SIMPLE PLUS</t>
        </is>
      </c>
      <c r="F132" s="10" t="n"/>
      <c r="G132" s="10" t="n"/>
      <c r="H132" s="10" t="n"/>
      <c r="I132" s="10" t="n"/>
      <c r="J132" s="10" t="n"/>
      <c r="K132" s="10" t="n"/>
      <c r="L132" s="11" t="inlineStr">
        <is>
          <t>PLT-02</t>
        </is>
      </c>
      <c r="M132" s="11" t="n">
        <v>1</v>
      </c>
      <c r="N132" s="11" t="inlineStr">
        <is>
          <t>Rak</t>
        </is>
      </c>
      <c r="O132" s="12">
        <f>IF(L132="","",IFERROR(INDEX(DAFTAR_FIXTURE!$B$2:$B$51,MATCH(L132,DAFTAR_FIXTURE!$A$2:$A$51,0)),""))</f>
        <v/>
      </c>
      <c r="P132" s="12">
        <f>IF(AND($D132="",L132=""),"",IF(L132="",IF(AND(Q132="",V132=""),"Belum ditempatkan",""),IF(O132="","CEK ID FIXTURE tidak ada di DAFTAR_FIXTURE",IF(M132="","CEK ZONA NO kosong",IF(ISNA(MATCH(O132&amp;"|"&amp;M132,LAYOUT!$E$2:$E$80,0)),"CEK ZONA NO di luar layout",IF(N132&lt;&gt;INDEX(LAYOUT!$D$2:$D$80,MATCH(O132&amp;"|"&amp;M132,LAYOUT!$E$2:$E$80,0)),"CEK JENIS ZONA",IF($D132="","Zona STOCK",IF($E132="","CEK SKU DESCRIPTION kosong","OK"))))))))</f>
        <v/>
      </c>
      <c r="Q132" s="11" t="n"/>
      <c r="R132" s="11" t="n"/>
      <c r="S132" s="11" t="n"/>
      <c r="T132" s="12">
        <f>IF(Q132="","",IFERROR(INDEX(DAFTAR_FIXTURE!$B$2:$B$51,MATCH(Q132,DAFTAR_FIXTURE!$A$2:$A$51,0)),""))</f>
        <v/>
      </c>
      <c r="U132" s="12">
        <f>IF(Q132="","",IF(T132="","CEK ID FIXTURE tidak ada di DAFTAR_FIXTURE",IF(R132="","CEK ZONA NO kosong",IF(ISNA(MATCH(T132&amp;"|"&amp;R132,LAYOUT!$E$2:$E$80,0)),"CEK ZONA NO di luar layout",IF(S132&lt;&gt;INDEX(LAYOUT!$D$2:$D$80,MATCH(T132&amp;"|"&amp;R132,LAYOUT!$E$2:$E$80,0)),"CEK JENIS ZONA",IF($D132="","Zona STOCK",IF($E132="","CEK SKU DESCRIPTION kosong","OK")))))))</f>
        <v/>
      </c>
      <c r="V132" s="11" t="n"/>
      <c r="W132" s="11" t="n"/>
      <c r="X132" s="11" t="n"/>
      <c r="Y132" s="12">
        <f>IF(V132="","",IFERROR(INDEX(DAFTAR_FIXTURE!$B$2:$B$51,MATCH(V132,DAFTAR_FIXTURE!$A$2:$A$51,0)),""))</f>
        <v/>
      </c>
      <c r="Z132" s="12">
        <f>IF(V132="","",IF(Y132="","CEK ID FIXTURE tidak ada di DAFTAR_FIXTURE",IF(W132="","CEK ZONA NO kosong",IF(ISNA(MATCH(Y132&amp;"|"&amp;W132,LAYOUT!$E$2:$E$80,0)),"CEK ZONA NO di luar layout",IF(X132&lt;&gt;INDEX(LAYOUT!$D$2:$D$80,MATCH(Y132&amp;"|"&amp;W132,LAYOUT!$E$2:$E$80,0)),"CEK JENIS ZONA",IF($D132="","Zona STOCK",IF($E132="","CEK SKU DESCRIPTION kosong","OK")))))))</f>
        <v/>
      </c>
    </row>
    <row r="133">
      <c r="A133" s="10" t="inlineStr">
        <is>
          <t>Homeware</t>
        </is>
      </c>
      <c r="B133" s="10" t="inlineStr">
        <is>
          <t>Tableware</t>
        </is>
      </c>
      <c r="C133" s="10" t="inlineStr">
        <is>
          <t>Plates &amp; Bowls</t>
        </is>
      </c>
      <c r="D133" s="10" t="inlineStr">
        <is>
          <t>238181</t>
        </is>
      </c>
      <c r="E133" s="10" t="inlineStr">
        <is>
          <t>COUPE PLATE 16 CM SIMPLE PLUS</t>
        </is>
      </c>
      <c r="F133" s="10" t="n"/>
      <c r="G133" s="10" t="n"/>
      <c r="H133" s="10" t="n"/>
      <c r="I133" s="10" t="n"/>
      <c r="J133" s="10" t="n"/>
      <c r="K133" s="10" t="n"/>
      <c r="L133" s="11" t="inlineStr">
        <is>
          <t>PLT-02</t>
        </is>
      </c>
      <c r="M133" s="11" t="n">
        <v>1</v>
      </c>
      <c r="N133" s="11" t="inlineStr">
        <is>
          <t>Rak</t>
        </is>
      </c>
      <c r="O133" s="12">
        <f>IF(L133="","",IFERROR(INDEX(DAFTAR_FIXTURE!$B$2:$B$51,MATCH(L133,DAFTAR_FIXTURE!$A$2:$A$51,0)),""))</f>
        <v/>
      </c>
      <c r="P133" s="12">
        <f>IF(AND($D133="",L133=""),"",IF(L133="",IF(AND(Q133="",V133=""),"Belum ditempatkan",""),IF(O133="","CEK ID FIXTURE tidak ada di DAFTAR_FIXTURE",IF(M133="","CEK ZONA NO kosong",IF(ISNA(MATCH(O133&amp;"|"&amp;M133,LAYOUT!$E$2:$E$80,0)),"CEK ZONA NO di luar layout",IF(N133&lt;&gt;INDEX(LAYOUT!$D$2:$D$80,MATCH(O133&amp;"|"&amp;M133,LAYOUT!$E$2:$E$80,0)),"CEK JENIS ZONA",IF($D133="","Zona STOCK",IF($E133="","CEK SKU DESCRIPTION kosong","OK"))))))))</f>
        <v/>
      </c>
      <c r="Q133" s="11" t="n"/>
      <c r="R133" s="11" t="n"/>
      <c r="S133" s="11" t="n"/>
      <c r="T133" s="12">
        <f>IF(Q133="","",IFERROR(INDEX(DAFTAR_FIXTURE!$B$2:$B$51,MATCH(Q133,DAFTAR_FIXTURE!$A$2:$A$51,0)),""))</f>
        <v/>
      </c>
      <c r="U133" s="12">
        <f>IF(Q133="","",IF(T133="","CEK ID FIXTURE tidak ada di DAFTAR_FIXTURE",IF(R133="","CEK ZONA NO kosong",IF(ISNA(MATCH(T133&amp;"|"&amp;R133,LAYOUT!$E$2:$E$80,0)),"CEK ZONA NO di luar layout",IF(S133&lt;&gt;INDEX(LAYOUT!$D$2:$D$80,MATCH(T133&amp;"|"&amp;R133,LAYOUT!$E$2:$E$80,0)),"CEK JENIS ZONA",IF($D133="","Zona STOCK",IF($E133="","CEK SKU DESCRIPTION kosong","OK")))))))</f>
        <v/>
      </c>
      <c r="V133" s="11" t="n"/>
      <c r="W133" s="11" t="n"/>
      <c r="X133" s="11" t="n"/>
      <c r="Y133" s="12">
        <f>IF(V133="","",IFERROR(INDEX(DAFTAR_FIXTURE!$B$2:$B$51,MATCH(V133,DAFTAR_FIXTURE!$A$2:$A$51,0)),""))</f>
        <v/>
      </c>
      <c r="Z133" s="12">
        <f>IF(V133="","",IF(Y133="","CEK ID FIXTURE tidak ada di DAFTAR_FIXTURE",IF(W133="","CEK ZONA NO kosong",IF(ISNA(MATCH(Y133&amp;"|"&amp;W133,LAYOUT!$E$2:$E$80,0)),"CEK ZONA NO di luar layout",IF(X133&lt;&gt;INDEX(LAYOUT!$D$2:$D$80,MATCH(Y133&amp;"|"&amp;W133,LAYOUT!$E$2:$E$80,0)),"CEK JENIS ZONA",IF($D133="","Zona STOCK",IF($E133="","CEK SKU DESCRIPTION kosong","OK")))))))</f>
        <v/>
      </c>
    </row>
    <row r="134">
      <c r="A134" s="10" t="inlineStr">
        <is>
          <t>Homeware</t>
        </is>
      </c>
      <c r="B134" s="10" t="inlineStr">
        <is>
          <t>Tableware</t>
        </is>
      </c>
      <c r="C134" s="10" t="inlineStr">
        <is>
          <t>Plates &amp; Bowls</t>
        </is>
      </c>
      <c r="D134" s="10" t="inlineStr">
        <is>
          <t>238182</t>
        </is>
      </c>
      <c r="E134" s="10" t="inlineStr">
        <is>
          <t>COUPLE PLATE 27CM SIMPLE PLUS</t>
        </is>
      </c>
      <c r="F134" s="10" t="n"/>
      <c r="G134" s="10" t="n"/>
      <c r="H134" s="10" t="n"/>
      <c r="I134" s="10" t="n"/>
      <c r="J134" s="10" t="n"/>
      <c r="K134" s="10" t="n"/>
      <c r="L134" s="11" t="inlineStr">
        <is>
          <t>PLT-02</t>
        </is>
      </c>
      <c r="M134" s="11" t="n">
        <v>1</v>
      </c>
      <c r="N134" s="11" t="inlineStr">
        <is>
          <t>Rak</t>
        </is>
      </c>
      <c r="O134" s="12">
        <f>IF(L134="","",IFERROR(INDEX(DAFTAR_FIXTURE!$B$2:$B$51,MATCH(L134,DAFTAR_FIXTURE!$A$2:$A$51,0)),""))</f>
        <v/>
      </c>
      <c r="P134" s="12">
        <f>IF(AND($D134="",L134=""),"",IF(L134="",IF(AND(Q134="",V134=""),"Belum ditempatkan",""),IF(O134="","CEK ID FIXTURE tidak ada di DAFTAR_FIXTURE",IF(M134="","CEK ZONA NO kosong",IF(ISNA(MATCH(O134&amp;"|"&amp;M134,LAYOUT!$E$2:$E$80,0)),"CEK ZONA NO di luar layout",IF(N134&lt;&gt;INDEX(LAYOUT!$D$2:$D$80,MATCH(O134&amp;"|"&amp;M134,LAYOUT!$E$2:$E$80,0)),"CEK JENIS ZONA",IF($D134="","Zona STOCK",IF($E134="","CEK SKU DESCRIPTION kosong","OK"))))))))</f>
        <v/>
      </c>
      <c r="Q134" s="11" t="n"/>
      <c r="R134" s="11" t="n"/>
      <c r="S134" s="11" t="n"/>
      <c r="T134" s="12">
        <f>IF(Q134="","",IFERROR(INDEX(DAFTAR_FIXTURE!$B$2:$B$51,MATCH(Q134,DAFTAR_FIXTURE!$A$2:$A$51,0)),""))</f>
        <v/>
      </c>
      <c r="U134" s="12">
        <f>IF(Q134="","",IF(T134="","CEK ID FIXTURE tidak ada di DAFTAR_FIXTURE",IF(R134="","CEK ZONA NO kosong",IF(ISNA(MATCH(T134&amp;"|"&amp;R134,LAYOUT!$E$2:$E$80,0)),"CEK ZONA NO di luar layout",IF(S134&lt;&gt;INDEX(LAYOUT!$D$2:$D$80,MATCH(T134&amp;"|"&amp;R134,LAYOUT!$E$2:$E$80,0)),"CEK JENIS ZONA",IF($D134="","Zona STOCK",IF($E134="","CEK SKU DESCRIPTION kosong","OK")))))))</f>
        <v/>
      </c>
      <c r="V134" s="11" t="n"/>
      <c r="W134" s="11" t="n"/>
      <c r="X134" s="11" t="n"/>
      <c r="Y134" s="12">
        <f>IF(V134="","",IFERROR(INDEX(DAFTAR_FIXTURE!$B$2:$B$51,MATCH(V134,DAFTAR_FIXTURE!$A$2:$A$51,0)),""))</f>
        <v/>
      </c>
      <c r="Z134" s="12">
        <f>IF(V134="","",IF(Y134="","CEK ID FIXTURE tidak ada di DAFTAR_FIXTURE",IF(W134="","CEK ZONA NO kosong",IF(ISNA(MATCH(Y134&amp;"|"&amp;W134,LAYOUT!$E$2:$E$80,0)),"CEK ZONA NO di luar layout",IF(X134&lt;&gt;INDEX(LAYOUT!$D$2:$D$80,MATCH(Y134&amp;"|"&amp;W134,LAYOUT!$E$2:$E$80,0)),"CEK JENIS ZONA",IF($D134="","Zona STOCK",IF($E134="","CEK SKU DESCRIPTION kosong","OK")))))))</f>
        <v/>
      </c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>
        <f>IF(L135="","",IFERROR(INDEX(DAFTAR_FIXTURE!$B$2:$B$51,MATCH(L135,DAFTAR_FIXTURE!$A$2:$A$51,0)),""))</f>
        <v/>
      </c>
      <c r="P135" s="12">
        <f>IF(AND($D135="",L135=""),"",IF(L135="",IF(AND(Q135="",V135=""),"Belum ditempatkan",""),IF(O135="","CEK ID FIXTURE tidak ada di DAFTAR_FIXTURE",IF(M135="","CEK ZONA NO kosong",IF(ISNA(MATCH(O135&amp;"|"&amp;M135,LAYOUT!$E$2:$E$80,0)),"CEK ZONA NO di luar layout",IF(N135&lt;&gt;INDEX(LAYOUT!$D$2:$D$80,MATCH(O135&amp;"|"&amp;M135,LAYOUT!$E$2:$E$80,0)),"CEK JENIS ZONA",IF($D135="","Zona STOCK",IF($E135="","CEK SKU DESCRIPTION kosong","OK"))))))))</f>
        <v/>
      </c>
      <c r="Q135" s="11" t="n"/>
      <c r="R135" s="11" t="n"/>
      <c r="S135" s="11" t="n"/>
      <c r="T135" s="12">
        <f>IF(Q135="","",IFERROR(INDEX(DAFTAR_FIXTURE!$B$2:$B$51,MATCH(Q135,DAFTAR_FIXTURE!$A$2:$A$51,0)),""))</f>
        <v/>
      </c>
      <c r="U135" s="12">
        <f>IF(Q135="","",IF(T135="","CEK ID FIXTURE tidak ada di DAFTAR_FIXTURE",IF(R135="","CEK ZONA NO kosong",IF(ISNA(MATCH(T135&amp;"|"&amp;R135,LAYOUT!$E$2:$E$80,0)),"CEK ZONA NO di luar layout",IF(S135&lt;&gt;INDEX(LAYOUT!$D$2:$D$80,MATCH(T135&amp;"|"&amp;R135,LAYOUT!$E$2:$E$80,0)),"CEK JENIS ZONA",IF($D135="","Zona STOCK",IF($E135="","CEK SKU DESCRIPTION kosong","OK")))))))</f>
        <v/>
      </c>
      <c r="V135" s="11" t="n"/>
      <c r="W135" s="11" t="n"/>
      <c r="X135" s="11" t="n"/>
      <c r="Y135" s="12">
        <f>IF(V135="","",IFERROR(INDEX(DAFTAR_FIXTURE!$B$2:$B$51,MATCH(V135,DAFTAR_FIXTURE!$A$2:$A$51,0)),""))</f>
        <v/>
      </c>
      <c r="Z135" s="12">
        <f>IF(V135="","",IF(Y135="","CEK ID FIXTURE tidak ada di DAFTAR_FIXTURE",IF(W135="","CEK ZONA NO kosong",IF(ISNA(MATCH(Y135&amp;"|"&amp;W135,LAYOUT!$E$2:$E$80,0)),"CEK ZONA NO di luar layout",IF(X135&lt;&gt;INDEX(LAYOUT!$D$2:$D$80,MATCH(Y135&amp;"|"&amp;W135,LAYOUT!$E$2:$E$80,0)),"CEK JENIS ZONA",IF($D135="","Zona STOCK",IF($E135="","CEK SKU DESCRIPTION kosong","OK")))))))</f>
        <v/>
      </c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1" t="n"/>
      <c r="M136" s="11" t="n"/>
      <c r="N136" s="11" t="n"/>
      <c r="O136" s="12">
        <f>IF(L136="","",IFERROR(INDEX(DAFTAR_FIXTURE!$B$2:$B$51,MATCH(L136,DAFTAR_FIXTURE!$A$2:$A$51,0)),""))</f>
        <v/>
      </c>
      <c r="P136" s="12">
        <f>IF(AND($D136="",L136=""),"",IF(L136="",IF(AND(Q136="",V136=""),"Belum ditempatkan",""),IF(O136="","CEK ID FIXTURE tidak ada di DAFTAR_FIXTURE",IF(M136="","CEK ZONA NO kosong",IF(ISNA(MATCH(O136&amp;"|"&amp;M136,LAYOUT!$E$2:$E$80,0)),"CEK ZONA NO di luar layout",IF(N136&lt;&gt;INDEX(LAYOUT!$D$2:$D$80,MATCH(O136&amp;"|"&amp;M136,LAYOUT!$E$2:$E$80,0)),"CEK JENIS ZONA",IF($D136="","Zona STOCK",IF($E136="","CEK SKU DESCRIPTION kosong","OK"))))))))</f>
        <v/>
      </c>
      <c r="Q136" s="11" t="n"/>
      <c r="R136" s="11" t="n"/>
      <c r="S136" s="11" t="n"/>
      <c r="T136" s="12">
        <f>IF(Q136="","",IFERROR(INDEX(DAFTAR_FIXTURE!$B$2:$B$51,MATCH(Q136,DAFTAR_FIXTURE!$A$2:$A$51,0)),""))</f>
        <v/>
      </c>
      <c r="U136" s="12">
        <f>IF(Q136="","",IF(T136="","CEK ID FIXTURE tidak ada di DAFTAR_FIXTURE",IF(R136="","CEK ZONA NO kosong",IF(ISNA(MATCH(T136&amp;"|"&amp;R136,LAYOUT!$E$2:$E$80,0)),"CEK ZONA NO di luar layout",IF(S136&lt;&gt;INDEX(LAYOUT!$D$2:$D$80,MATCH(T136&amp;"|"&amp;R136,LAYOUT!$E$2:$E$80,0)),"CEK JENIS ZONA",IF($D136="","Zona STOCK",IF($E136="","CEK SKU DESCRIPTION kosong","OK")))))))</f>
        <v/>
      </c>
      <c r="V136" s="11" t="n"/>
      <c r="W136" s="11" t="n"/>
      <c r="X136" s="11" t="n"/>
      <c r="Y136" s="12">
        <f>IF(V136="","",IFERROR(INDEX(DAFTAR_FIXTURE!$B$2:$B$51,MATCH(V136,DAFTAR_FIXTURE!$A$2:$A$51,0)),""))</f>
        <v/>
      </c>
      <c r="Z136" s="12">
        <f>IF(V136="","",IF(Y136="","CEK ID FIXTURE tidak ada di DAFTAR_FIXTURE",IF(W136="","CEK ZONA NO kosong",IF(ISNA(MATCH(Y136&amp;"|"&amp;W136,LAYOUT!$E$2:$E$80,0)),"CEK ZONA NO di luar layout",IF(X136&lt;&gt;INDEX(LAYOUT!$D$2:$D$80,MATCH(Y136&amp;"|"&amp;W136,LAYOUT!$E$2:$E$80,0)),"CEK JENIS ZONA",IF($D136="","Zona STOCK",IF($E136="","CEK SKU DESCRIPTION kosong","OK")))))))</f>
        <v/>
      </c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1" t="n"/>
      <c r="M137" s="11" t="n"/>
      <c r="N137" s="11" t="n"/>
      <c r="O137" s="12">
        <f>IF(L137="","",IFERROR(INDEX(DAFTAR_FIXTURE!$B$2:$B$51,MATCH(L137,DAFTAR_FIXTURE!$A$2:$A$51,0)),""))</f>
        <v/>
      </c>
      <c r="P137" s="12">
        <f>IF(AND($D137="",L137=""),"",IF(L137="",IF(AND(Q137="",V137=""),"Belum ditempatkan",""),IF(O137="","CEK ID FIXTURE tidak ada di DAFTAR_FIXTURE",IF(M137="","CEK ZONA NO kosong",IF(ISNA(MATCH(O137&amp;"|"&amp;M137,LAYOUT!$E$2:$E$80,0)),"CEK ZONA NO di luar layout",IF(N137&lt;&gt;INDEX(LAYOUT!$D$2:$D$80,MATCH(O137&amp;"|"&amp;M137,LAYOUT!$E$2:$E$80,0)),"CEK JENIS ZONA",IF($D137="","Zona STOCK",IF($E137="","CEK SKU DESCRIPTION kosong","OK"))))))))</f>
        <v/>
      </c>
      <c r="Q137" s="11" t="n"/>
      <c r="R137" s="11" t="n"/>
      <c r="S137" s="11" t="n"/>
      <c r="T137" s="12">
        <f>IF(Q137="","",IFERROR(INDEX(DAFTAR_FIXTURE!$B$2:$B$51,MATCH(Q137,DAFTAR_FIXTURE!$A$2:$A$51,0)),""))</f>
        <v/>
      </c>
      <c r="U137" s="12">
        <f>IF(Q137="","",IF(T137="","CEK ID FIXTURE tidak ada di DAFTAR_FIXTURE",IF(R137="","CEK ZONA NO kosong",IF(ISNA(MATCH(T137&amp;"|"&amp;R137,LAYOUT!$E$2:$E$80,0)),"CEK ZONA NO di luar layout",IF(S137&lt;&gt;INDEX(LAYOUT!$D$2:$D$80,MATCH(T137&amp;"|"&amp;R137,LAYOUT!$E$2:$E$80,0)),"CEK JENIS ZONA",IF($D137="","Zona STOCK",IF($E137="","CEK SKU DESCRIPTION kosong","OK")))))))</f>
        <v/>
      </c>
      <c r="V137" s="11" t="n"/>
      <c r="W137" s="11" t="n"/>
      <c r="X137" s="11" t="n"/>
      <c r="Y137" s="12">
        <f>IF(V137="","",IFERROR(INDEX(DAFTAR_FIXTURE!$B$2:$B$51,MATCH(V137,DAFTAR_FIXTURE!$A$2:$A$51,0)),""))</f>
        <v/>
      </c>
      <c r="Z137" s="12">
        <f>IF(V137="","",IF(Y137="","CEK ID FIXTURE tidak ada di DAFTAR_FIXTURE",IF(W137="","CEK ZONA NO kosong",IF(ISNA(MATCH(Y137&amp;"|"&amp;W137,LAYOUT!$E$2:$E$80,0)),"CEK ZONA NO di luar layout",IF(X137&lt;&gt;INDEX(LAYOUT!$D$2:$D$80,MATCH(Y137&amp;"|"&amp;W137,LAYOUT!$E$2:$E$80,0)),"CEK JENIS ZONA",IF($D137="","Zona STOCK",IF($E137="","CEK SKU DESCRIPTION kosong","OK")))))))</f>
        <v/>
      </c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1" t="n"/>
      <c r="M138" s="11" t="n"/>
      <c r="N138" s="11" t="n"/>
      <c r="O138" s="12">
        <f>IF(L138="","",IFERROR(INDEX(DAFTAR_FIXTURE!$B$2:$B$51,MATCH(L138,DAFTAR_FIXTURE!$A$2:$A$51,0)),""))</f>
        <v/>
      </c>
      <c r="P138" s="12">
        <f>IF(AND($D138="",L138=""),"",IF(L138="",IF(AND(Q138="",V138=""),"Belum ditempatkan",""),IF(O138="","CEK ID FIXTURE tidak ada di DAFTAR_FIXTURE",IF(M138="","CEK ZONA NO kosong",IF(ISNA(MATCH(O138&amp;"|"&amp;M138,LAYOUT!$E$2:$E$80,0)),"CEK ZONA NO di luar layout",IF(N138&lt;&gt;INDEX(LAYOUT!$D$2:$D$80,MATCH(O138&amp;"|"&amp;M138,LAYOUT!$E$2:$E$80,0)),"CEK JENIS ZONA",IF($D138="","Zona STOCK",IF($E138="","CEK SKU DESCRIPTION kosong","OK"))))))))</f>
        <v/>
      </c>
      <c r="Q138" s="11" t="n"/>
      <c r="R138" s="11" t="n"/>
      <c r="S138" s="11" t="n"/>
      <c r="T138" s="12">
        <f>IF(Q138="","",IFERROR(INDEX(DAFTAR_FIXTURE!$B$2:$B$51,MATCH(Q138,DAFTAR_FIXTURE!$A$2:$A$51,0)),""))</f>
        <v/>
      </c>
      <c r="U138" s="12">
        <f>IF(Q138="","",IF(T138="","CEK ID FIXTURE tidak ada di DAFTAR_FIXTURE",IF(R138="","CEK ZONA NO kosong",IF(ISNA(MATCH(T138&amp;"|"&amp;R138,LAYOUT!$E$2:$E$80,0)),"CEK ZONA NO di luar layout",IF(S138&lt;&gt;INDEX(LAYOUT!$D$2:$D$80,MATCH(T138&amp;"|"&amp;R138,LAYOUT!$E$2:$E$80,0)),"CEK JENIS ZONA",IF($D138="","Zona STOCK",IF($E138="","CEK SKU DESCRIPTION kosong","OK")))))))</f>
        <v/>
      </c>
      <c r="V138" s="11" t="n"/>
      <c r="W138" s="11" t="n"/>
      <c r="X138" s="11" t="n"/>
      <c r="Y138" s="12">
        <f>IF(V138="","",IFERROR(INDEX(DAFTAR_FIXTURE!$B$2:$B$51,MATCH(V138,DAFTAR_FIXTURE!$A$2:$A$51,0)),""))</f>
        <v/>
      </c>
      <c r="Z138" s="12">
        <f>IF(V138="","",IF(Y138="","CEK ID FIXTURE tidak ada di DAFTAR_FIXTURE",IF(W138="","CEK ZONA NO kosong",IF(ISNA(MATCH(Y138&amp;"|"&amp;W138,LAYOUT!$E$2:$E$80,0)),"CEK ZONA NO di luar layout",IF(X138&lt;&gt;INDEX(LAYOUT!$D$2:$D$80,MATCH(Y138&amp;"|"&amp;W138,LAYOUT!$E$2:$E$80,0)),"CEK JENIS ZONA",IF($D138="","Zona STOCK",IF($E138="","CEK SKU DESCRIPTION kosong","OK")))))))</f>
        <v/>
      </c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1" t="n"/>
      <c r="M139" s="11" t="n"/>
      <c r="N139" s="11" t="n"/>
      <c r="O139" s="12">
        <f>IF(L139="","",IFERROR(INDEX(DAFTAR_FIXTURE!$B$2:$B$51,MATCH(L139,DAFTAR_FIXTURE!$A$2:$A$51,0)),""))</f>
        <v/>
      </c>
      <c r="P139" s="12">
        <f>IF(AND($D139="",L139=""),"",IF(L139="",IF(AND(Q139="",V139=""),"Belum ditempatkan",""),IF(O139="","CEK ID FIXTURE tidak ada di DAFTAR_FIXTURE",IF(M139="","CEK ZONA NO kosong",IF(ISNA(MATCH(O139&amp;"|"&amp;M139,LAYOUT!$E$2:$E$80,0)),"CEK ZONA NO di luar layout",IF(N139&lt;&gt;INDEX(LAYOUT!$D$2:$D$80,MATCH(O139&amp;"|"&amp;M139,LAYOUT!$E$2:$E$80,0)),"CEK JENIS ZONA",IF($D139="","Zona STOCK",IF($E139="","CEK SKU DESCRIPTION kosong","OK"))))))))</f>
        <v/>
      </c>
      <c r="Q139" s="11" t="n"/>
      <c r="R139" s="11" t="n"/>
      <c r="S139" s="11" t="n"/>
      <c r="T139" s="12">
        <f>IF(Q139="","",IFERROR(INDEX(DAFTAR_FIXTURE!$B$2:$B$51,MATCH(Q139,DAFTAR_FIXTURE!$A$2:$A$51,0)),""))</f>
        <v/>
      </c>
      <c r="U139" s="12">
        <f>IF(Q139="","",IF(T139="","CEK ID FIXTURE tidak ada di DAFTAR_FIXTURE",IF(R139="","CEK ZONA NO kosong",IF(ISNA(MATCH(T139&amp;"|"&amp;R139,LAYOUT!$E$2:$E$80,0)),"CEK ZONA NO di luar layout",IF(S139&lt;&gt;INDEX(LAYOUT!$D$2:$D$80,MATCH(T139&amp;"|"&amp;R139,LAYOUT!$E$2:$E$80,0)),"CEK JENIS ZONA",IF($D139="","Zona STOCK",IF($E139="","CEK SKU DESCRIPTION kosong","OK")))))))</f>
        <v/>
      </c>
      <c r="V139" s="11" t="n"/>
      <c r="W139" s="11" t="n"/>
      <c r="X139" s="11" t="n"/>
      <c r="Y139" s="12">
        <f>IF(V139="","",IFERROR(INDEX(DAFTAR_FIXTURE!$B$2:$B$51,MATCH(V139,DAFTAR_FIXTURE!$A$2:$A$51,0)),""))</f>
        <v/>
      </c>
      <c r="Z139" s="12">
        <f>IF(V139="","",IF(Y139="","CEK ID FIXTURE tidak ada di DAFTAR_FIXTURE",IF(W139="","CEK ZONA NO kosong",IF(ISNA(MATCH(Y139&amp;"|"&amp;W139,LAYOUT!$E$2:$E$80,0)),"CEK ZONA NO di luar layout",IF(X139&lt;&gt;INDEX(LAYOUT!$D$2:$D$80,MATCH(Y139&amp;"|"&amp;W139,LAYOUT!$E$2:$E$80,0)),"CEK JENIS ZONA",IF($D139="","Zona STOCK",IF($E139="","CEK SKU DESCRIPTION kosong","OK")))))))</f>
        <v/>
      </c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1" t="n"/>
      <c r="M140" s="11" t="n"/>
      <c r="N140" s="11" t="n"/>
      <c r="O140" s="12">
        <f>IF(L140="","",IFERROR(INDEX(DAFTAR_FIXTURE!$B$2:$B$51,MATCH(L140,DAFTAR_FIXTURE!$A$2:$A$51,0)),""))</f>
        <v/>
      </c>
      <c r="P140" s="12">
        <f>IF(AND($D140="",L140=""),"",IF(L140="",IF(AND(Q140="",V140=""),"Belum ditempatkan",""),IF(O140="","CEK ID FIXTURE tidak ada di DAFTAR_FIXTURE",IF(M140="","CEK ZONA NO kosong",IF(ISNA(MATCH(O140&amp;"|"&amp;M140,LAYOUT!$E$2:$E$80,0)),"CEK ZONA NO di luar layout",IF(N140&lt;&gt;INDEX(LAYOUT!$D$2:$D$80,MATCH(O140&amp;"|"&amp;M140,LAYOUT!$E$2:$E$80,0)),"CEK JENIS ZONA",IF($D140="","Zona STOCK",IF($E140="","CEK SKU DESCRIPTION kosong","OK"))))))))</f>
        <v/>
      </c>
      <c r="Q140" s="11" t="n"/>
      <c r="R140" s="11" t="n"/>
      <c r="S140" s="11" t="n"/>
      <c r="T140" s="12">
        <f>IF(Q140="","",IFERROR(INDEX(DAFTAR_FIXTURE!$B$2:$B$51,MATCH(Q140,DAFTAR_FIXTURE!$A$2:$A$51,0)),""))</f>
        <v/>
      </c>
      <c r="U140" s="12">
        <f>IF(Q140="","",IF(T140="","CEK ID FIXTURE tidak ada di DAFTAR_FIXTURE",IF(R140="","CEK ZONA NO kosong",IF(ISNA(MATCH(T140&amp;"|"&amp;R140,LAYOUT!$E$2:$E$80,0)),"CEK ZONA NO di luar layout",IF(S140&lt;&gt;INDEX(LAYOUT!$D$2:$D$80,MATCH(T140&amp;"|"&amp;R140,LAYOUT!$E$2:$E$80,0)),"CEK JENIS ZONA",IF($D140="","Zona STOCK",IF($E140="","CEK SKU DESCRIPTION kosong","OK")))))))</f>
        <v/>
      </c>
      <c r="V140" s="11" t="n"/>
      <c r="W140" s="11" t="n"/>
      <c r="X140" s="11" t="n"/>
      <c r="Y140" s="12">
        <f>IF(V140="","",IFERROR(INDEX(DAFTAR_FIXTURE!$B$2:$B$51,MATCH(V140,DAFTAR_FIXTURE!$A$2:$A$51,0)),""))</f>
        <v/>
      </c>
      <c r="Z140" s="12">
        <f>IF(V140="","",IF(Y140="","CEK ID FIXTURE tidak ada di DAFTAR_FIXTURE",IF(W140="","CEK ZONA NO kosong",IF(ISNA(MATCH(Y140&amp;"|"&amp;W140,LAYOUT!$E$2:$E$80,0)),"CEK ZONA NO di luar layout",IF(X140&lt;&gt;INDEX(LAYOUT!$D$2:$D$80,MATCH(Y140&amp;"|"&amp;W140,LAYOUT!$E$2:$E$80,0)),"CEK JENIS ZONA",IF($D140="","Zona STOCK",IF($E140="","CEK SKU DESCRIPTION kosong","OK")))))))</f>
        <v/>
      </c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1" t="n"/>
      <c r="M141" s="11" t="n"/>
      <c r="N141" s="11" t="n"/>
      <c r="O141" s="12">
        <f>IF(L141="","",IFERROR(INDEX(DAFTAR_FIXTURE!$B$2:$B$51,MATCH(L141,DAFTAR_FIXTURE!$A$2:$A$51,0)),""))</f>
        <v/>
      </c>
      <c r="P141" s="12">
        <f>IF(AND($D141="",L141=""),"",IF(L141="",IF(AND(Q141="",V141=""),"Belum ditempatkan",""),IF(O141="","CEK ID FIXTURE tidak ada di DAFTAR_FIXTURE",IF(M141="","CEK ZONA NO kosong",IF(ISNA(MATCH(O141&amp;"|"&amp;M141,LAYOUT!$E$2:$E$80,0)),"CEK ZONA NO di luar layout",IF(N141&lt;&gt;INDEX(LAYOUT!$D$2:$D$80,MATCH(O141&amp;"|"&amp;M141,LAYOUT!$E$2:$E$80,0)),"CEK JENIS ZONA",IF($D141="","Zona STOCK",IF($E141="","CEK SKU DESCRIPTION kosong","OK"))))))))</f>
        <v/>
      </c>
      <c r="Q141" s="11" t="n"/>
      <c r="R141" s="11" t="n"/>
      <c r="S141" s="11" t="n"/>
      <c r="T141" s="12">
        <f>IF(Q141="","",IFERROR(INDEX(DAFTAR_FIXTURE!$B$2:$B$51,MATCH(Q141,DAFTAR_FIXTURE!$A$2:$A$51,0)),""))</f>
        <v/>
      </c>
      <c r="U141" s="12">
        <f>IF(Q141="","",IF(T141="","CEK ID FIXTURE tidak ada di DAFTAR_FIXTURE",IF(R141="","CEK ZONA NO kosong",IF(ISNA(MATCH(T141&amp;"|"&amp;R141,LAYOUT!$E$2:$E$80,0)),"CEK ZONA NO di luar layout",IF(S141&lt;&gt;INDEX(LAYOUT!$D$2:$D$80,MATCH(T141&amp;"|"&amp;R141,LAYOUT!$E$2:$E$80,0)),"CEK JENIS ZONA",IF($D141="","Zona STOCK",IF($E141="","CEK SKU DESCRIPTION kosong","OK")))))))</f>
        <v/>
      </c>
      <c r="V141" s="11" t="n"/>
      <c r="W141" s="11" t="n"/>
      <c r="X141" s="11" t="n"/>
      <c r="Y141" s="12">
        <f>IF(V141="","",IFERROR(INDEX(DAFTAR_FIXTURE!$B$2:$B$51,MATCH(V141,DAFTAR_FIXTURE!$A$2:$A$51,0)),""))</f>
        <v/>
      </c>
      <c r="Z141" s="12">
        <f>IF(V141="","",IF(Y141="","CEK ID FIXTURE tidak ada di DAFTAR_FIXTURE",IF(W141="","CEK ZONA NO kosong",IF(ISNA(MATCH(Y141&amp;"|"&amp;W141,LAYOUT!$E$2:$E$80,0)),"CEK ZONA NO di luar layout",IF(X141&lt;&gt;INDEX(LAYOUT!$D$2:$D$80,MATCH(Y141&amp;"|"&amp;W141,LAYOUT!$E$2:$E$80,0)),"CEK JENIS ZONA",IF($D141="","Zona STOCK",IF($E141="","CEK SKU DESCRIPTION kosong","OK")))))))</f>
        <v/>
      </c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1" t="n"/>
      <c r="M142" s="11" t="n"/>
      <c r="N142" s="11" t="n"/>
      <c r="O142" s="12">
        <f>IF(L142="","",IFERROR(INDEX(DAFTAR_FIXTURE!$B$2:$B$51,MATCH(L142,DAFTAR_FIXTURE!$A$2:$A$51,0)),""))</f>
        <v/>
      </c>
      <c r="P142" s="12">
        <f>IF(AND($D142="",L142=""),"",IF(L142="",IF(AND(Q142="",V142=""),"Belum ditempatkan",""),IF(O142="","CEK ID FIXTURE tidak ada di DAFTAR_FIXTURE",IF(M142="","CEK ZONA NO kosong",IF(ISNA(MATCH(O142&amp;"|"&amp;M142,LAYOUT!$E$2:$E$80,0)),"CEK ZONA NO di luar layout",IF(N142&lt;&gt;INDEX(LAYOUT!$D$2:$D$80,MATCH(O142&amp;"|"&amp;M142,LAYOUT!$E$2:$E$80,0)),"CEK JENIS ZONA",IF($D142="","Zona STOCK",IF($E142="","CEK SKU DESCRIPTION kosong","OK"))))))))</f>
        <v/>
      </c>
      <c r="Q142" s="11" t="n"/>
      <c r="R142" s="11" t="n"/>
      <c r="S142" s="11" t="n"/>
      <c r="T142" s="12">
        <f>IF(Q142="","",IFERROR(INDEX(DAFTAR_FIXTURE!$B$2:$B$51,MATCH(Q142,DAFTAR_FIXTURE!$A$2:$A$51,0)),""))</f>
        <v/>
      </c>
      <c r="U142" s="12">
        <f>IF(Q142="","",IF(T142="","CEK ID FIXTURE tidak ada di DAFTAR_FIXTURE",IF(R142="","CEK ZONA NO kosong",IF(ISNA(MATCH(T142&amp;"|"&amp;R142,LAYOUT!$E$2:$E$80,0)),"CEK ZONA NO di luar layout",IF(S142&lt;&gt;INDEX(LAYOUT!$D$2:$D$80,MATCH(T142&amp;"|"&amp;R142,LAYOUT!$E$2:$E$80,0)),"CEK JENIS ZONA",IF($D142="","Zona STOCK",IF($E142="","CEK SKU DESCRIPTION kosong","OK")))))))</f>
        <v/>
      </c>
      <c r="V142" s="11" t="n"/>
      <c r="W142" s="11" t="n"/>
      <c r="X142" s="11" t="n"/>
      <c r="Y142" s="12">
        <f>IF(V142="","",IFERROR(INDEX(DAFTAR_FIXTURE!$B$2:$B$51,MATCH(V142,DAFTAR_FIXTURE!$A$2:$A$51,0)),""))</f>
        <v/>
      </c>
      <c r="Z142" s="12">
        <f>IF(V142="","",IF(Y142="","CEK ID FIXTURE tidak ada di DAFTAR_FIXTURE",IF(W142="","CEK ZONA NO kosong",IF(ISNA(MATCH(Y142&amp;"|"&amp;W142,LAYOUT!$E$2:$E$80,0)),"CEK ZONA NO di luar layout",IF(X142&lt;&gt;INDEX(LAYOUT!$D$2:$D$80,MATCH(Y142&amp;"|"&amp;W142,LAYOUT!$E$2:$E$80,0)),"CEK JENIS ZONA",IF($D142="","Zona STOCK",IF($E142="","CEK SKU DESCRIPTION kosong","OK")))))))</f>
        <v/>
      </c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1" t="n"/>
      <c r="M143" s="11" t="n"/>
      <c r="N143" s="11" t="n"/>
      <c r="O143" s="12">
        <f>IF(L143="","",IFERROR(INDEX(DAFTAR_FIXTURE!$B$2:$B$51,MATCH(L143,DAFTAR_FIXTURE!$A$2:$A$51,0)),""))</f>
        <v/>
      </c>
      <c r="P143" s="12">
        <f>IF(AND($D143="",L143=""),"",IF(L143="",IF(AND(Q143="",V143=""),"Belum ditempatkan",""),IF(O143="","CEK ID FIXTURE tidak ada di DAFTAR_FIXTURE",IF(M143="","CEK ZONA NO kosong",IF(ISNA(MATCH(O143&amp;"|"&amp;M143,LAYOUT!$E$2:$E$80,0)),"CEK ZONA NO di luar layout",IF(N143&lt;&gt;INDEX(LAYOUT!$D$2:$D$80,MATCH(O143&amp;"|"&amp;M143,LAYOUT!$E$2:$E$80,0)),"CEK JENIS ZONA",IF($D143="","Zona STOCK",IF($E143="","CEK SKU DESCRIPTION kosong","OK"))))))))</f>
        <v/>
      </c>
      <c r="Q143" s="11" t="n"/>
      <c r="R143" s="11" t="n"/>
      <c r="S143" s="11" t="n"/>
      <c r="T143" s="12">
        <f>IF(Q143="","",IFERROR(INDEX(DAFTAR_FIXTURE!$B$2:$B$51,MATCH(Q143,DAFTAR_FIXTURE!$A$2:$A$51,0)),""))</f>
        <v/>
      </c>
      <c r="U143" s="12">
        <f>IF(Q143="","",IF(T143="","CEK ID FIXTURE tidak ada di DAFTAR_FIXTURE",IF(R143="","CEK ZONA NO kosong",IF(ISNA(MATCH(T143&amp;"|"&amp;R143,LAYOUT!$E$2:$E$80,0)),"CEK ZONA NO di luar layout",IF(S143&lt;&gt;INDEX(LAYOUT!$D$2:$D$80,MATCH(T143&amp;"|"&amp;R143,LAYOUT!$E$2:$E$80,0)),"CEK JENIS ZONA",IF($D143="","Zona STOCK",IF($E143="","CEK SKU DESCRIPTION kosong","OK")))))))</f>
        <v/>
      </c>
      <c r="V143" s="11" t="n"/>
      <c r="W143" s="11" t="n"/>
      <c r="X143" s="11" t="n"/>
      <c r="Y143" s="12">
        <f>IF(V143="","",IFERROR(INDEX(DAFTAR_FIXTURE!$B$2:$B$51,MATCH(V143,DAFTAR_FIXTURE!$A$2:$A$51,0)),""))</f>
        <v/>
      </c>
      <c r="Z143" s="12">
        <f>IF(V143="","",IF(Y143="","CEK ID FIXTURE tidak ada di DAFTAR_FIXTURE",IF(W143="","CEK ZONA NO kosong",IF(ISNA(MATCH(Y143&amp;"|"&amp;W143,LAYOUT!$E$2:$E$80,0)),"CEK ZONA NO di luar layout",IF(X143&lt;&gt;INDEX(LAYOUT!$D$2:$D$80,MATCH(Y143&amp;"|"&amp;W143,LAYOUT!$E$2:$E$80,0)),"CEK JENIS ZONA",IF($D143="","Zona STOCK",IF($E143="","CEK SKU DESCRIPTION kosong","OK")))))))</f>
        <v/>
      </c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1" t="n"/>
      <c r="M144" s="11" t="n"/>
      <c r="N144" s="11" t="n"/>
      <c r="O144" s="12">
        <f>IF(L144="","",IFERROR(INDEX(DAFTAR_FIXTURE!$B$2:$B$51,MATCH(L144,DAFTAR_FIXTURE!$A$2:$A$51,0)),""))</f>
        <v/>
      </c>
      <c r="P144" s="12">
        <f>IF(AND($D144="",L144=""),"",IF(L144="",IF(AND(Q144="",V144=""),"Belum ditempatkan",""),IF(O144="","CEK ID FIXTURE tidak ada di DAFTAR_FIXTURE",IF(M144="","CEK ZONA NO kosong",IF(ISNA(MATCH(O144&amp;"|"&amp;M144,LAYOUT!$E$2:$E$80,0)),"CEK ZONA NO di luar layout",IF(N144&lt;&gt;INDEX(LAYOUT!$D$2:$D$80,MATCH(O144&amp;"|"&amp;M144,LAYOUT!$E$2:$E$80,0)),"CEK JENIS ZONA",IF($D144="","Zona STOCK",IF($E144="","CEK SKU DESCRIPTION kosong","OK"))))))))</f>
        <v/>
      </c>
      <c r="Q144" s="11" t="n"/>
      <c r="R144" s="11" t="n"/>
      <c r="S144" s="11" t="n"/>
      <c r="T144" s="12">
        <f>IF(Q144="","",IFERROR(INDEX(DAFTAR_FIXTURE!$B$2:$B$51,MATCH(Q144,DAFTAR_FIXTURE!$A$2:$A$51,0)),""))</f>
        <v/>
      </c>
      <c r="U144" s="12">
        <f>IF(Q144="","",IF(T144="","CEK ID FIXTURE tidak ada di DAFTAR_FIXTURE",IF(R144="","CEK ZONA NO kosong",IF(ISNA(MATCH(T144&amp;"|"&amp;R144,LAYOUT!$E$2:$E$80,0)),"CEK ZONA NO di luar layout",IF(S144&lt;&gt;INDEX(LAYOUT!$D$2:$D$80,MATCH(T144&amp;"|"&amp;R144,LAYOUT!$E$2:$E$80,0)),"CEK JENIS ZONA",IF($D144="","Zona STOCK",IF($E144="","CEK SKU DESCRIPTION kosong","OK")))))))</f>
        <v/>
      </c>
      <c r="V144" s="11" t="n"/>
      <c r="W144" s="11" t="n"/>
      <c r="X144" s="11" t="n"/>
      <c r="Y144" s="12">
        <f>IF(V144="","",IFERROR(INDEX(DAFTAR_FIXTURE!$B$2:$B$51,MATCH(V144,DAFTAR_FIXTURE!$A$2:$A$51,0)),""))</f>
        <v/>
      </c>
      <c r="Z144" s="12">
        <f>IF(V144="","",IF(Y144="","CEK ID FIXTURE tidak ada di DAFTAR_FIXTURE",IF(W144="","CEK ZONA NO kosong",IF(ISNA(MATCH(Y144&amp;"|"&amp;W144,LAYOUT!$E$2:$E$80,0)),"CEK ZONA NO di luar layout",IF(X144&lt;&gt;INDEX(LAYOUT!$D$2:$D$80,MATCH(Y144&amp;"|"&amp;W144,LAYOUT!$E$2:$E$80,0)),"CEK JENIS ZONA",IF($D144="","Zona STOCK",IF($E144="","CEK SKU DESCRIPTION kosong","OK")))))))</f>
        <v/>
      </c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1" t="n"/>
      <c r="M145" s="11" t="n"/>
      <c r="N145" s="11" t="n"/>
      <c r="O145" s="12">
        <f>IF(L145="","",IFERROR(INDEX(DAFTAR_FIXTURE!$B$2:$B$51,MATCH(L145,DAFTAR_FIXTURE!$A$2:$A$51,0)),""))</f>
        <v/>
      </c>
      <c r="P145" s="12">
        <f>IF(AND($D145="",L145=""),"",IF(L145="",IF(AND(Q145="",V145=""),"Belum ditempatkan",""),IF(O145="","CEK ID FIXTURE tidak ada di DAFTAR_FIXTURE",IF(M145="","CEK ZONA NO kosong",IF(ISNA(MATCH(O145&amp;"|"&amp;M145,LAYOUT!$E$2:$E$80,0)),"CEK ZONA NO di luar layout",IF(N145&lt;&gt;INDEX(LAYOUT!$D$2:$D$80,MATCH(O145&amp;"|"&amp;M145,LAYOUT!$E$2:$E$80,0)),"CEK JENIS ZONA",IF($D145="","Zona STOCK",IF($E145="","CEK SKU DESCRIPTION kosong","OK"))))))))</f>
        <v/>
      </c>
      <c r="Q145" s="11" t="n"/>
      <c r="R145" s="11" t="n"/>
      <c r="S145" s="11" t="n"/>
      <c r="T145" s="12">
        <f>IF(Q145="","",IFERROR(INDEX(DAFTAR_FIXTURE!$B$2:$B$51,MATCH(Q145,DAFTAR_FIXTURE!$A$2:$A$51,0)),""))</f>
        <v/>
      </c>
      <c r="U145" s="12">
        <f>IF(Q145="","",IF(T145="","CEK ID FIXTURE tidak ada di DAFTAR_FIXTURE",IF(R145="","CEK ZONA NO kosong",IF(ISNA(MATCH(T145&amp;"|"&amp;R145,LAYOUT!$E$2:$E$80,0)),"CEK ZONA NO di luar layout",IF(S145&lt;&gt;INDEX(LAYOUT!$D$2:$D$80,MATCH(T145&amp;"|"&amp;R145,LAYOUT!$E$2:$E$80,0)),"CEK JENIS ZONA",IF($D145="","Zona STOCK",IF($E145="","CEK SKU DESCRIPTION kosong","OK")))))))</f>
        <v/>
      </c>
      <c r="V145" s="11" t="n"/>
      <c r="W145" s="11" t="n"/>
      <c r="X145" s="11" t="n"/>
      <c r="Y145" s="12">
        <f>IF(V145="","",IFERROR(INDEX(DAFTAR_FIXTURE!$B$2:$B$51,MATCH(V145,DAFTAR_FIXTURE!$A$2:$A$51,0)),""))</f>
        <v/>
      </c>
      <c r="Z145" s="12">
        <f>IF(V145="","",IF(Y145="","CEK ID FIXTURE tidak ada di DAFTAR_FIXTURE",IF(W145="","CEK ZONA NO kosong",IF(ISNA(MATCH(Y145&amp;"|"&amp;W145,LAYOUT!$E$2:$E$80,0)),"CEK ZONA NO di luar layout",IF(X145&lt;&gt;INDEX(LAYOUT!$D$2:$D$80,MATCH(Y145&amp;"|"&amp;W145,LAYOUT!$E$2:$E$80,0)),"CEK JENIS ZONA",IF($D145="","Zona STOCK",IF($E145="","CEK SKU DESCRIPTION kosong","OK")))))))</f>
        <v/>
      </c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1" t="n"/>
      <c r="M146" s="11" t="n"/>
      <c r="N146" s="11" t="n"/>
      <c r="O146" s="12">
        <f>IF(L146="","",IFERROR(INDEX(DAFTAR_FIXTURE!$B$2:$B$51,MATCH(L146,DAFTAR_FIXTURE!$A$2:$A$51,0)),""))</f>
        <v/>
      </c>
      <c r="P146" s="12">
        <f>IF(AND($D146="",L146=""),"",IF(L146="",IF(AND(Q146="",V146=""),"Belum ditempatkan",""),IF(O146="","CEK ID FIXTURE tidak ada di DAFTAR_FIXTURE",IF(M146="","CEK ZONA NO kosong",IF(ISNA(MATCH(O146&amp;"|"&amp;M146,LAYOUT!$E$2:$E$80,0)),"CEK ZONA NO di luar layout",IF(N146&lt;&gt;INDEX(LAYOUT!$D$2:$D$80,MATCH(O146&amp;"|"&amp;M146,LAYOUT!$E$2:$E$80,0)),"CEK JENIS ZONA",IF($D146="","Zona STOCK",IF($E146="","CEK SKU DESCRIPTION kosong","OK"))))))))</f>
        <v/>
      </c>
      <c r="Q146" s="11" t="n"/>
      <c r="R146" s="11" t="n"/>
      <c r="S146" s="11" t="n"/>
      <c r="T146" s="12">
        <f>IF(Q146="","",IFERROR(INDEX(DAFTAR_FIXTURE!$B$2:$B$51,MATCH(Q146,DAFTAR_FIXTURE!$A$2:$A$51,0)),""))</f>
        <v/>
      </c>
      <c r="U146" s="12">
        <f>IF(Q146="","",IF(T146="","CEK ID FIXTURE tidak ada di DAFTAR_FIXTURE",IF(R146="","CEK ZONA NO kosong",IF(ISNA(MATCH(T146&amp;"|"&amp;R146,LAYOUT!$E$2:$E$80,0)),"CEK ZONA NO di luar layout",IF(S146&lt;&gt;INDEX(LAYOUT!$D$2:$D$80,MATCH(T146&amp;"|"&amp;R146,LAYOUT!$E$2:$E$80,0)),"CEK JENIS ZONA",IF($D146="","Zona STOCK",IF($E146="","CEK SKU DESCRIPTION kosong","OK")))))))</f>
        <v/>
      </c>
      <c r="V146" s="11" t="n"/>
      <c r="W146" s="11" t="n"/>
      <c r="X146" s="11" t="n"/>
      <c r="Y146" s="12">
        <f>IF(V146="","",IFERROR(INDEX(DAFTAR_FIXTURE!$B$2:$B$51,MATCH(V146,DAFTAR_FIXTURE!$A$2:$A$51,0)),""))</f>
        <v/>
      </c>
      <c r="Z146" s="12">
        <f>IF(V146="","",IF(Y146="","CEK ID FIXTURE tidak ada di DAFTAR_FIXTURE",IF(W146="","CEK ZONA NO kosong",IF(ISNA(MATCH(Y146&amp;"|"&amp;W146,LAYOUT!$E$2:$E$80,0)),"CEK ZONA NO di luar layout",IF(X146&lt;&gt;INDEX(LAYOUT!$D$2:$D$80,MATCH(Y146&amp;"|"&amp;W146,LAYOUT!$E$2:$E$80,0)),"CEK JENIS ZONA",IF($D146="","Zona STOCK",IF($E146="","CEK SKU DESCRIPTION kosong","OK")))))))</f>
        <v/>
      </c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1" t="n"/>
      <c r="M147" s="11" t="n"/>
      <c r="N147" s="11" t="n"/>
      <c r="O147" s="12">
        <f>IF(L147="","",IFERROR(INDEX(DAFTAR_FIXTURE!$B$2:$B$51,MATCH(L147,DAFTAR_FIXTURE!$A$2:$A$51,0)),""))</f>
        <v/>
      </c>
      <c r="P147" s="12">
        <f>IF(AND($D147="",L147=""),"",IF(L147="",IF(AND(Q147="",V147=""),"Belum ditempatkan",""),IF(O147="","CEK ID FIXTURE tidak ada di DAFTAR_FIXTURE",IF(M147="","CEK ZONA NO kosong",IF(ISNA(MATCH(O147&amp;"|"&amp;M147,LAYOUT!$E$2:$E$80,0)),"CEK ZONA NO di luar layout",IF(N147&lt;&gt;INDEX(LAYOUT!$D$2:$D$80,MATCH(O147&amp;"|"&amp;M147,LAYOUT!$E$2:$E$80,0)),"CEK JENIS ZONA",IF($D147="","Zona STOCK",IF($E147="","CEK SKU DESCRIPTION kosong","OK"))))))))</f>
        <v/>
      </c>
      <c r="Q147" s="11" t="n"/>
      <c r="R147" s="11" t="n"/>
      <c r="S147" s="11" t="n"/>
      <c r="T147" s="12">
        <f>IF(Q147="","",IFERROR(INDEX(DAFTAR_FIXTURE!$B$2:$B$51,MATCH(Q147,DAFTAR_FIXTURE!$A$2:$A$51,0)),""))</f>
        <v/>
      </c>
      <c r="U147" s="12">
        <f>IF(Q147="","",IF(T147="","CEK ID FIXTURE tidak ada di DAFTAR_FIXTURE",IF(R147="","CEK ZONA NO kosong",IF(ISNA(MATCH(T147&amp;"|"&amp;R147,LAYOUT!$E$2:$E$80,0)),"CEK ZONA NO di luar layout",IF(S147&lt;&gt;INDEX(LAYOUT!$D$2:$D$80,MATCH(T147&amp;"|"&amp;R147,LAYOUT!$E$2:$E$80,0)),"CEK JENIS ZONA",IF($D147="","Zona STOCK",IF($E147="","CEK SKU DESCRIPTION kosong","OK")))))))</f>
        <v/>
      </c>
      <c r="V147" s="11" t="n"/>
      <c r="W147" s="11" t="n"/>
      <c r="X147" s="11" t="n"/>
      <c r="Y147" s="12">
        <f>IF(V147="","",IFERROR(INDEX(DAFTAR_FIXTURE!$B$2:$B$51,MATCH(V147,DAFTAR_FIXTURE!$A$2:$A$51,0)),""))</f>
        <v/>
      </c>
      <c r="Z147" s="12">
        <f>IF(V147="","",IF(Y147="","CEK ID FIXTURE tidak ada di DAFTAR_FIXTURE",IF(W147="","CEK ZONA NO kosong",IF(ISNA(MATCH(Y147&amp;"|"&amp;W147,LAYOUT!$E$2:$E$80,0)),"CEK ZONA NO di luar layout",IF(X147&lt;&gt;INDEX(LAYOUT!$D$2:$D$80,MATCH(Y147&amp;"|"&amp;W147,LAYOUT!$E$2:$E$80,0)),"CEK JENIS ZONA",IF($D147="","Zona STOCK",IF($E147="","CEK SKU DESCRIPTION kosong","OK")))))))</f>
        <v/>
      </c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1" t="n"/>
      <c r="M148" s="11" t="n"/>
      <c r="N148" s="11" t="n"/>
      <c r="O148" s="12">
        <f>IF(L148="","",IFERROR(INDEX(DAFTAR_FIXTURE!$B$2:$B$51,MATCH(L148,DAFTAR_FIXTURE!$A$2:$A$51,0)),""))</f>
        <v/>
      </c>
      <c r="P148" s="12">
        <f>IF(AND($D148="",L148=""),"",IF(L148="",IF(AND(Q148="",V148=""),"Belum ditempatkan",""),IF(O148="","CEK ID FIXTURE tidak ada di DAFTAR_FIXTURE",IF(M148="","CEK ZONA NO kosong",IF(ISNA(MATCH(O148&amp;"|"&amp;M148,LAYOUT!$E$2:$E$80,0)),"CEK ZONA NO di luar layout",IF(N148&lt;&gt;INDEX(LAYOUT!$D$2:$D$80,MATCH(O148&amp;"|"&amp;M148,LAYOUT!$E$2:$E$80,0)),"CEK JENIS ZONA",IF($D148="","Zona STOCK",IF($E148="","CEK SKU DESCRIPTION kosong","OK"))))))))</f>
        <v/>
      </c>
      <c r="Q148" s="11" t="n"/>
      <c r="R148" s="11" t="n"/>
      <c r="S148" s="11" t="n"/>
      <c r="T148" s="12">
        <f>IF(Q148="","",IFERROR(INDEX(DAFTAR_FIXTURE!$B$2:$B$51,MATCH(Q148,DAFTAR_FIXTURE!$A$2:$A$51,0)),""))</f>
        <v/>
      </c>
      <c r="U148" s="12">
        <f>IF(Q148="","",IF(T148="","CEK ID FIXTURE tidak ada di DAFTAR_FIXTURE",IF(R148="","CEK ZONA NO kosong",IF(ISNA(MATCH(T148&amp;"|"&amp;R148,LAYOUT!$E$2:$E$80,0)),"CEK ZONA NO di luar layout",IF(S148&lt;&gt;INDEX(LAYOUT!$D$2:$D$80,MATCH(T148&amp;"|"&amp;R148,LAYOUT!$E$2:$E$80,0)),"CEK JENIS ZONA",IF($D148="","Zona STOCK",IF($E148="","CEK SKU DESCRIPTION kosong","OK")))))))</f>
        <v/>
      </c>
      <c r="V148" s="11" t="n"/>
      <c r="W148" s="11" t="n"/>
      <c r="X148" s="11" t="n"/>
      <c r="Y148" s="12">
        <f>IF(V148="","",IFERROR(INDEX(DAFTAR_FIXTURE!$B$2:$B$51,MATCH(V148,DAFTAR_FIXTURE!$A$2:$A$51,0)),""))</f>
        <v/>
      </c>
      <c r="Z148" s="12">
        <f>IF(V148="","",IF(Y148="","CEK ID FIXTURE tidak ada di DAFTAR_FIXTURE",IF(W148="","CEK ZONA NO kosong",IF(ISNA(MATCH(Y148&amp;"|"&amp;W148,LAYOUT!$E$2:$E$80,0)),"CEK ZONA NO di luar layout",IF(X148&lt;&gt;INDEX(LAYOUT!$D$2:$D$80,MATCH(Y148&amp;"|"&amp;W148,LAYOUT!$E$2:$E$80,0)),"CEK JENIS ZONA",IF($D148="","Zona STOCK",IF($E148="","CEK SKU DESCRIPTION kosong","OK")))))))</f>
        <v/>
      </c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1" t="n"/>
      <c r="M149" s="11" t="n"/>
      <c r="N149" s="11" t="n"/>
      <c r="O149" s="12">
        <f>IF(L149="","",IFERROR(INDEX(DAFTAR_FIXTURE!$B$2:$B$51,MATCH(L149,DAFTAR_FIXTURE!$A$2:$A$51,0)),""))</f>
        <v/>
      </c>
      <c r="P149" s="12">
        <f>IF(AND($D149="",L149=""),"",IF(L149="",IF(AND(Q149="",V149=""),"Belum ditempatkan",""),IF(O149="","CEK ID FIXTURE tidak ada di DAFTAR_FIXTURE",IF(M149="","CEK ZONA NO kosong",IF(ISNA(MATCH(O149&amp;"|"&amp;M149,LAYOUT!$E$2:$E$80,0)),"CEK ZONA NO di luar layout",IF(N149&lt;&gt;INDEX(LAYOUT!$D$2:$D$80,MATCH(O149&amp;"|"&amp;M149,LAYOUT!$E$2:$E$80,0)),"CEK JENIS ZONA",IF($D149="","Zona STOCK",IF($E149="","CEK SKU DESCRIPTION kosong","OK"))))))))</f>
        <v/>
      </c>
      <c r="Q149" s="11" t="n"/>
      <c r="R149" s="11" t="n"/>
      <c r="S149" s="11" t="n"/>
      <c r="T149" s="12">
        <f>IF(Q149="","",IFERROR(INDEX(DAFTAR_FIXTURE!$B$2:$B$51,MATCH(Q149,DAFTAR_FIXTURE!$A$2:$A$51,0)),""))</f>
        <v/>
      </c>
      <c r="U149" s="12">
        <f>IF(Q149="","",IF(T149="","CEK ID FIXTURE tidak ada di DAFTAR_FIXTURE",IF(R149="","CEK ZONA NO kosong",IF(ISNA(MATCH(T149&amp;"|"&amp;R149,LAYOUT!$E$2:$E$80,0)),"CEK ZONA NO di luar layout",IF(S149&lt;&gt;INDEX(LAYOUT!$D$2:$D$80,MATCH(T149&amp;"|"&amp;R149,LAYOUT!$E$2:$E$80,0)),"CEK JENIS ZONA",IF($D149="","Zona STOCK",IF($E149="","CEK SKU DESCRIPTION kosong","OK")))))))</f>
        <v/>
      </c>
      <c r="V149" s="11" t="n"/>
      <c r="W149" s="11" t="n"/>
      <c r="X149" s="11" t="n"/>
      <c r="Y149" s="12">
        <f>IF(V149="","",IFERROR(INDEX(DAFTAR_FIXTURE!$B$2:$B$51,MATCH(V149,DAFTAR_FIXTURE!$A$2:$A$51,0)),""))</f>
        <v/>
      </c>
      <c r="Z149" s="12">
        <f>IF(V149="","",IF(Y149="","CEK ID FIXTURE tidak ada di DAFTAR_FIXTURE",IF(W149="","CEK ZONA NO kosong",IF(ISNA(MATCH(Y149&amp;"|"&amp;W149,LAYOUT!$E$2:$E$80,0)),"CEK ZONA NO di luar layout",IF(X149&lt;&gt;INDEX(LAYOUT!$D$2:$D$80,MATCH(Y149&amp;"|"&amp;W149,LAYOUT!$E$2:$E$80,0)),"CEK JENIS ZONA",IF($D149="","Zona STOCK",IF($E149="","CEK SKU DESCRIPTION kosong","OK")))))))</f>
        <v/>
      </c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1" t="n"/>
      <c r="M150" s="11" t="n"/>
      <c r="N150" s="11" t="n"/>
      <c r="O150" s="12">
        <f>IF(L150="","",IFERROR(INDEX(DAFTAR_FIXTURE!$B$2:$B$51,MATCH(L150,DAFTAR_FIXTURE!$A$2:$A$51,0)),""))</f>
        <v/>
      </c>
      <c r="P150" s="12">
        <f>IF(AND($D150="",L150=""),"",IF(L150="",IF(AND(Q150="",V150=""),"Belum ditempatkan",""),IF(O150="","CEK ID FIXTURE tidak ada di DAFTAR_FIXTURE",IF(M150="","CEK ZONA NO kosong",IF(ISNA(MATCH(O150&amp;"|"&amp;M150,LAYOUT!$E$2:$E$80,0)),"CEK ZONA NO di luar layout",IF(N150&lt;&gt;INDEX(LAYOUT!$D$2:$D$80,MATCH(O150&amp;"|"&amp;M150,LAYOUT!$E$2:$E$80,0)),"CEK JENIS ZONA",IF($D150="","Zona STOCK",IF($E150="","CEK SKU DESCRIPTION kosong","OK"))))))))</f>
        <v/>
      </c>
      <c r="Q150" s="11" t="n"/>
      <c r="R150" s="11" t="n"/>
      <c r="S150" s="11" t="n"/>
      <c r="T150" s="12">
        <f>IF(Q150="","",IFERROR(INDEX(DAFTAR_FIXTURE!$B$2:$B$51,MATCH(Q150,DAFTAR_FIXTURE!$A$2:$A$51,0)),""))</f>
        <v/>
      </c>
      <c r="U150" s="12">
        <f>IF(Q150="","",IF(T150="","CEK ID FIXTURE tidak ada di DAFTAR_FIXTURE",IF(R150="","CEK ZONA NO kosong",IF(ISNA(MATCH(T150&amp;"|"&amp;R150,LAYOUT!$E$2:$E$80,0)),"CEK ZONA NO di luar layout",IF(S150&lt;&gt;INDEX(LAYOUT!$D$2:$D$80,MATCH(T150&amp;"|"&amp;R150,LAYOUT!$E$2:$E$80,0)),"CEK JENIS ZONA",IF($D150="","Zona STOCK",IF($E150="","CEK SKU DESCRIPTION kosong","OK")))))))</f>
        <v/>
      </c>
      <c r="V150" s="11" t="n"/>
      <c r="W150" s="11" t="n"/>
      <c r="X150" s="11" t="n"/>
      <c r="Y150" s="12">
        <f>IF(V150="","",IFERROR(INDEX(DAFTAR_FIXTURE!$B$2:$B$51,MATCH(V150,DAFTAR_FIXTURE!$A$2:$A$51,0)),""))</f>
        <v/>
      </c>
      <c r="Z150" s="12">
        <f>IF(V150="","",IF(Y150="","CEK ID FIXTURE tidak ada di DAFTAR_FIXTURE",IF(W150="","CEK ZONA NO kosong",IF(ISNA(MATCH(Y150&amp;"|"&amp;W150,LAYOUT!$E$2:$E$80,0)),"CEK ZONA NO di luar layout",IF(X150&lt;&gt;INDEX(LAYOUT!$D$2:$D$80,MATCH(Y150&amp;"|"&amp;W150,LAYOUT!$E$2:$E$80,0)),"CEK JENIS ZONA",IF($D150="","Zona STOCK",IF($E150="","CEK SKU DESCRIPTION kosong","OK")))))))</f>
        <v/>
      </c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1" t="n"/>
      <c r="M151" s="11" t="n"/>
      <c r="N151" s="11" t="n"/>
      <c r="O151" s="12">
        <f>IF(L151="","",IFERROR(INDEX(DAFTAR_FIXTURE!$B$2:$B$51,MATCH(L151,DAFTAR_FIXTURE!$A$2:$A$51,0)),""))</f>
        <v/>
      </c>
      <c r="P151" s="12">
        <f>IF(AND($D151="",L151=""),"",IF(L151="",IF(AND(Q151="",V151=""),"Belum ditempatkan",""),IF(O151="","CEK ID FIXTURE tidak ada di DAFTAR_FIXTURE",IF(M151="","CEK ZONA NO kosong",IF(ISNA(MATCH(O151&amp;"|"&amp;M151,LAYOUT!$E$2:$E$80,0)),"CEK ZONA NO di luar layout",IF(N151&lt;&gt;INDEX(LAYOUT!$D$2:$D$80,MATCH(O151&amp;"|"&amp;M151,LAYOUT!$E$2:$E$80,0)),"CEK JENIS ZONA",IF($D151="","Zona STOCK",IF($E151="","CEK SKU DESCRIPTION kosong","OK"))))))))</f>
        <v/>
      </c>
      <c r="Q151" s="11" t="n"/>
      <c r="R151" s="11" t="n"/>
      <c r="S151" s="11" t="n"/>
      <c r="T151" s="12">
        <f>IF(Q151="","",IFERROR(INDEX(DAFTAR_FIXTURE!$B$2:$B$51,MATCH(Q151,DAFTAR_FIXTURE!$A$2:$A$51,0)),""))</f>
        <v/>
      </c>
      <c r="U151" s="12">
        <f>IF(Q151="","",IF(T151="","CEK ID FIXTURE tidak ada di DAFTAR_FIXTURE",IF(R151="","CEK ZONA NO kosong",IF(ISNA(MATCH(T151&amp;"|"&amp;R151,LAYOUT!$E$2:$E$80,0)),"CEK ZONA NO di luar layout",IF(S151&lt;&gt;INDEX(LAYOUT!$D$2:$D$80,MATCH(T151&amp;"|"&amp;R151,LAYOUT!$E$2:$E$80,0)),"CEK JENIS ZONA",IF($D151="","Zona STOCK",IF($E151="","CEK SKU DESCRIPTION kosong","OK")))))))</f>
        <v/>
      </c>
      <c r="V151" s="11" t="n"/>
      <c r="W151" s="11" t="n"/>
      <c r="X151" s="11" t="n"/>
      <c r="Y151" s="12">
        <f>IF(V151="","",IFERROR(INDEX(DAFTAR_FIXTURE!$B$2:$B$51,MATCH(V151,DAFTAR_FIXTURE!$A$2:$A$51,0)),""))</f>
        <v/>
      </c>
      <c r="Z151" s="12">
        <f>IF(V151="","",IF(Y151="","CEK ID FIXTURE tidak ada di DAFTAR_FIXTURE",IF(W151="","CEK ZONA NO kosong",IF(ISNA(MATCH(Y151&amp;"|"&amp;W151,LAYOUT!$E$2:$E$80,0)),"CEK ZONA NO di luar layout",IF(X151&lt;&gt;INDEX(LAYOUT!$D$2:$D$80,MATCH(Y151&amp;"|"&amp;W151,LAYOUT!$E$2:$E$80,0)),"CEK JENIS ZONA",IF($D151="","Zona STOCK",IF($E151="","CEK SKU DESCRIPTION kosong","OK")))))))</f>
        <v/>
      </c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1" t="n"/>
      <c r="M152" s="11" t="n"/>
      <c r="N152" s="11" t="n"/>
      <c r="O152" s="12">
        <f>IF(L152="","",IFERROR(INDEX(DAFTAR_FIXTURE!$B$2:$B$51,MATCH(L152,DAFTAR_FIXTURE!$A$2:$A$51,0)),""))</f>
        <v/>
      </c>
      <c r="P152" s="12">
        <f>IF(AND($D152="",L152=""),"",IF(L152="",IF(AND(Q152="",V152=""),"Belum ditempatkan",""),IF(O152="","CEK ID FIXTURE tidak ada di DAFTAR_FIXTURE",IF(M152="","CEK ZONA NO kosong",IF(ISNA(MATCH(O152&amp;"|"&amp;M152,LAYOUT!$E$2:$E$80,0)),"CEK ZONA NO di luar layout",IF(N152&lt;&gt;INDEX(LAYOUT!$D$2:$D$80,MATCH(O152&amp;"|"&amp;M152,LAYOUT!$E$2:$E$80,0)),"CEK JENIS ZONA",IF($D152="","Zona STOCK",IF($E152="","CEK SKU DESCRIPTION kosong","OK"))))))))</f>
        <v/>
      </c>
      <c r="Q152" s="11" t="n"/>
      <c r="R152" s="11" t="n"/>
      <c r="S152" s="11" t="n"/>
      <c r="T152" s="12">
        <f>IF(Q152="","",IFERROR(INDEX(DAFTAR_FIXTURE!$B$2:$B$51,MATCH(Q152,DAFTAR_FIXTURE!$A$2:$A$51,0)),""))</f>
        <v/>
      </c>
      <c r="U152" s="12">
        <f>IF(Q152="","",IF(T152="","CEK ID FIXTURE tidak ada di DAFTAR_FIXTURE",IF(R152="","CEK ZONA NO kosong",IF(ISNA(MATCH(T152&amp;"|"&amp;R152,LAYOUT!$E$2:$E$80,0)),"CEK ZONA NO di luar layout",IF(S152&lt;&gt;INDEX(LAYOUT!$D$2:$D$80,MATCH(T152&amp;"|"&amp;R152,LAYOUT!$E$2:$E$80,0)),"CEK JENIS ZONA",IF($D152="","Zona STOCK",IF($E152="","CEK SKU DESCRIPTION kosong","OK")))))))</f>
        <v/>
      </c>
      <c r="V152" s="11" t="n"/>
      <c r="W152" s="11" t="n"/>
      <c r="X152" s="11" t="n"/>
      <c r="Y152" s="12">
        <f>IF(V152="","",IFERROR(INDEX(DAFTAR_FIXTURE!$B$2:$B$51,MATCH(V152,DAFTAR_FIXTURE!$A$2:$A$51,0)),""))</f>
        <v/>
      </c>
      <c r="Z152" s="12">
        <f>IF(V152="","",IF(Y152="","CEK ID FIXTURE tidak ada di DAFTAR_FIXTURE",IF(W152="","CEK ZONA NO kosong",IF(ISNA(MATCH(Y152&amp;"|"&amp;W152,LAYOUT!$E$2:$E$80,0)),"CEK ZONA NO di luar layout",IF(X152&lt;&gt;INDEX(LAYOUT!$D$2:$D$80,MATCH(Y152&amp;"|"&amp;W152,LAYOUT!$E$2:$E$80,0)),"CEK JENIS ZONA",IF($D152="","Zona STOCK",IF($E152="","CEK SKU DESCRIPTION kosong","OK")))))))</f>
        <v/>
      </c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1" t="n"/>
      <c r="M153" s="11" t="n"/>
      <c r="N153" s="11" t="n"/>
      <c r="O153" s="12">
        <f>IF(L153="","",IFERROR(INDEX(DAFTAR_FIXTURE!$B$2:$B$51,MATCH(L153,DAFTAR_FIXTURE!$A$2:$A$51,0)),""))</f>
        <v/>
      </c>
      <c r="P153" s="12">
        <f>IF(AND($D153="",L153=""),"",IF(L153="",IF(AND(Q153="",V153=""),"Belum ditempatkan",""),IF(O153="","CEK ID FIXTURE tidak ada di DAFTAR_FIXTURE",IF(M153="","CEK ZONA NO kosong",IF(ISNA(MATCH(O153&amp;"|"&amp;M153,LAYOUT!$E$2:$E$80,0)),"CEK ZONA NO di luar layout",IF(N153&lt;&gt;INDEX(LAYOUT!$D$2:$D$80,MATCH(O153&amp;"|"&amp;M153,LAYOUT!$E$2:$E$80,0)),"CEK JENIS ZONA",IF($D153="","Zona STOCK",IF($E153="","CEK SKU DESCRIPTION kosong","OK"))))))))</f>
        <v/>
      </c>
      <c r="Q153" s="11" t="n"/>
      <c r="R153" s="11" t="n"/>
      <c r="S153" s="11" t="n"/>
      <c r="T153" s="12">
        <f>IF(Q153="","",IFERROR(INDEX(DAFTAR_FIXTURE!$B$2:$B$51,MATCH(Q153,DAFTAR_FIXTURE!$A$2:$A$51,0)),""))</f>
        <v/>
      </c>
      <c r="U153" s="12">
        <f>IF(Q153="","",IF(T153="","CEK ID FIXTURE tidak ada di DAFTAR_FIXTURE",IF(R153="","CEK ZONA NO kosong",IF(ISNA(MATCH(T153&amp;"|"&amp;R153,LAYOUT!$E$2:$E$80,0)),"CEK ZONA NO di luar layout",IF(S153&lt;&gt;INDEX(LAYOUT!$D$2:$D$80,MATCH(T153&amp;"|"&amp;R153,LAYOUT!$E$2:$E$80,0)),"CEK JENIS ZONA",IF($D153="","Zona STOCK",IF($E153="","CEK SKU DESCRIPTION kosong","OK")))))))</f>
        <v/>
      </c>
      <c r="V153" s="11" t="n"/>
      <c r="W153" s="11" t="n"/>
      <c r="X153" s="11" t="n"/>
      <c r="Y153" s="12">
        <f>IF(V153="","",IFERROR(INDEX(DAFTAR_FIXTURE!$B$2:$B$51,MATCH(V153,DAFTAR_FIXTURE!$A$2:$A$51,0)),""))</f>
        <v/>
      </c>
      <c r="Z153" s="12">
        <f>IF(V153="","",IF(Y153="","CEK ID FIXTURE tidak ada di DAFTAR_FIXTURE",IF(W153="","CEK ZONA NO kosong",IF(ISNA(MATCH(Y153&amp;"|"&amp;W153,LAYOUT!$E$2:$E$80,0)),"CEK ZONA NO di luar layout",IF(X153&lt;&gt;INDEX(LAYOUT!$D$2:$D$80,MATCH(Y153&amp;"|"&amp;W153,LAYOUT!$E$2:$E$80,0)),"CEK JENIS ZONA",IF($D153="","Zona STOCK",IF($E153="","CEK SKU DESCRIPTION kosong","OK")))))))</f>
        <v/>
      </c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1" t="n"/>
      <c r="M154" s="11" t="n"/>
      <c r="N154" s="11" t="n"/>
      <c r="O154" s="12">
        <f>IF(L154="","",IFERROR(INDEX(DAFTAR_FIXTURE!$B$2:$B$51,MATCH(L154,DAFTAR_FIXTURE!$A$2:$A$51,0)),""))</f>
        <v/>
      </c>
      <c r="P154" s="12">
        <f>IF(AND($D154="",L154=""),"",IF(L154="",IF(AND(Q154="",V154=""),"Belum ditempatkan",""),IF(O154="","CEK ID FIXTURE tidak ada di DAFTAR_FIXTURE",IF(M154="","CEK ZONA NO kosong",IF(ISNA(MATCH(O154&amp;"|"&amp;M154,LAYOUT!$E$2:$E$80,0)),"CEK ZONA NO di luar layout",IF(N154&lt;&gt;INDEX(LAYOUT!$D$2:$D$80,MATCH(O154&amp;"|"&amp;M154,LAYOUT!$E$2:$E$80,0)),"CEK JENIS ZONA",IF($D154="","Zona STOCK",IF($E154="","CEK SKU DESCRIPTION kosong","OK"))))))))</f>
        <v/>
      </c>
      <c r="Q154" s="11" t="n"/>
      <c r="R154" s="11" t="n"/>
      <c r="S154" s="11" t="n"/>
      <c r="T154" s="12">
        <f>IF(Q154="","",IFERROR(INDEX(DAFTAR_FIXTURE!$B$2:$B$51,MATCH(Q154,DAFTAR_FIXTURE!$A$2:$A$51,0)),""))</f>
        <v/>
      </c>
      <c r="U154" s="12">
        <f>IF(Q154="","",IF(T154="","CEK ID FIXTURE tidak ada di DAFTAR_FIXTURE",IF(R154="","CEK ZONA NO kosong",IF(ISNA(MATCH(T154&amp;"|"&amp;R154,LAYOUT!$E$2:$E$80,0)),"CEK ZONA NO di luar layout",IF(S154&lt;&gt;INDEX(LAYOUT!$D$2:$D$80,MATCH(T154&amp;"|"&amp;R154,LAYOUT!$E$2:$E$80,0)),"CEK JENIS ZONA",IF($D154="","Zona STOCK",IF($E154="","CEK SKU DESCRIPTION kosong","OK")))))))</f>
        <v/>
      </c>
      <c r="V154" s="11" t="n"/>
      <c r="W154" s="11" t="n"/>
      <c r="X154" s="11" t="n"/>
      <c r="Y154" s="12">
        <f>IF(V154="","",IFERROR(INDEX(DAFTAR_FIXTURE!$B$2:$B$51,MATCH(V154,DAFTAR_FIXTURE!$A$2:$A$51,0)),""))</f>
        <v/>
      </c>
      <c r="Z154" s="12">
        <f>IF(V154="","",IF(Y154="","CEK ID FIXTURE tidak ada di DAFTAR_FIXTURE",IF(W154="","CEK ZONA NO kosong",IF(ISNA(MATCH(Y154&amp;"|"&amp;W154,LAYOUT!$E$2:$E$80,0)),"CEK ZONA NO di luar layout",IF(X154&lt;&gt;INDEX(LAYOUT!$D$2:$D$80,MATCH(Y154&amp;"|"&amp;W154,LAYOUT!$E$2:$E$80,0)),"CEK JENIS ZONA",IF($D154="","Zona STOCK",IF($E154="","CEK SKU DESCRIPTION kosong","OK")))))))</f>
        <v/>
      </c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1" t="n"/>
      <c r="M155" s="11" t="n"/>
      <c r="N155" s="11" t="n"/>
      <c r="O155" s="12">
        <f>IF(L155="","",IFERROR(INDEX(DAFTAR_FIXTURE!$B$2:$B$51,MATCH(L155,DAFTAR_FIXTURE!$A$2:$A$51,0)),""))</f>
        <v/>
      </c>
      <c r="P155" s="12">
        <f>IF(AND($D155="",L155=""),"",IF(L155="",IF(AND(Q155="",V155=""),"Belum ditempatkan",""),IF(O155="","CEK ID FIXTURE tidak ada di DAFTAR_FIXTURE",IF(M155="","CEK ZONA NO kosong",IF(ISNA(MATCH(O155&amp;"|"&amp;M155,LAYOUT!$E$2:$E$80,0)),"CEK ZONA NO di luar layout",IF(N155&lt;&gt;INDEX(LAYOUT!$D$2:$D$80,MATCH(O155&amp;"|"&amp;M155,LAYOUT!$E$2:$E$80,0)),"CEK JENIS ZONA",IF($D155="","Zona STOCK",IF($E155="","CEK SKU DESCRIPTION kosong","OK"))))))))</f>
        <v/>
      </c>
      <c r="Q155" s="11" t="n"/>
      <c r="R155" s="11" t="n"/>
      <c r="S155" s="11" t="n"/>
      <c r="T155" s="12">
        <f>IF(Q155="","",IFERROR(INDEX(DAFTAR_FIXTURE!$B$2:$B$51,MATCH(Q155,DAFTAR_FIXTURE!$A$2:$A$51,0)),""))</f>
        <v/>
      </c>
      <c r="U155" s="12">
        <f>IF(Q155="","",IF(T155="","CEK ID FIXTURE tidak ada di DAFTAR_FIXTURE",IF(R155="","CEK ZONA NO kosong",IF(ISNA(MATCH(T155&amp;"|"&amp;R155,LAYOUT!$E$2:$E$80,0)),"CEK ZONA NO di luar layout",IF(S155&lt;&gt;INDEX(LAYOUT!$D$2:$D$80,MATCH(T155&amp;"|"&amp;R155,LAYOUT!$E$2:$E$80,0)),"CEK JENIS ZONA",IF($D155="","Zona STOCK",IF($E155="","CEK SKU DESCRIPTION kosong","OK")))))))</f>
        <v/>
      </c>
      <c r="V155" s="11" t="n"/>
      <c r="W155" s="11" t="n"/>
      <c r="X155" s="11" t="n"/>
      <c r="Y155" s="12">
        <f>IF(V155="","",IFERROR(INDEX(DAFTAR_FIXTURE!$B$2:$B$51,MATCH(V155,DAFTAR_FIXTURE!$A$2:$A$51,0)),""))</f>
        <v/>
      </c>
      <c r="Z155" s="12">
        <f>IF(V155="","",IF(Y155="","CEK ID FIXTURE tidak ada di DAFTAR_FIXTURE",IF(W155="","CEK ZONA NO kosong",IF(ISNA(MATCH(Y155&amp;"|"&amp;W155,LAYOUT!$E$2:$E$80,0)),"CEK ZONA NO di luar layout",IF(X155&lt;&gt;INDEX(LAYOUT!$D$2:$D$80,MATCH(Y155&amp;"|"&amp;W155,LAYOUT!$E$2:$E$80,0)),"CEK JENIS ZONA",IF($D155="","Zona STOCK",IF($E155="","CEK SKU DESCRIPTION kosong","OK")))))))</f>
        <v/>
      </c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1" t="n"/>
      <c r="M156" s="11" t="n"/>
      <c r="N156" s="11" t="n"/>
      <c r="O156" s="12">
        <f>IF(L156="","",IFERROR(INDEX(DAFTAR_FIXTURE!$B$2:$B$51,MATCH(L156,DAFTAR_FIXTURE!$A$2:$A$51,0)),""))</f>
        <v/>
      </c>
      <c r="P156" s="12">
        <f>IF(AND($D156="",L156=""),"",IF(L156="",IF(AND(Q156="",V156=""),"Belum ditempatkan",""),IF(O156="","CEK ID FIXTURE tidak ada di DAFTAR_FIXTURE",IF(M156="","CEK ZONA NO kosong",IF(ISNA(MATCH(O156&amp;"|"&amp;M156,LAYOUT!$E$2:$E$80,0)),"CEK ZONA NO di luar layout",IF(N156&lt;&gt;INDEX(LAYOUT!$D$2:$D$80,MATCH(O156&amp;"|"&amp;M156,LAYOUT!$E$2:$E$80,0)),"CEK JENIS ZONA",IF($D156="","Zona STOCK",IF($E156="","CEK SKU DESCRIPTION kosong","OK"))))))))</f>
        <v/>
      </c>
      <c r="Q156" s="11" t="n"/>
      <c r="R156" s="11" t="n"/>
      <c r="S156" s="11" t="n"/>
      <c r="T156" s="12">
        <f>IF(Q156="","",IFERROR(INDEX(DAFTAR_FIXTURE!$B$2:$B$51,MATCH(Q156,DAFTAR_FIXTURE!$A$2:$A$51,0)),""))</f>
        <v/>
      </c>
      <c r="U156" s="12">
        <f>IF(Q156="","",IF(T156="","CEK ID FIXTURE tidak ada di DAFTAR_FIXTURE",IF(R156="","CEK ZONA NO kosong",IF(ISNA(MATCH(T156&amp;"|"&amp;R156,LAYOUT!$E$2:$E$80,0)),"CEK ZONA NO di luar layout",IF(S156&lt;&gt;INDEX(LAYOUT!$D$2:$D$80,MATCH(T156&amp;"|"&amp;R156,LAYOUT!$E$2:$E$80,0)),"CEK JENIS ZONA",IF($D156="","Zona STOCK",IF($E156="","CEK SKU DESCRIPTION kosong","OK")))))))</f>
        <v/>
      </c>
      <c r="V156" s="11" t="n"/>
      <c r="W156" s="11" t="n"/>
      <c r="X156" s="11" t="n"/>
      <c r="Y156" s="12">
        <f>IF(V156="","",IFERROR(INDEX(DAFTAR_FIXTURE!$B$2:$B$51,MATCH(V156,DAFTAR_FIXTURE!$A$2:$A$51,0)),""))</f>
        <v/>
      </c>
      <c r="Z156" s="12">
        <f>IF(V156="","",IF(Y156="","CEK ID FIXTURE tidak ada di DAFTAR_FIXTURE",IF(W156="","CEK ZONA NO kosong",IF(ISNA(MATCH(Y156&amp;"|"&amp;W156,LAYOUT!$E$2:$E$80,0)),"CEK ZONA NO di luar layout",IF(X156&lt;&gt;INDEX(LAYOUT!$D$2:$D$80,MATCH(Y156&amp;"|"&amp;W156,LAYOUT!$E$2:$E$80,0)),"CEK JENIS ZONA",IF($D156="","Zona STOCK",IF($E156="","CEK SKU DESCRIPTION kosong","OK")))))))</f>
        <v/>
      </c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1" t="n"/>
      <c r="M157" s="11" t="n"/>
      <c r="N157" s="11" t="n"/>
      <c r="O157" s="12">
        <f>IF(L157="","",IFERROR(INDEX(DAFTAR_FIXTURE!$B$2:$B$51,MATCH(L157,DAFTAR_FIXTURE!$A$2:$A$51,0)),""))</f>
        <v/>
      </c>
      <c r="P157" s="12">
        <f>IF(AND($D157="",L157=""),"",IF(L157="",IF(AND(Q157="",V157=""),"Belum ditempatkan",""),IF(O157="","CEK ID FIXTURE tidak ada di DAFTAR_FIXTURE",IF(M157="","CEK ZONA NO kosong",IF(ISNA(MATCH(O157&amp;"|"&amp;M157,LAYOUT!$E$2:$E$80,0)),"CEK ZONA NO di luar layout",IF(N157&lt;&gt;INDEX(LAYOUT!$D$2:$D$80,MATCH(O157&amp;"|"&amp;M157,LAYOUT!$E$2:$E$80,0)),"CEK JENIS ZONA",IF($D157="","Zona STOCK",IF($E157="","CEK SKU DESCRIPTION kosong","OK"))))))))</f>
        <v/>
      </c>
      <c r="Q157" s="11" t="n"/>
      <c r="R157" s="11" t="n"/>
      <c r="S157" s="11" t="n"/>
      <c r="T157" s="12">
        <f>IF(Q157="","",IFERROR(INDEX(DAFTAR_FIXTURE!$B$2:$B$51,MATCH(Q157,DAFTAR_FIXTURE!$A$2:$A$51,0)),""))</f>
        <v/>
      </c>
      <c r="U157" s="12">
        <f>IF(Q157="","",IF(T157="","CEK ID FIXTURE tidak ada di DAFTAR_FIXTURE",IF(R157="","CEK ZONA NO kosong",IF(ISNA(MATCH(T157&amp;"|"&amp;R157,LAYOUT!$E$2:$E$80,0)),"CEK ZONA NO di luar layout",IF(S157&lt;&gt;INDEX(LAYOUT!$D$2:$D$80,MATCH(T157&amp;"|"&amp;R157,LAYOUT!$E$2:$E$80,0)),"CEK JENIS ZONA",IF($D157="","Zona STOCK",IF($E157="","CEK SKU DESCRIPTION kosong","OK")))))))</f>
        <v/>
      </c>
      <c r="V157" s="11" t="n"/>
      <c r="W157" s="11" t="n"/>
      <c r="X157" s="11" t="n"/>
      <c r="Y157" s="12">
        <f>IF(V157="","",IFERROR(INDEX(DAFTAR_FIXTURE!$B$2:$B$51,MATCH(V157,DAFTAR_FIXTURE!$A$2:$A$51,0)),""))</f>
        <v/>
      </c>
      <c r="Z157" s="12">
        <f>IF(V157="","",IF(Y157="","CEK ID FIXTURE tidak ada di DAFTAR_FIXTURE",IF(W157="","CEK ZONA NO kosong",IF(ISNA(MATCH(Y157&amp;"|"&amp;W157,LAYOUT!$E$2:$E$80,0)),"CEK ZONA NO di luar layout",IF(X157&lt;&gt;INDEX(LAYOUT!$D$2:$D$80,MATCH(Y157&amp;"|"&amp;W157,LAYOUT!$E$2:$E$80,0)),"CEK JENIS ZONA",IF($D157="","Zona STOCK",IF($E157="","CEK SKU DESCRIPTION kosong","OK")))))))</f>
        <v/>
      </c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1" t="n"/>
      <c r="M158" s="11" t="n"/>
      <c r="N158" s="11" t="n"/>
      <c r="O158" s="12">
        <f>IF(L158="","",IFERROR(INDEX(DAFTAR_FIXTURE!$B$2:$B$51,MATCH(L158,DAFTAR_FIXTURE!$A$2:$A$51,0)),""))</f>
        <v/>
      </c>
      <c r="P158" s="12">
        <f>IF(AND($D158="",L158=""),"",IF(L158="",IF(AND(Q158="",V158=""),"Belum ditempatkan",""),IF(O158="","CEK ID FIXTURE tidak ada di DAFTAR_FIXTURE",IF(M158="","CEK ZONA NO kosong",IF(ISNA(MATCH(O158&amp;"|"&amp;M158,LAYOUT!$E$2:$E$80,0)),"CEK ZONA NO di luar layout",IF(N158&lt;&gt;INDEX(LAYOUT!$D$2:$D$80,MATCH(O158&amp;"|"&amp;M158,LAYOUT!$E$2:$E$80,0)),"CEK JENIS ZONA",IF($D158="","Zona STOCK",IF($E158="","CEK SKU DESCRIPTION kosong","OK"))))))))</f>
        <v/>
      </c>
      <c r="Q158" s="11" t="n"/>
      <c r="R158" s="11" t="n"/>
      <c r="S158" s="11" t="n"/>
      <c r="T158" s="12">
        <f>IF(Q158="","",IFERROR(INDEX(DAFTAR_FIXTURE!$B$2:$B$51,MATCH(Q158,DAFTAR_FIXTURE!$A$2:$A$51,0)),""))</f>
        <v/>
      </c>
      <c r="U158" s="12">
        <f>IF(Q158="","",IF(T158="","CEK ID FIXTURE tidak ada di DAFTAR_FIXTURE",IF(R158="","CEK ZONA NO kosong",IF(ISNA(MATCH(T158&amp;"|"&amp;R158,LAYOUT!$E$2:$E$80,0)),"CEK ZONA NO di luar layout",IF(S158&lt;&gt;INDEX(LAYOUT!$D$2:$D$80,MATCH(T158&amp;"|"&amp;R158,LAYOUT!$E$2:$E$80,0)),"CEK JENIS ZONA",IF($D158="","Zona STOCK",IF($E158="","CEK SKU DESCRIPTION kosong","OK")))))))</f>
        <v/>
      </c>
      <c r="V158" s="11" t="n"/>
      <c r="W158" s="11" t="n"/>
      <c r="X158" s="11" t="n"/>
      <c r="Y158" s="12">
        <f>IF(V158="","",IFERROR(INDEX(DAFTAR_FIXTURE!$B$2:$B$51,MATCH(V158,DAFTAR_FIXTURE!$A$2:$A$51,0)),""))</f>
        <v/>
      </c>
      <c r="Z158" s="12">
        <f>IF(V158="","",IF(Y158="","CEK ID FIXTURE tidak ada di DAFTAR_FIXTURE",IF(W158="","CEK ZONA NO kosong",IF(ISNA(MATCH(Y158&amp;"|"&amp;W158,LAYOUT!$E$2:$E$80,0)),"CEK ZONA NO di luar layout",IF(X158&lt;&gt;INDEX(LAYOUT!$D$2:$D$80,MATCH(Y158&amp;"|"&amp;W158,LAYOUT!$E$2:$E$80,0)),"CEK JENIS ZONA",IF($D158="","Zona STOCK",IF($E158="","CEK SKU DESCRIPTION kosong","OK")))))))</f>
        <v/>
      </c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1" t="n"/>
      <c r="M159" s="11" t="n"/>
      <c r="N159" s="11" t="n"/>
      <c r="O159" s="12">
        <f>IF(L159="","",IFERROR(INDEX(DAFTAR_FIXTURE!$B$2:$B$51,MATCH(L159,DAFTAR_FIXTURE!$A$2:$A$51,0)),""))</f>
        <v/>
      </c>
      <c r="P159" s="12">
        <f>IF(AND($D159="",L159=""),"",IF(L159="",IF(AND(Q159="",V159=""),"Belum ditempatkan",""),IF(O159="","CEK ID FIXTURE tidak ada di DAFTAR_FIXTURE",IF(M159="","CEK ZONA NO kosong",IF(ISNA(MATCH(O159&amp;"|"&amp;M159,LAYOUT!$E$2:$E$80,0)),"CEK ZONA NO di luar layout",IF(N159&lt;&gt;INDEX(LAYOUT!$D$2:$D$80,MATCH(O159&amp;"|"&amp;M159,LAYOUT!$E$2:$E$80,0)),"CEK JENIS ZONA",IF($D159="","Zona STOCK",IF($E159="","CEK SKU DESCRIPTION kosong","OK"))))))))</f>
        <v/>
      </c>
      <c r="Q159" s="11" t="n"/>
      <c r="R159" s="11" t="n"/>
      <c r="S159" s="11" t="n"/>
      <c r="T159" s="12">
        <f>IF(Q159="","",IFERROR(INDEX(DAFTAR_FIXTURE!$B$2:$B$51,MATCH(Q159,DAFTAR_FIXTURE!$A$2:$A$51,0)),""))</f>
        <v/>
      </c>
      <c r="U159" s="12">
        <f>IF(Q159="","",IF(T159="","CEK ID FIXTURE tidak ada di DAFTAR_FIXTURE",IF(R159="","CEK ZONA NO kosong",IF(ISNA(MATCH(T159&amp;"|"&amp;R159,LAYOUT!$E$2:$E$80,0)),"CEK ZONA NO di luar layout",IF(S159&lt;&gt;INDEX(LAYOUT!$D$2:$D$80,MATCH(T159&amp;"|"&amp;R159,LAYOUT!$E$2:$E$80,0)),"CEK JENIS ZONA",IF($D159="","Zona STOCK",IF($E159="","CEK SKU DESCRIPTION kosong","OK")))))))</f>
        <v/>
      </c>
      <c r="V159" s="11" t="n"/>
      <c r="W159" s="11" t="n"/>
      <c r="X159" s="11" t="n"/>
      <c r="Y159" s="12">
        <f>IF(V159="","",IFERROR(INDEX(DAFTAR_FIXTURE!$B$2:$B$51,MATCH(V159,DAFTAR_FIXTURE!$A$2:$A$51,0)),""))</f>
        <v/>
      </c>
      <c r="Z159" s="12">
        <f>IF(V159="","",IF(Y159="","CEK ID FIXTURE tidak ada di DAFTAR_FIXTURE",IF(W159="","CEK ZONA NO kosong",IF(ISNA(MATCH(Y159&amp;"|"&amp;W159,LAYOUT!$E$2:$E$80,0)),"CEK ZONA NO di luar layout",IF(X159&lt;&gt;INDEX(LAYOUT!$D$2:$D$80,MATCH(Y159&amp;"|"&amp;W159,LAYOUT!$E$2:$E$80,0)),"CEK JENIS ZONA",IF($D159="","Zona STOCK",IF($E159="","CEK SKU DESCRIPTION kosong","OK")))))))</f>
        <v/>
      </c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1" t="n"/>
      <c r="M160" s="11" t="n"/>
      <c r="N160" s="11" t="n"/>
      <c r="O160" s="12">
        <f>IF(L160="","",IFERROR(INDEX(DAFTAR_FIXTURE!$B$2:$B$51,MATCH(L160,DAFTAR_FIXTURE!$A$2:$A$51,0)),""))</f>
        <v/>
      </c>
      <c r="P160" s="12">
        <f>IF(AND($D160="",L160=""),"",IF(L160="",IF(AND(Q160="",V160=""),"Belum ditempatkan",""),IF(O160="","CEK ID FIXTURE tidak ada di DAFTAR_FIXTURE",IF(M160="","CEK ZONA NO kosong",IF(ISNA(MATCH(O160&amp;"|"&amp;M160,LAYOUT!$E$2:$E$80,0)),"CEK ZONA NO di luar layout",IF(N160&lt;&gt;INDEX(LAYOUT!$D$2:$D$80,MATCH(O160&amp;"|"&amp;M160,LAYOUT!$E$2:$E$80,0)),"CEK JENIS ZONA",IF($D160="","Zona STOCK",IF($E160="","CEK SKU DESCRIPTION kosong","OK"))))))))</f>
        <v/>
      </c>
      <c r="Q160" s="11" t="n"/>
      <c r="R160" s="11" t="n"/>
      <c r="S160" s="11" t="n"/>
      <c r="T160" s="12">
        <f>IF(Q160="","",IFERROR(INDEX(DAFTAR_FIXTURE!$B$2:$B$51,MATCH(Q160,DAFTAR_FIXTURE!$A$2:$A$51,0)),""))</f>
        <v/>
      </c>
      <c r="U160" s="12">
        <f>IF(Q160="","",IF(T160="","CEK ID FIXTURE tidak ada di DAFTAR_FIXTURE",IF(R160="","CEK ZONA NO kosong",IF(ISNA(MATCH(T160&amp;"|"&amp;R160,LAYOUT!$E$2:$E$80,0)),"CEK ZONA NO di luar layout",IF(S160&lt;&gt;INDEX(LAYOUT!$D$2:$D$80,MATCH(T160&amp;"|"&amp;R160,LAYOUT!$E$2:$E$80,0)),"CEK JENIS ZONA",IF($D160="","Zona STOCK",IF($E160="","CEK SKU DESCRIPTION kosong","OK")))))))</f>
        <v/>
      </c>
      <c r="V160" s="11" t="n"/>
      <c r="W160" s="11" t="n"/>
      <c r="X160" s="11" t="n"/>
      <c r="Y160" s="12">
        <f>IF(V160="","",IFERROR(INDEX(DAFTAR_FIXTURE!$B$2:$B$51,MATCH(V160,DAFTAR_FIXTURE!$A$2:$A$51,0)),""))</f>
        <v/>
      </c>
      <c r="Z160" s="12">
        <f>IF(V160="","",IF(Y160="","CEK ID FIXTURE tidak ada di DAFTAR_FIXTURE",IF(W160="","CEK ZONA NO kosong",IF(ISNA(MATCH(Y160&amp;"|"&amp;W160,LAYOUT!$E$2:$E$80,0)),"CEK ZONA NO di luar layout",IF(X160&lt;&gt;INDEX(LAYOUT!$D$2:$D$80,MATCH(Y160&amp;"|"&amp;W160,LAYOUT!$E$2:$E$80,0)),"CEK JENIS ZONA",IF($D160="","Zona STOCK",IF($E160="","CEK SKU DESCRIPTION kosong","OK")))))))</f>
        <v/>
      </c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1" t="n"/>
      <c r="M161" s="11" t="n"/>
      <c r="N161" s="11" t="n"/>
      <c r="O161" s="12">
        <f>IF(L161="","",IFERROR(INDEX(DAFTAR_FIXTURE!$B$2:$B$51,MATCH(L161,DAFTAR_FIXTURE!$A$2:$A$51,0)),""))</f>
        <v/>
      </c>
      <c r="P161" s="12">
        <f>IF(AND($D161="",L161=""),"",IF(L161="",IF(AND(Q161="",V161=""),"Belum ditempatkan",""),IF(O161="","CEK ID FIXTURE tidak ada di DAFTAR_FIXTURE",IF(M161="","CEK ZONA NO kosong",IF(ISNA(MATCH(O161&amp;"|"&amp;M161,LAYOUT!$E$2:$E$80,0)),"CEK ZONA NO di luar layout",IF(N161&lt;&gt;INDEX(LAYOUT!$D$2:$D$80,MATCH(O161&amp;"|"&amp;M161,LAYOUT!$E$2:$E$80,0)),"CEK JENIS ZONA",IF($D161="","Zona STOCK",IF($E161="","CEK SKU DESCRIPTION kosong","OK"))))))))</f>
        <v/>
      </c>
      <c r="Q161" s="11" t="n"/>
      <c r="R161" s="11" t="n"/>
      <c r="S161" s="11" t="n"/>
      <c r="T161" s="12">
        <f>IF(Q161="","",IFERROR(INDEX(DAFTAR_FIXTURE!$B$2:$B$51,MATCH(Q161,DAFTAR_FIXTURE!$A$2:$A$51,0)),""))</f>
        <v/>
      </c>
      <c r="U161" s="12">
        <f>IF(Q161="","",IF(T161="","CEK ID FIXTURE tidak ada di DAFTAR_FIXTURE",IF(R161="","CEK ZONA NO kosong",IF(ISNA(MATCH(T161&amp;"|"&amp;R161,LAYOUT!$E$2:$E$80,0)),"CEK ZONA NO di luar layout",IF(S161&lt;&gt;INDEX(LAYOUT!$D$2:$D$80,MATCH(T161&amp;"|"&amp;R161,LAYOUT!$E$2:$E$80,0)),"CEK JENIS ZONA",IF($D161="","Zona STOCK",IF($E161="","CEK SKU DESCRIPTION kosong","OK")))))))</f>
        <v/>
      </c>
      <c r="V161" s="11" t="n"/>
      <c r="W161" s="11" t="n"/>
      <c r="X161" s="11" t="n"/>
      <c r="Y161" s="12">
        <f>IF(V161="","",IFERROR(INDEX(DAFTAR_FIXTURE!$B$2:$B$51,MATCH(V161,DAFTAR_FIXTURE!$A$2:$A$51,0)),""))</f>
        <v/>
      </c>
      <c r="Z161" s="12">
        <f>IF(V161="","",IF(Y161="","CEK ID FIXTURE tidak ada di DAFTAR_FIXTURE",IF(W161="","CEK ZONA NO kosong",IF(ISNA(MATCH(Y161&amp;"|"&amp;W161,LAYOUT!$E$2:$E$80,0)),"CEK ZONA NO di luar layout",IF(X161&lt;&gt;INDEX(LAYOUT!$D$2:$D$80,MATCH(Y161&amp;"|"&amp;W161,LAYOUT!$E$2:$E$80,0)),"CEK JENIS ZONA",IF($D161="","Zona STOCK",IF($E161="","CEK SKU DESCRIPTION kosong","OK")))))))</f>
        <v/>
      </c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1" t="n"/>
      <c r="M162" s="11" t="n"/>
      <c r="N162" s="11" t="n"/>
      <c r="O162" s="12">
        <f>IF(L162="","",IFERROR(INDEX(DAFTAR_FIXTURE!$B$2:$B$51,MATCH(L162,DAFTAR_FIXTURE!$A$2:$A$51,0)),""))</f>
        <v/>
      </c>
      <c r="P162" s="12">
        <f>IF(AND($D162="",L162=""),"",IF(L162="",IF(AND(Q162="",V162=""),"Belum ditempatkan",""),IF(O162="","CEK ID FIXTURE tidak ada di DAFTAR_FIXTURE",IF(M162="","CEK ZONA NO kosong",IF(ISNA(MATCH(O162&amp;"|"&amp;M162,LAYOUT!$E$2:$E$80,0)),"CEK ZONA NO di luar layout",IF(N162&lt;&gt;INDEX(LAYOUT!$D$2:$D$80,MATCH(O162&amp;"|"&amp;M162,LAYOUT!$E$2:$E$80,0)),"CEK JENIS ZONA",IF($D162="","Zona STOCK",IF($E162="","CEK SKU DESCRIPTION kosong","OK"))))))))</f>
        <v/>
      </c>
      <c r="Q162" s="11" t="n"/>
      <c r="R162" s="11" t="n"/>
      <c r="S162" s="11" t="n"/>
      <c r="T162" s="12">
        <f>IF(Q162="","",IFERROR(INDEX(DAFTAR_FIXTURE!$B$2:$B$51,MATCH(Q162,DAFTAR_FIXTURE!$A$2:$A$51,0)),""))</f>
        <v/>
      </c>
      <c r="U162" s="12">
        <f>IF(Q162="","",IF(T162="","CEK ID FIXTURE tidak ada di DAFTAR_FIXTURE",IF(R162="","CEK ZONA NO kosong",IF(ISNA(MATCH(T162&amp;"|"&amp;R162,LAYOUT!$E$2:$E$80,0)),"CEK ZONA NO di luar layout",IF(S162&lt;&gt;INDEX(LAYOUT!$D$2:$D$80,MATCH(T162&amp;"|"&amp;R162,LAYOUT!$E$2:$E$80,0)),"CEK JENIS ZONA",IF($D162="","Zona STOCK",IF($E162="","CEK SKU DESCRIPTION kosong","OK")))))))</f>
        <v/>
      </c>
      <c r="V162" s="11" t="n"/>
      <c r="W162" s="11" t="n"/>
      <c r="X162" s="11" t="n"/>
      <c r="Y162" s="12">
        <f>IF(V162="","",IFERROR(INDEX(DAFTAR_FIXTURE!$B$2:$B$51,MATCH(V162,DAFTAR_FIXTURE!$A$2:$A$51,0)),""))</f>
        <v/>
      </c>
      <c r="Z162" s="12">
        <f>IF(V162="","",IF(Y162="","CEK ID FIXTURE tidak ada di DAFTAR_FIXTURE",IF(W162="","CEK ZONA NO kosong",IF(ISNA(MATCH(Y162&amp;"|"&amp;W162,LAYOUT!$E$2:$E$80,0)),"CEK ZONA NO di luar layout",IF(X162&lt;&gt;INDEX(LAYOUT!$D$2:$D$80,MATCH(Y162&amp;"|"&amp;W162,LAYOUT!$E$2:$E$80,0)),"CEK JENIS ZONA",IF($D162="","Zona STOCK",IF($E162="","CEK SKU DESCRIPTION kosong","OK")))))))</f>
        <v/>
      </c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1" t="n"/>
      <c r="M163" s="11" t="n"/>
      <c r="N163" s="11" t="n"/>
      <c r="O163" s="12">
        <f>IF(L163="","",IFERROR(INDEX(DAFTAR_FIXTURE!$B$2:$B$51,MATCH(L163,DAFTAR_FIXTURE!$A$2:$A$51,0)),""))</f>
        <v/>
      </c>
      <c r="P163" s="12">
        <f>IF(AND($D163="",L163=""),"",IF(L163="",IF(AND(Q163="",V163=""),"Belum ditempatkan",""),IF(O163="","CEK ID FIXTURE tidak ada di DAFTAR_FIXTURE",IF(M163="","CEK ZONA NO kosong",IF(ISNA(MATCH(O163&amp;"|"&amp;M163,LAYOUT!$E$2:$E$80,0)),"CEK ZONA NO di luar layout",IF(N163&lt;&gt;INDEX(LAYOUT!$D$2:$D$80,MATCH(O163&amp;"|"&amp;M163,LAYOUT!$E$2:$E$80,0)),"CEK JENIS ZONA",IF($D163="","Zona STOCK",IF($E163="","CEK SKU DESCRIPTION kosong","OK"))))))))</f>
        <v/>
      </c>
      <c r="Q163" s="11" t="n"/>
      <c r="R163" s="11" t="n"/>
      <c r="S163" s="11" t="n"/>
      <c r="T163" s="12">
        <f>IF(Q163="","",IFERROR(INDEX(DAFTAR_FIXTURE!$B$2:$B$51,MATCH(Q163,DAFTAR_FIXTURE!$A$2:$A$51,0)),""))</f>
        <v/>
      </c>
      <c r="U163" s="12">
        <f>IF(Q163="","",IF(T163="","CEK ID FIXTURE tidak ada di DAFTAR_FIXTURE",IF(R163="","CEK ZONA NO kosong",IF(ISNA(MATCH(T163&amp;"|"&amp;R163,LAYOUT!$E$2:$E$80,0)),"CEK ZONA NO di luar layout",IF(S163&lt;&gt;INDEX(LAYOUT!$D$2:$D$80,MATCH(T163&amp;"|"&amp;R163,LAYOUT!$E$2:$E$80,0)),"CEK JENIS ZONA",IF($D163="","Zona STOCK",IF($E163="","CEK SKU DESCRIPTION kosong","OK")))))))</f>
        <v/>
      </c>
      <c r="V163" s="11" t="n"/>
      <c r="W163" s="11" t="n"/>
      <c r="X163" s="11" t="n"/>
      <c r="Y163" s="12">
        <f>IF(V163="","",IFERROR(INDEX(DAFTAR_FIXTURE!$B$2:$B$51,MATCH(V163,DAFTAR_FIXTURE!$A$2:$A$51,0)),""))</f>
        <v/>
      </c>
      <c r="Z163" s="12">
        <f>IF(V163="","",IF(Y163="","CEK ID FIXTURE tidak ada di DAFTAR_FIXTURE",IF(W163="","CEK ZONA NO kosong",IF(ISNA(MATCH(Y163&amp;"|"&amp;W163,LAYOUT!$E$2:$E$80,0)),"CEK ZONA NO di luar layout",IF(X163&lt;&gt;INDEX(LAYOUT!$D$2:$D$80,MATCH(Y163&amp;"|"&amp;W163,LAYOUT!$E$2:$E$80,0)),"CEK JENIS ZONA",IF($D163="","Zona STOCK",IF($E163="","CEK SKU DESCRIPTION kosong","OK")))))))</f>
        <v/>
      </c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1" t="n"/>
      <c r="M164" s="11" t="n"/>
      <c r="N164" s="11" t="n"/>
      <c r="O164" s="12">
        <f>IF(L164="","",IFERROR(INDEX(DAFTAR_FIXTURE!$B$2:$B$51,MATCH(L164,DAFTAR_FIXTURE!$A$2:$A$51,0)),""))</f>
        <v/>
      </c>
      <c r="P164" s="12">
        <f>IF(AND($D164="",L164=""),"",IF(L164="",IF(AND(Q164="",V164=""),"Belum ditempatkan",""),IF(O164="","CEK ID FIXTURE tidak ada di DAFTAR_FIXTURE",IF(M164="","CEK ZONA NO kosong",IF(ISNA(MATCH(O164&amp;"|"&amp;M164,LAYOUT!$E$2:$E$80,0)),"CEK ZONA NO di luar layout",IF(N164&lt;&gt;INDEX(LAYOUT!$D$2:$D$80,MATCH(O164&amp;"|"&amp;M164,LAYOUT!$E$2:$E$80,0)),"CEK JENIS ZONA",IF($D164="","Zona STOCK",IF($E164="","CEK SKU DESCRIPTION kosong","OK"))))))))</f>
        <v/>
      </c>
      <c r="Q164" s="11" t="n"/>
      <c r="R164" s="11" t="n"/>
      <c r="S164" s="11" t="n"/>
      <c r="T164" s="12">
        <f>IF(Q164="","",IFERROR(INDEX(DAFTAR_FIXTURE!$B$2:$B$51,MATCH(Q164,DAFTAR_FIXTURE!$A$2:$A$51,0)),""))</f>
        <v/>
      </c>
      <c r="U164" s="12">
        <f>IF(Q164="","",IF(T164="","CEK ID FIXTURE tidak ada di DAFTAR_FIXTURE",IF(R164="","CEK ZONA NO kosong",IF(ISNA(MATCH(T164&amp;"|"&amp;R164,LAYOUT!$E$2:$E$80,0)),"CEK ZONA NO di luar layout",IF(S164&lt;&gt;INDEX(LAYOUT!$D$2:$D$80,MATCH(T164&amp;"|"&amp;R164,LAYOUT!$E$2:$E$80,0)),"CEK JENIS ZONA",IF($D164="","Zona STOCK",IF($E164="","CEK SKU DESCRIPTION kosong","OK")))))))</f>
        <v/>
      </c>
      <c r="V164" s="11" t="n"/>
      <c r="W164" s="11" t="n"/>
      <c r="X164" s="11" t="n"/>
      <c r="Y164" s="12">
        <f>IF(V164="","",IFERROR(INDEX(DAFTAR_FIXTURE!$B$2:$B$51,MATCH(V164,DAFTAR_FIXTURE!$A$2:$A$51,0)),""))</f>
        <v/>
      </c>
      <c r="Z164" s="12">
        <f>IF(V164="","",IF(Y164="","CEK ID FIXTURE tidak ada di DAFTAR_FIXTURE",IF(W164="","CEK ZONA NO kosong",IF(ISNA(MATCH(Y164&amp;"|"&amp;W164,LAYOUT!$E$2:$E$80,0)),"CEK ZONA NO di luar layout",IF(X164&lt;&gt;INDEX(LAYOUT!$D$2:$D$80,MATCH(Y164&amp;"|"&amp;W164,LAYOUT!$E$2:$E$80,0)),"CEK JENIS ZONA",IF($D164="","Zona STOCK",IF($E164="","CEK SKU DESCRIPTION kosong","OK")))))))</f>
        <v/>
      </c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1" t="n"/>
      <c r="M165" s="11" t="n"/>
      <c r="N165" s="11" t="n"/>
      <c r="O165" s="12">
        <f>IF(L165="","",IFERROR(INDEX(DAFTAR_FIXTURE!$B$2:$B$51,MATCH(L165,DAFTAR_FIXTURE!$A$2:$A$51,0)),""))</f>
        <v/>
      </c>
      <c r="P165" s="12">
        <f>IF(AND($D165="",L165=""),"",IF(L165="",IF(AND(Q165="",V165=""),"Belum ditempatkan",""),IF(O165="","CEK ID FIXTURE tidak ada di DAFTAR_FIXTURE",IF(M165="","CEK ZONA NO kosong",IF(ISNA(MATCH(O165&amp;"|"&amp;M165,LAYOUT!$E$2:$E$80,0)),"CEK ZONA NO di luar layout",IF(N165&lt;&gt;INDEX(LAYOUT!$D$2:$D$80,MATCH(O165&amp;"|"&amp;M165,LAYOUT!$E$2:$E$80,0)),"CEK JENIS ZONA",IF($D165="","Zona STOCK",IF($E165="","CEK SKU DESCRIPTION kosong","OK"))))))))</f>
        <v/>
      </c>
      <c r="Q165" s="11" t="n"/>
      <c r="R165" s="11" t="n"/>
      <c r="S165" s="11" t="n"/>
      <c r="T165" s="12">
        <f>IF(Q165="","",IFERROR(INDEX(DAFTAR_FIXTURE!$B$2:$B$51,MATCH(Q165,DAFTAR_FIXTURE!$A$2:$A$51,0)),""))</f>
        <v/>
      </c>
      <c r="U165" s="12">
        <f>IF(Q165="","",IF(T165="","CEK ID FIXTURE tidak ada di DAFTAR_FIXTURE",IF(R165="","CEK ZONA NO kosong",IF(ISNA(MATCH(T165&amp;"|"&amp;R165,LAYOUT!$E$2:$E$80,0)),"CEK ZONA NO di luar layout",IF(S165&lt;&gt;INDEX(LAYOUT!$D$2:$D$80,MATCH(T165&amp;"|"&amp;R165,LAYOUT!$E$2:$E$80,0)),"CEK JENIS ZONA",IF($D165="","Zona STOCK",IF($E165="","CEK SKU DESCRIPTION kosong","OK")))))))</f>
        <v/>
      </c>
      <c r="V165" s="11" t="n"/>
      <c r="W165" s="11" t="n"/>
      <c r="X165" s="11" t="n"/>
      <c r="Y165" s="12">
        <f>IF(V165="","",IFERROR(INDEX(DAFTAR_FIXTURE!$B$2:$B$51,MATCH(V165,DAFTAR_FIXTURE!$A$2:$A$51,0)),""))</f>
        <v/>
      </c>
      <c r="Z165" s="12">
        <f>IF(V165="","",IF(Y165="","CEK ID FIXTURE tidak ada di DAFTAR_FIXTURE",IF(W165="","CEK ZONA NO kosong",IF(ISNA(MATCH(Y165&amp;"|"&amp;W165,LAYOUT!$E$2:$E$80,0)),"CEK ZONA NO di luar layout",IF(X165&lt;&gt;INDEX(LAYOUT!$D$2:$D$80,MATCH(Y165&amp;"|"&amp;W165,LAYOUT!$E$2:$E$80,0)),"CEK JENIS ZONA",IF($D165="","Zona STOCK",IF($E165="","CEK SKU DESCRIPTION kosong","OK")))))))</f>
        <v/>
      </c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1" t="n"/>
      <c r="M166" s="11" t="n"/>
      <c r="N166" s="11" t="n"/>
      <c r="O166" s="12">
        <f>IF(L166="","",IFERROR(INDEX(DAFTAR_FIXTURE!$B$2:$B$51,MATCH(L166,DAFTAR_FIXTURE!$A$2:$A$51,0)),""))</f>
        <v/>
      </c>
      <c r="P166" s="12">
        <f>IF(AND($D166="",L166=""),"",IF(L166="",IF(AND(Q166="",V166=""),"Belum ditempatkan",""),IF(O166="","CEK ID FIXTURE tidak ada di DAFTAR_FIXTURE",IF(M166="","CEK ZONA NO kosong",IF(ISNA(MATCH(O166&amp;"|"&amp;M166,LAYOUT!$E$2:$E$80,0)),"CEK ZONA NO di luar layout",IF(N166&lt;&gt;INDEX(LAYOUT!$D$2:$D$80,MATCH(O166&amp;"|"&amp;M166,LAYOUT!$E$2:$E$80,0)),"CEK JENIS ZONA",IF($D166="","Zona STOCK",IF($E166="","CEK SKU DESCRIPTION kosong","OK"))))))))</f>
        <v/>
      </c>
      <c r="Q166" s="11" t="n"/>
      <c r="R166" s="11" t="n"/>
      <c r="S166" s="11" t="n"/>
      <c r="T166" s="12">
        <f>IF(Q166="","",IFERROR(INDEX(DAFTAR_FIXTURE!$B$2:$B$51,MATCH(Q166,DAFTAR_FIXTURE!$A$2:$A$51,0)),""))</f>
        <v/>
      </c>
      <c r="U166" s="12">
        <f>IF(Q166="","",IF(T166="","CEK ID FIXTURE tidak ada di DAFTAR_FIXTURE",IF(R166="","CEK ZONA NO kosong",IF(ISNA(MATCH(T166&amp;"|"&amp;R166,LAYOUT!$E$2:$E$80,0)),"CEK ZONA NO di luar layout",IF(S166&lt;&gt;INDEX(LAYOUT!$D$2:$D$80,MATCH(T166&amp;"|"&amp;R166,LAYOUT!$E$2:$E$80,0)),"CEK JENIS ZONA",IF($D166="","Zona STOCK",IF($E166="","CEK SKU DESCRIPTION kosong","OK")))))))</f>
        <v/>
      </c>
      <c r="V166" s="11" t="n"/>
      <c r="W166" s="11" t="n"/>
      <c r="X166" s="11" t="n"/>
      <c r="Y166" s="12">
        <f>IF(V166="","",IFERROR(INDEX(DAFTAR_FIXTURE!$B$2:$B$51,MATCH(V166,DAFTAR_FIXTURE!$A$2:$A$51,0)),""))</f>
        <v/>
      </c>
      <c r="Z166" s="12">
        <f>IF(V166="","",IF(Y166="","CEK ID FIXTURE tidak ada di DAFTAR_FIXTURE",IF(W166="","CEK ZONA NO kosong",IF(ISNA(MATCH(Y166&amp;"|"&amp;W166,LAYOUT!$E$2:$E$80,0)),"CEK ZONA NO di luar layout",IF(X166&lt;&gt;INDEX(LAYOUT!$D$2:$D$80,MATCH(Y166&amp;"|"&amp;W166,LAYOUT!$E$2:$E$80,0)),"CEK JENIS ZONA",IF($D166="","Zona STOCK",IF($E166="","CEK SKU DESCRIPTION kosong","OK")))))))</f>
        <v/>
      </c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1" t="n"/>
      <c r="M167" s="11" t="n"/>
      <c r="N167" s="11" t="n"/>
      <c r="O167" s="12">
        <f>IF(L167="","",IFERROR(INDEX(DAFTAR_FIXTURE!$B$2:$B$51,MATCH(L167,DAFTAR_FIXTURE!$A$2:$A$51,0)),""))</f>
        <v/>
      </c>
      <c r="P167" s="12">
        <f>IF(AND($D167="",L167=""),"",IF(L167="",IF(AND(Q167="",V167=""),"Belum ditempatkan",""),IF(O167="","CEK ID FIXTURE tidak ada di DAFTAR_FIXTURE",IF(M167="","CEK ZONA NO kosong",IF(ISNA(MATCH(O167&amp;"|"&amp;M167,LAYOUT!$E$2:$E$80,0)),"CEK ZONA NO di luar layout",IF(N167&lt;&gt;INDEX(LAYOUT!$D$2:$D$80,MATCH(O167&amp;"|"&amp;M167,LAYOUT!$E$2:$E$80,0)),"CEK JENIS ZONA",IF($D167="","Zona STOCK",IF($E167="","CEK SKU DESCRIPTION kosong","OK"))))))))</f>
        <v/>
      </c>
      <c r="Q167" s="11" t="n"/>
      <c r="R167" s="11" t="n"/>
      <c r="S167" s="11" t="n"/>
      <c r="T167" s="12">
        <f>IF(Q167="","",IFERROR(INDEX(DAFTAR_FIXTURE!$B$2:$B$51,MATCH(Q167,DAFTAR_FIXTURE!$A$2:$A$51,0)),""))</f>
        <v/>
      </c>
      <c r="U167" s="12">
        <f>IF(Q167="","",IF(T167="","CEK ID FIXTURE tidak ada di DAFTAR_FIXTURE",IF(R167="","CEK ZONA NO kosong",IF(ISNA(MATCH(T167&amp;"|"&amp;R167,LAYOUT!$E$2:$E$80,0)),"CEK ZONA NO di luar layout",IF(S167&lt;&gt;INDEX(LAYOUT!$D$2:$D$80,MATCH(T167&amp;"|"&amp;R167,LAYOUT!$E$2:$E$80,0)),"CEK JENIS ZONA",IF($D167="","Zona STOCK",IF($E167="","CEK SKU DESCRIPTION kosong","OK")))))))</f>
        <v/>
      </c>
      <c r="V167" s="11" t="n"/>
      <c r="W167" s="11" t="n"/>
      <c r="X167" s="11" t="n"/>
      <c r="Y167" s="12">
        <f>IF(V167="","",IFERROR(INDEX(DAFTAR_FIXTURE!$B$2:$B$51,MATCH(V167,DAFTAR_FIXTURE!$A$2:$A$51,0)),""))</f>
        <v/>
      </c>
      <c r="Z167" s="12">
        <f>IF(V167="","",IF(Y167="","CEK ID FIXTURE tidak ada di DAFTAR_FIXTURE",IF(W167="","CEK ZONA NO kosong",IF(ISNA(MATCH(Y167&amp;"|"&amp;W167,LAYOUT!$E$2:$E$80,0)),"CEK ZONA NO di luar layout",IF(X167&lt;&gt;INDEX(LAYOUT!$D$2:$D$80,MATCH(Y167&amp;"|"&amp;W167,LAYOUT!$E$2:$E$80,0)),"CEK JENIS ZONA",IF($D167="","Zona STOCK",IF($E167="","CEK SKU DESCRIPTION kosong","OK")))))))</f>
        <v/>
      </c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1" t="n"/>
      <c r="M168" s="11" t="n"/>
      <c r="N168" s="11" t="n"/>
      <c r="O168" s="12">
        <f>IF(L168="","",IFERROR(INDEX(DAFTAR_FIXTURE!$B$2:$B$51,MATCH(L168,DAFTAR_FIXTURE!$A$2:$A$51,0)),""))</f>
        <v/>
      </c>
      <c r="P168" s="12">
        <f>IF(AND($D168="",L168=""),"",IF(L168="",IF(AND(Q168="",V168=""),"Belum ditempatkan",""),IF(O168="","CEK ID FIXTURE tidak ada di DAFTAR_FIXTURE",IF(M168="","CEK ZONA NO kosong",IF(ISNA(MATCH(O168&amp;"|"&amp;M168,LAYOUT!$E$2:$E$80,0)),"CEK ZONA NO di luar layout",IF(N168&lt;&gt;INDEX(LAYOUT!$D$2:$D$80,MATCH(O168&amp;"|"&amp;M168,LAYOUT!$E$2:$E$80,0)),"CEK JENIS ZONA",IF($D168="","Zona STOCK",IF($E168="","CEK SKU DESCRIPTION kosong","OK"))))))))</f>
        <v/>
      </c>
      <c r="Q168" s="11" t="n"/>
      <c r="R168" s="11" t="n"/>
      <c r="S168" s="11" t="n"/>
      <c r="T168" s="12">
        <f>IF(Q168="","",IFERROR(INDEX(DAFTAR_FIXTURE!$B$2:$B$51,MATCH(Q168,DAFTAR_FIXTURE!$A$2:$A$51,0)),""))</f>
        <v/>
      </c>
      <c r="U168" s="12">
        <f>IF(Q168="","",IF(T168="","CEK ID FIXTURE tidak ada di DAFTAR_FIXTURE",IF(R168="","CEK ZONA NO kosong",IF(ISNA(MATCH(T168&amp;"|"&amp;R168,LAYOUT!$E$2:$E$80,0)),"CEK ZONA NO di luar layout",IF(S168&lt;&gt;INDEX(LAYOUT!$D$2:$D$80,MATCH(T168&amp;"|"&amp;R168,LAYOUT!$E$2:$E$80,0)),"CEK JENIS ZONA",IF($D168="","Zona STOCK",IF($E168="","CEK SKU DESCRIPTION kosong","OK")))))))</f>
        <v/>
      </c>
      <c r="V168" s="11" t="n"/>
      <c r="W168" s="11" t="n"/>
      <c r="X168" s="11" t="n"/>
      <c r="Y168" s="12">
        <f>IF(V168="","",IFERROR(INDEX(DAFTAR_FIXTURE!$B$2:$B$51,MATCH(V168,DAFTAR_FIXTURE!$A$2:$A$51,0)),""))</f>
        <v/>
      </c>
      <c r="Z168" s="12">
        <f>IF(V168="","",IF(Y168="","CEK ID FIXTURE tidak ada di DAFTAR_FIXTURE",IF(W168="","CEK ZONA NO kosong",IF(ISNA(MATCH(Y168&amp;"|"&amp;W168,LAYOUT!$E$2:$E$80,0)),"CEK ZONA NO di luar layout",IF(X168&lt;&gt;INDEX(LAYOUT!$D$2:$D$80,MATCH(Y168&amp;"|"&amp;W168,LAYOUT!$E$2:$E$80,0)),"CEK JENIS ZONA",IF($D168="","Zona STOCK",IF($E168="","CEK SKU DESCRIPTION kosong","OK")))))))</f>
        <v/>
      </c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1" t="n"/>
      <c r="M169" s="11" t="n"/>
      <c r="N169" s="11" t="n"/>
      <c r="O169" s="12">
        <f>IF(L169="","",IFERROR(INDEX(DAFTAR_FIXTURE!$B$2:$B$51,MATCH(L169,DAFTAR_FIXTURE!$A$2:$A$51,0)),""))</f>
        <v/>
      </c>
      <c r="P169" s="12">
        <f>IF(AND($D169="",L169=""),"",IF(L169="",IF(AND(Q169="",V169=""),"Belum ditempatkan",""),IF(O169="","CEK ID FIXTURE tidak ada di DAFTAR_FIXTURE",IF(M169="","CEK ZONA NO kosong",IF(ISNA(MATCH(O169&amp;"|"&amp;M169,LAYOUT!$E$2:$E$80,0)),"CEK ZONA NO di luar layout",IF(N169&lt;&gt;INDEX(LAYOUT!$D$2:$D$80,MATCH(O169&amp;"|"&amp;M169,LAYOUT!$E$2:$E$80,0)),"CEK JENIS ZONA",IF($D169="","Zona STOCK",IF($E169="","CEK SKU DESCRIPTION kosong","OK"))))))))</f>
        <v/>
      </c>
      <c r="Q169" s="11" t="n"/>
      <c r="R169" s="11" t="n"/>
      <c r="S169" s="11" t="n"/>
      <c r="T169" s="12">
        <f>IF(Q169="","",IFERROR(INDEX(DAFTAR_FIXTURE!$B$2:$B$51,MATCH(Q169,DAFTAR_FIXTURE!$A$2:$A$51,0)),""))</f>
        <v/>
      </c>
      <c r="U169" s="12">
        <f>IF(Q169="","",IF(T169="","CEK ID FIXTURE tidak ada di DAFTAR_FIXTURE",IF(R169="","CEK ZONA NO kosong",IF(ISNA(MATCH(T169&amp;"|"&amp;R169,LAYOUT!$E$2:$E$80,0)),"CEK ZONA NO di luar layout",IF(S169&lt;&gt;INDEX(LAYOUT!$D$2:$D$80,MATCH(T169&amp;"|"&amp;R169,LAYOUT!$E$2:$E$80,0)),"CEK JENIS ZONA",IF($D169="","Zona STOCK",IF($E169="","CEK SKU DESCRIPTION kosong","OK")))))))</f>
        <v/>
      </c>
      <c r="V169" s="11" t="n"/>
      <c r="W169" s="11" t="n"/>
      <c r="X169" s="11" t="n"/>
      <c r="Y169" s="12">
        <f>IF(V169="","",IFERROR(INDEX(DAFTAR_FIXTURE!$B$2:$B$51,MATCH(V169,DAFTAR_FIXTURE!$A$2:$A$51,0)),""))</f>
        <v/>
      </c>
      <c r="Z169" s="12">
        <f>IF(V169="","",IF(Y169="","CEK ID FIXTURE tidak ada di DAFTAR_FIXTURE",IF(W169="","CEK ZONA NO kosong",IF(ISNA(MATCH(Y169&amp;"|"&amp;W169,LAYOUT!$E$2:$E$80,0)),"CEK ZONA NO di luar layout",IF(X169&lt;&gt;INDEX(LAYOUT!$D$2:$D$80,MATCH(Y169&amp;"|"&amp;W169,LAYOUT!$E$2:$E$80,0)),"CEK JENIS ZONA",IF($D169="","Zona STOCK",IF($E169="","CEK SKU DESCRIPTION kosong","OK")))))))</f>
        <v/>
      </c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1" t="n"/>
      <c r="M170" s="11" t="n"/>
      <c r="N170" s="11" t="n"/>
      <c r="O170" s="12">
        <f>IF(L170="","",IFERROR(INDEX(DAFTAR_FIXTURE!$B$2:$B$51,MATCH(L170,DAFTAR_FIXTURE!$A$2:$A$51,0)),""))</f>
        <v/>
      </c>
      <c r="P170" s="12">
        <f>IF(AND($D170="",L170=""),"",IF(L170="",IF(AND(Q170="",V170=""),"Belum ditempatkan",""),IF(O170="","CEK ID FIXTURE tidak ada di DAFTAR_FIXTURE",IF(M170="","CEK ZONA NO kosong",IF(ISNA(MATCH(O170&amp;"|"&amp;M170,LAYOUT!$E$2:$E$80,0)),"CEK ZONA NO di luar layout",IF(N170&lt;&gt;INDEX(LAYOUT!$D$2:$D$80,MATCH(O170&amp;"|"&amp;M170,LAYOUT!$E$2:$E$80,0)),"CEK JENIS ZONA",IF($D170="","Zona STOCK",IF($E170="","CEK SKU DESCRIPTION kosong","OK"))))))))</f>
        <v/>
      </c>
      <c r="Q170" s="11" t="n"/>
      <c r="R170" s="11" t="n"/>
      <c r="S170" s="11" t="n"/>
      <c r="T170" s="12">
        <f>IF(Q170="","",IFERROR(INDEX(DAFTAR_FIXTURE!$B$2:$B$51,MATCH(Q170,DAFTAR_FIXTURE!$A$2:$A$51,0)),""))</f>
        <v/>
      </c>
      <c r="U170" s="12">
        <f>IF(Q170="","",IF(T170="","CEK ID FIXTURE tidak ada di DAFTAR_FIXTURE",IF(R170="","CEK ZONA NO kosong",IF(ISNA(MATCH(T170&amp;"|"&amp;R170,LAYOUT!$E$2:$E$80,0)),"CEK ZONA NO di luar layout",IF(S170&lt;&gt;INDEX(LAYOUT!$D$2:$D$80,MATCH(T170&amp;"|"&amp;R170,LAYOUT!$E$2:$E$80,0)),"CEK JENIS ZONA",IF($D170="","Zona STOCK",IF($E170="","CEK SKU DESCRIPTION kosong","OK")))))))</f>
        <v/>
      </c>
      <c r="V170" s="11" t="n"/>
      <c r="W170" s="11" t="n"/>
      <c r="X170" s="11" t="n"/>
      <c r="Y170" s="12">
        <f>IF(V170="","",IFERROR(INDEX(DAFTAR_FIXTURE!$B$2:$B$51,MATCH(V170,DAFTAR_FIXTURE!$A$2:$A$51,0)),""))</f>
        <v/>
      </c>
      <c r="Z170" s="12">
        <f>IF(V170="","",IF(Y170="","CEK ID FIXTURE tidak ada di DAFTAR_FIXTURE",IF(W170="","CEK ZONA NO kosong",IF(ISNA(MATCH(Y170&amp;"|"&amp;W170,LAYOUT!$E$2:$E$80,0)),"CEK ZONA NO di luar layout",IF(X170&lt;&gt;INDEX(LAYOUT!$D$2:$D$80,MATCH(Y170&amp;"|"&amp;W170,LAYOUT!$E$2:$E$80,0)),"CEK JENIS ZONA",IF($D170="","Zona STOCK",IF($E170="","CEK SKU DESCRIPTION kosong","OK")))))))</f>
        <v/>
      </c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1" t="n"/>
      <c r="M171" s="11" t="n"/>
      <c r="N171" s="11" t="n"/>
      <c r="O171" s="12">
        <f>IF(L171="","",IFERROR(INDEX(DAFTAR_FIXTURE!$B$2:$B$51,MATCH(L171,DAFTAR_FIXTURE!$A$2:$A$51,0)),""))</f>
        <v/>
      </c>
      <c r="P171" s="12">
        <f>IF(AND($D171="",L171=""),"",IF(L171="",IF(AND(Q171="",V171=""),"Belum ditempatkan",""),IF(O171="","CEK ID FIXTURE tidak ada di DAFTAR_FIXTURE",IF(M171="","CEK ZONA NO kosong",IF(ISNA(MATCH(O171&amp;"|"&amp;M171,LAYOUT!$E$2:$E$80,0)),"CEK ZONA NO di luar layout",IF(N171&lt;&gt;INDEX(LAYOUT!$D$2:$D$80,MATCH(O171&amp;"|"&amp;M171,LAYOUT!$E$2:$E$80,0)),"CEK JENIS ZONA",IF($D171="","Zona STOCK",IF($E171="","CEK SKU DESCRIPTION kosong","OK"))))))))</f>
        <v/>
      </c>
      <c r="Q171" s="11" t="n"/>
      <c r="R171" s="11" t="n"/>
      <c r="S171" s="11" t="n"/>
      <c r="T171" s="12">
        <f>IF(Q171="","",IFERROR(INDEX(DAFTAR_FIXTURE!$B$2:$B$51,MATCH(Q171,DAFTAR_FIXTURE!$A$2:$A$51,0)),""))</f>
        <v/>
      </c>
      <c r="U171" s="12">
        <f>IF(Q171="","",IF(T171="","CEK ID FIXTURE tidak ada di DAFTAR_FIXTURE",IF(R171="","CEK ZONA NO kosong",IF(ISNA(MATCH(T171&amp;"|"&amp;R171,LAYOUT!$E$2:$E$80,0)),"CEK ZONA NO di luar layout",IF(S171&lt;&gt;INDEX(LAYOUT!$D$2:$D$80,MATCH(T171&amp;"|"&amp;R171,LAYOUT!$E$2:$E$80,0)),"CEK JENIS ZONA",IF($D171="","Zona STOCK",IF($E171="","CEK SKU DESCRIPTION kosong","OK")))))))</f>
        <v/>
      </c>
      <c r="V171" s="11" t="n"/>
      <c r="W171" s="11" t="n"/>
      <c r="X171" s="11" t="n"/>
      <c r="Y171" s="12">
        <f>IF(V171="","",IFERROR(INDEX(DAFTAR_FIXTURE!$B$2:$B$51,MATCH(V171,DAFTAR_FIXTURE!$A$2:$A$51,0)),""))</f>
        <v/>
      </c>
      <c r="Z171" s="12">
        <f>IF(V171="","",IF(Y171="","CEK ID FIXTURE tidak ada di DAFTAR_FIXTURE",IF(W171="","CEK ZONA NO kosong",IF(ISNA(MATCH(Y171&amp;"|"&amp;W171,LAYOUT!$E$2:$E$80,0)),"CEK ZONA NO di luar layout",IF(X171&lt;&gt;INDEX(LAYOUT!$D$2:$D$80,MATCH(Y171&amp;"|"&amp;W171,LAYOUT!$E$2:$E$80,0)),"CEK JENIS ZONA",IF($D171="","Zona STOCK",IF($E171="","CEK SKU DESCRIPTION kosong","OK")))))))</f>
        <v/>
      </c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1" t="n"/>
      <c r="M172" s="11" t="n"/>
      <c r="N172" s="11" t="n"/>
      <c r="O172" s="12">
        <f>IF(L172="","",IFERROR(INDEX(DAFTAR_FIXTURE!$B$2:$B$51,MATCH(L172,DAFTAR_FIXTURE!$A$2:$A$51,0)),""))</f>
        <v/>
      </c>
      <c r="P172" s="12">
        <f>IF(AND($D172="",L172=""),"",IF(L172="",IF(AND(Q172="",V172=""),"Belum ditempatkan",""),IF(O172="","CEK ID FIXTURE tidak ada di DAFTAR_FIXTURE",IF(M172="","CEK ZONA NO kosong",IF(ISNA(MATCH(O172&amp;"|"&amp;M172,LAYOUT!$E$2:$E$80,0)),"CEK ZONA NO di luar layout",IF(N172&lt;&gt;INDEX(LAYOUT!$D$2:$D$80,MATCH(O172&amp;"|"&amp;M172,LAYOUT!$E$2:$E$80,0)),"CEK JENIS ZONA",IF($D172="","Zona STOCK",IF($E172="","CEK SKU DESCRIPTION kosong","OK"))))))))</f>
        <v/>
      </c>
      <c r="Q172" s="11" t="n"/>
      <c r="R172" s="11" t="n"/>
      <c r="S172" s="11" t="n"/>
      <c r="T172" s="12">
        <f>IF(Q172="","",IFERROR(INDEX(DAFTAR_FIXTURE!$B$2:$B$51,MATCH(Q172,DAFTAR_FIXTURE!$A$2:$A$51,0)),""))</f>
        <v/>
      </c>
      <c r="U172" s="12">
        <f>IF(Q172="","",IF(T172="","CEK ID FIXTURE tidak ada di DAFTAR_FIXTURE",IF(R172="","CEK ZONA NO kosong",IF(ISNA(MATCH(T172&amp;"|"&amp;R172,LAYOUT!$E$2:$E$80,0)),"CEK ZONA NO di luar layout",IF(S172&lt;&gt;INDEX(LAYOUT!$D$2:$D$80,MATCH(T172&amp;"|"&amp;R172,LAYOUT!$E$2:$E$80,0)),"CEK JENIS ZONA",IF($D172="","Zona STOCK",IF($E172="","CEK SKU DESCRIPTION kosong","OK")))))))</f>
        <v/>
      </c>
      <c r="V172" s="11" t="n"/>
      <c r="W172" s="11" t="n"/>
      <c r="X172" s="11" t="n"/>
      <c r="Y172" s="12">
        <f>IF(V172="","",IFERROR(INDEX(DAFTAR_FIXTURE!$B$2:$B$51,MATCH(V172,DAFTAR_FIXTURE!$A$2:$A$51,0)),""))</f>
        <v/>
      </c>
      <c r="Z172" s="12">
        <f>IF(V172="","",IF(Y172="","CEK ID FIXTURE tidak ada di DAFTAR_FIXTURE",IF(W172="","CEK ZONA NO kosong",IF(ISNA(MATCH(Y172&amp;"|"&amp;W172,LAYOUT!$E$2:$E$80,0)),"CEK ZONA NO di luar layout",IF(X172&lt;&gt;INDEX(LAYOUT!$D$2:$D$80,MATCH(Y172&amp;"|"&amp;W172,LAYOUT!$E$2:$E$80,0)),"CEK JENIS ZONA",IF($D172="","Zona STOCK",IF($E172="","CEK SKU DESCRIPTION kosong","OK")))))))</f>
        <v/>
      </c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1" t="n"/>
      <c r="M173" s="11" t="n"/>
      <c r="N173" s="11" t="n"/>
      <c r="O173" s="12">
        <f>IF(L173="","",IFERROR(INDEX(DAFTAR_FIXTURE!$B$2:$B$51,MATCH(L173,DAFTAR_FIXTURE!$A$2:$A$51,0)),""))</f>
        <v/>
      </c>
      <c r="P173" s="12">
        <f>IF(AND($D173="",L173=""),"",IF(L173="",IF(AND(Q173="",V173=""),"Belum ditempatkan",""),IF(O173="","CEK ID FIXTURE tidak ada di DAFTAR_FIXTURE",IF(M173="","CEK ZONA NO kosong",IF(ISNA(MATCH(O173&amp;"|"&amp;M173,LAYOUT!$E$2:$E$80,0)),"CEK ZONA NO di luar layout",IF(N173&lt;&gt;INDEX(LAYOUT!$D$2:$D$80,MATCH(O173&amp;"|"&amp;M173,LAYOUT!$E$2:$E$80,0)),"CEK JENIS ZONA",IF($D173="","Zona STOCK",IF($E173="","CEK SKU DESCRIPTION kosong","OK"))))))))</f>
        <v/>
      </c>
      <c r="Q173" s="11" t="n"/>
      <c r="R173" s="11" t="n"/>
      <c r="S173" s="11" t="n"/>
      <c r="T173" s="12">
        <f>IF(Q173="","",IFERROR(INDEX(DAFTAR_FIXTURE!$B$2:$B$51,MATCH(Q173,DAFTAR_FIXTURE!$A$2:$A$51,0)),""))</f>
        <v/>
      </c>
      <c r="U173" s="12">
        <f>IF(Q173="","",IF(T173="","CEK ID FIXTURE tidak ada di DAFTAR_FIXTURE",IF(R173="","CEK ZONA NO kosong",IF(ISNA(MATCH(T173&amp;"|"&amp;R173,LAYOUT!$E$2:$E$80,0)),"CEK ZONA NO di luar layout",IF(S173&lt;&gt;INDEX(LAYOUT!$D$2:$D$80,MATCH(T173&amp;"|"&amp;R173,LAYOUT!$E$2:$E$80,0)),"CEK JENIS ZONA",IF($D173="","Zona STOCK",IF($E173="","CEK SKU DESCRIPTION kosong","OK")))))))</f>
        <v/>
      </c>
      <c r="V173" s="11" t="n"/>
      <c r="W173" s="11" t="n"/>
      <c r="X173" s="11" t="n"/>
      <c r="Y173" s="12">
        <f>IF(V173="","",IFERROR(INDEX(DAFTAR_FIXTURE!$B$2:$B$51,MATCH(V173,DAFTAR_FIXTURE!$A$2:$A$51,0)),""))</f>
        <v/>
      </c>
      <c r="Z173" s="12">
        <f>IF(V173="","",IF(Y173="","CEK ID FIXTURE tidak ada di DAFTAR_FIXTURE",IF(W173="","CEK ZONA NO kosong",IF(ISNA(MATCH(Y173&amp;"|"&amp;W173,LAYOUT!$E$2:$E$80,0)),"CEK ZONA NO di luar layout",IF(X173&lt;&gt;INDEX(LAYOUT!$D$2:$D$80,MATCH(Y173&amp;"|"&amp;W173,LAYOUT!$E$2:$E$80,0)),"CEK JENIS ZONA",IF($D173="","Zona STOCK",IF($E173="","CEK SKU DESCRIPTION kosong","OK")))))))</f>
        <v/>
      </c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1" t="n"/>
      <c r="M174" s="11" t="n"/>
      <c r="N174" s="11" t="n"/>
      <c r="O174" s="12">
        <f>IF(L174="","",IFERROR(INDEX(DAFTAR_FIXTURE!$B$2:$B$51,MATCH(L174,DAFTAR_FIXTURE!$A$2:$A$51,0)),""))</f>
        <v/>
      </c>
      <c r="P174" s="12">
        <f>IF(AND($D174="",L174=""),"",IF(L174="",IF(AND(Q174="",V174=""),"Belum ditempatkan",""),IF(O174="","CEK ID FIXTURE tidak ada di DAFTAR_FIXTURE",IF(M174="","CEK ZONA NO kosong",IF(ISNA(MATCH(O174&amp;"|"&amp;M174,LAYOUT!$E$2:$E$80,0)),"CEK ZONA NO di luar layout",IF(N174&lt;&gt;INDEX(LAYOUT!$D$2:$D$80,MATCH(O174&amp;"|"&amp;M174,LAYOUT!$E$2:$E$80,0)),"CEK JENIS ZONA",IF($D174="","Zona STOCK",IF($E174="","CEK SKU DESCRIPTION kosong","OK"))))))))</f>
        <v/>
      </c>
      <c r="Q174" s="11" t="n"/>
      <c r="R174" s="11" t="n"/>
      <c r="S174" s="11" t="n"/>
      <c r="T174" s="12">
        <f>IF(Q174="","",IFERROR(INDEX(DAFTAR_FIXTURE!$B$2:$B$51,MATCH(Q174,DAFTAR_FIXTURE!$A$2:$A$51,0)),""))</f>
        <v/>
      </c>
      <c r="U174" s="12">
        <f>IF(Q174="","",IF(T174="","CEK ID FIXTURE tidak ada di DAFTAR_FIXTURE",IF(R174="","CEK ZONA NO kosong",IF(ISNA(MATCH(T174&amp;"|"&amp;R174,LAYOUT!$E$2:$E$80,0)),"CEK ZONA NO di luar layout",IF(S174&lt;&gt;INDEX(LAYOUT!$D$2:$D$80,MATCH(T174&amp;"|"&amp;R174,LAYOUT!$E$2:$E$80,0)),"CEK JENIS ZONA",IF($D174="","Zona STOCK",IF($E174="","CEK SKU DESCRIPTION kosong","OK")))))))</f>
        <v/>
      </c>
      <c r="V174" s="11" t="n"/>
      <c r="W174" s="11" t="n"/>
      <c r="X174" s="11" t="n"/>
      <c r="Y174" s="12">
        <f>IF(V174="","",IFERROR(INDEX(DAFTAR_FIXTURE!$B$2:$B$51,MATCH(V174,DAFTAR_FIXTURE!$A$2:$A$51,0)),""))</f>
        <v/>
      </c>
      <c r="Z174" s="12">
        <f>IF(V174="","",IF(Y174="","CEK ID FIXTURE tidak ada di DAFTAR_FIXTURE",IF(W174="","CEK ZONA NO kosong",IF(ISNA(MATCH(Y174&amp;"|"&amp;W174,LAYOUT!$E$2:$E$80,0)),"CEK ZONA NO di luar layout",IF(X174&lt;&gt;INDEX(LAYOUT!$D$2:$D$80,MATCH(Y174&amp;"|"&amp;W174,LAYOUT!$E$2:$E$80,0)),"CEK JENIS ZONA",IF($D174="","Zona STOCK",IF($E174="","CEK SKU DESCRIPTION kosong","OK")))))))</f>
        <v/>
      </c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1" t="n"/>
      <c r="M175" s="11" t="n"/>
      <c r="N175" s="11" t="n"/>
      <c r="O175" s="12">
        <f>IF(L175="","",IFERROR(INDEX(DAFTAR_FIXTURE!$B$2:$B$51,MATCH(L175,DAFTAR_FIXTURE!$A$2:$A$51,0)),""))</f>
        <v/>
      </c>
      <c r="P175" s="12">
        <f>IF(AND($D175="",L175=""),"",IF(L175="",IF(AND(Q175="",V175=""),"Belum ditempatkan",""),IF(O175="","CEK ID FIXTURE tidak ada di DAFTAR_FIXTURE",IF(M175="","CEK ZONA NO kosong",IF(ISNA(MATCH(O175&amp;"|"&amp;M175,LAYOUT!$E$2:$E$80,0)),"CEK ZONA NO di luar layout",IF(N175&lt;&gt;INDEX(LAYOUT!$D$2:$D$80,MATCH(O175&amp;"|"&amp;M175,LAYOUT!$E$2:$E$80,0)),"CEK JENIS ZONA",IF($D175="","Zona STOCK",IF($E175="","CEK SKU DESCRIPTION kosong","OK"))))))))</f>
        <v/>
      </c>
      <c r="Q175" s="11" t="n"/>
      <c r="R175" s="11" t="n"/>
      <c r="S175" s="11" t="n"/>
      <c r="T175" s="12">
        <f>IF(Q175="","",IFERROR(INDEX(DAFTAR_FIXTURE!$B$2:$B$51,MATCH(Q175,DAFTAR_FIXTURE!$A$2:$A$51,0)),""))</f>
        <v/>
      </c>
      <c r="U175" s="12">
        <f>IF(Q175="","",IF(T175="","CEK ID FIXTURE tidak ada di DAFTAR_FIXTURE",IF(R175="","CEK ZONA NO kosong",IF(ISNA(MATCH(T175&amp;"|"&amp;R175,LAYOUT!$E$2:$E$80,0)),"CEK ZONA NO di luar layout",IF(S175&lt;&gt;INDEX(LAYOUT!$D$2:$D$80,MATCH(T175&amp;"|"&amp;R175,LAYOUT!$E$2:$E$80,0)),"CEK JENIS ZONA",IF($D175="","Zona STOCK",IF($E175="","CEK SKU DESCRIPTION kosong","OK")))))))</f>
        <v/>
      </c>
      <c r="V175" s="11" t="n"/>
      <c r="W175" s="11" t="n"/>
      <c r="X175" s="11" t="n"/>
      <c r="Y175" s="12">
        <f>IF(V175="","",IFERROR(INDEX(DAFTAR_FIXTURE!$B$2:$B$51,MATCH(V175,DAFTAR_FIXTURE!$A$2:$A$51,0)),""))</f>
        <v/>
      </c>
      <c r="Z175" s="12">
        <f>IF(V175="","",IF(Y175="","CEK ID FIXTURE tidak ada di DAFTAR_FIXTURE",IF(W175="","CEK ZONA NO kosong",IF(ISNA(MATCH(Y175&amp;"|"&amp;W175,LAYOUT!$E$2:$E$80,0)),"CEK ZONA NO di luar layout",IF(X175&lt;&gt;INDEX(LAYOUT!$D$2:$D$80,MATCH(Y175&amp;"|"&amp;W175,LAYOUT!$E$2:$E$80,0)),"CEK JENIS ZONA",IF($D175="","Zona STOCK",IF($E175="","CEK SKU DESCRIPTION kosong","OK")))))))</f>
        <v/>
      </c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1" t="n"/>
      <c r="M176" s="11" t="n"/>
      <c r="N176" s="11" t="n"/>
      <c r="O176" s="12">
        <f>IF(L176="","",IFERROR(INDEX(DAFTAR_FIXTURE!$B$2:$B$51,MATCH(L176,DAFTAR_FIXTURE!$A$2:$A$51,0)),""))</f>
        <v/>
      </c>
      <c r="P176" s="12">
        <f>IF(AND($D176="",L176=""),"",IF(L176="",IF(AND(Q176="",V176=""),"Belum ditempatkan",""),IF(O176="","CEK ID FIXTURE tidak ada di DAFTAR_FIXTURE",IF(M176="","CEK ZONA NO kosong",IF(ISNA(MATCH(O176&amp;"|"&amp;M176,LAYOUT!$E$2:$E$80,0)),"CEK ZONA NO di luar layout",IF(N176&lt;&gt;INDEX(LAYOUT!$D$2:$D$80,MATCH(O176&amp;"|"&amp;M176,LAYOUT!$E$2:$E$80,0)),"CEK JENIS ZONA",IF($D176="","Zona STOCK",IF($E176="","CEK SKU DESCRIPTION kosong","OK"))))))))</f>
        <v/>
      </c>
      <c r="Q176" s="11" t="n"/>
      <c r="R176" s="11" t="n"/>
      <c r="S176" s="11" t="n"/>
      <c r="T176" s="12">
        <f>IF(Q176="","",IFERROR(INDEX(DAFTAR_FIXTURE!$B$2:$B$51,MATCH(Q176,DAFTAR_FIXTURE!$A$2:$A$51,0)),""))</f>
        <v/>
      </c>
      <c r="U176" s="12">
        <f>IF(Q176="","",IF(T176="","CEK ID FIXTURE tidak ada di DAFTAR_FIXTURE",IF(R176="","CEK ZONA NO kosong",IF(ISNA(MATCH(T176&amp;"|"&amp;R176,LAYOUT!$E$2:$E$80,0)),"CEK ZONA NO di luar layout",IF(S176&lt;&gt;INDEX(LAYOUT!$D$2:$D$80,MATCH(T176&amp;"|"&amp;R176,LAYOUT!$E$2:$E$80,0)),"CEK JENIS ZONA",IF($D176="","Zona STOCK",IF($E176="","CEK SKU DESCRIPTION kosong","OK")))))))</f>
        <v/>
      </c>
      <c r="V176" s="11" t="n"/>
      <c r="W176" s="11" t="n"/>
      <c r="X176" s="11" t="n"/>
      <c r="Y176" s="12">
        <f>IF(V176="","",IFERROR(INDEX(DAFTAR_FIXTURE!$B$2:$B$51,MATCH(V176,DAFTAR_FIXTURE!$A$2:$A$51,0)),""))</f>
        <v/>
      </c>
      <c r="Z176" s="12">
        <f>IF(V176="","",IF(Y176="","CEK ID FIXTURE tidak ada di DAFTAR_FIXTURE",IF(W176="","CEK ZONA NO kosong",IF(ISNA(MATCH(Y176&amp;"|"&amp;W176,LAYOUT!$E$2:$E$80,0)),"CEK ZONA NO di luar layout",IF(X176&lt;&gt;INDEX(LAYOUT!$D$2:$D$80,MATCH(Y176&amp;"|"&amp;W176,LAYOUT!$E$2:$E$80,0)),"CEK JENIS ZONA",IF($D176="","Zona STOCK",IF($E176="","CEK SKU DESCRIPTION kosong","OK")))))))</f>
        <v/>
      </c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1" t="n"/>
      <c r="M177" s="11" t="n"/>
      <c r="N177" s="11" t="n"/>
      <c r="O177" s="12">
        <f>IF(L177="","",IFERROR(INDEX(DAFTAR_FIXTURE!$B$2:$B$51,MATCH(L177,DAFTAR_FIXTURE!$A$2:$A$51,0)),""))</f>
        <v/>
      </c>
      <c r="P177" s="12">
        <f>IF(AND($D177="",L177=""),"",IF(L177="",IF(AND(Q177="",V177=""),"Belum ditempatkan",""),IF(O177="","CEK ID FIXTURE tidak ada di DAFTAR_FIXTURE",IF(M177="","CEK ZONA NO kosong",IF(ISNA(MATCH(O177&amp;"|"&amp;M177,LAYOUT!$E$2:$E$80,0)),"CEK ZONA NO di luar layout",IF(N177&lt;&gt;INDEX(LAYOUT!$D$2:$D$80,MATCH(O177&amp;"|"&amp;M177,LAYOUT!$E$2:$E$80,0)),"CEK JENIS ZONA",IF($D177="","Zona STOCK",IF($E177="","CEK SKU DESCRIPTION kosong","OK"))))))))</f>
        <v/>
      </c>
      <c r="Q177" s="11" t="n"/>
      <c r="R177" s="11" t="n"/>
      <c r="S177" s="11" t="n"/>
      <c r="T177" s="12">
        <f>IF(Q177="","",IFERROR(INDEX(DAFTAR_FIXTURE!$B$2:$B$51,MATCH(Q177,DAFTAR_FIXTURE!$A$2:$A$51,0)),""))</f>
        <v/>
      </c>
      <c r="U177" s="12">
        <f>IF(Q177="","",IF(T177="","CEK ID FIXTURE tidak ada di DAFTAR_FIXTURE",IF(R177="","CEK ZONA NO kosong",IF(ISNA(MATCH(T177&amp;"|"&amp;R177,LAYOUT!$E$2:$E$80,0)),"CEK ZONA NO di luar layout",IF(S177&lt;&gt;INDEX(LAYOUT!$D$2:$D$80,MATCH(T177&amp;"|"&amp;R177,LAYOUT!$E$2:$E$80,0)),"CEK JENIS ZONA",IF($D177="","Zona STOCK",IF($E177="","CEK SKU DESCRIPTION kosong","OK")))))))</f>
        <v/>
      </c>
      <c r="V177" s="11" t="n"/>
      <c r="W177" s="11" t="n"/>
      <c r="X177" s="11" t="n"/>
      <c r="Y177" s="12">
        <f>IF(V177="","",IFERROR(INDEX(DAFTAR_FIXTURE!$B$2:$B$51,MATCH(V177,DAFTAR_FIXTURE!$A$2:$A$51,0)),""))</f>
        <v/>
      </c>
      <c r="Z177" s="12">
        <f>IF(V177="","",IF(Y177="","CEK ID FIXTURE tidak ada di DAFTAR_FIXTURE",IF(W177="","CEK ZONA NO kosong",IF(ISNA(MATCH(Y177&amp;"|"&amp;W177,LAYOUT!$E$2:$E$80,0)),"CEK ZONA NO di luar layout",IF(X177&lt;&gt;INDEX(LAYOUT!$D$2:$D$80,MATCH(Y177&amp;"|"&amp;W177,LAYOUT!$E$2:$E$80,0)),"CEK JENIS ZONA",IF($D177="","Zona STOCK",IF($E177="","CEK SKU DESCRIPTION kosong","OK")))))))</f>
        <v/>
      </c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1" t="n"/>
      <c r="M178" s="11" t="n"/>
      <c r="N178" s="11" t="n"/>
      <c r="O178" s="12">
        <f>IF(L178="","",IFERROR(INDEX(DAFTAR_FIXTURE!$B$2:$B$51,MATCH(L178,DAFTAR_FIXTURE!$A$2:$A$51,0)),""))</f>
        <v/>
      </c>
      <c r="P178" s="12">
        <f>IF(AND($D178="",L178=""),"",IF(L178="",IF(AND(Q178="",V178=""),"Belum ditempatkan",""),IF(O178="","CEK ID FIXTURE tidak ada di DAFTAR_FIXTURE",IF(M178="","CEK ZONA NO kosong",IF(ISNA(MATCH(O178&amp;"|"&amp;M178,LAYOUT!$E$2:$E$80,0)),"CEK ZONA NO di luar layout",IF(N178&lt;&gt;INDEX(LAYOUT!$D$2:$D$80,MATCH(O178&amp;"|"&amp;M178,LAYOUT!$E$2:$E$80,0)),"CEK JENIS ZONA",IF($D178="","Zona STOCK",IF($E178="","CEK SKU DESCRIPTION kosong","OK"))))))))</f>
        <v/>
      </c>
      <c r="Q178" s="11" t="n"/>
      <c r="R178" s="11" t="n"/>
      <c r="S178" s="11" t="n"/>
      <c r="T178" s="12">
        <f>IF(Q178="","",IFERROR(INDEX(DAFTAR_FIXTURE!$B$2:$B$51,MATCH(Q178,DAFTAR_FIXTURE!$A$2:$A$51,0)),""))</f>
        <v/>
      </c>
      <c r="U178" s="12">
        <f>IF(Q178="","",IF(T178="","CEK ID FIXTURE tidak ada di DAFTAR_FIXTURE",IF(R178="","CEK ZONA NO kosong",IF(ISNA(MATCH(T178&amp;"|"&amp;R178,LAYOUT!$E$2:$E$80,0)),"CEK ZONA NO di luar layout",IF(S178&lt;&gt;INDEX(LAYOUT!$D$2:$D$80,MATCH(T178&amp;"|"&amp;R178,LAYOUT!$E$2:$E$80,0)),"CEK JENIS ZONA",IF($D178="","Zona STOCK",IF($E178="","CEK SKU DESCRIPTION kosong","OK")))))))</f>
        <v/>
      </c>
      <c r="V178" s="11" t="n"/>
      <c r="W178" s="11" t="n"/>
      <c r="X178" s="11" t="n"/>
      <c r="Y178" s="12">
        <f>IF(V178="","",IFERROR(INDEX(DAFTAR_FIXTURE!$B$2:$B$51,MATCH(V178,DAFTAR_FIXTURE!$A$2:$A$51,0)),""))</f>
        <v/>
      </c>
      <c r="Z178" s="12">
        <f>IF(V178="","",IF(Y178="","CEK ID FIXTURE tidak ada di DAFTAR_FIXTURE",IF(W178="","CEK ZONA NO kosong",IF(ISNA(MATCH(Y178&amp;"|"&amp;W178,LAYOUT!$E$2:$E$80,0)),"CEK ZONA NO di luar layout",IF(X178&lt;&gt;INDEX(LAYOUT!$D$2:$D$80,MATCH(Y178&amp;"|"&amp;W178,LAYOUT!$E$2:$E$80,0)),"CEK JENIS ZONA",IF($D178="","Zona STOCK",IF($E178="","CEK SKU DESCRIPTION kosong","OK")))))))</f>
        <v/>
      </c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1" t="n"/>
      <c r="M179" s="11" t="n"/>
      <c r="N179" s="11" t="n"/>
      <c r="O179" s="12">
        <f>IF(L179="","",IFERROR(INDEX(DAFTAR_FIXTURE!$B$2:$B$51,MATCH(L179,DAFTAR_FIXTURE!$A$2:$A$51,0)),""))</f>
        <v/>
      </c>
      <c r="P179" s="12">
        <f>IF(AND($D179="",L179=""),"",IF(L179="",IF(AND(Q179="",V179=""),"Belum ditempatkan",""),IF(O179="","CEK ID FIXTURE tidak ada di DAFTAR_FIXTURE",IF(M179="","CEK ZONA NO kosong",IF(ISNA(MATCH(O179&amp;"|"&amp;M179,LAYOUT!$E$2:$E$80,0)),"CEK ZONA NO di luar layout",IF(N179&lt;&gt;INDEX(LAYOUT!$D$2:$D$80,MATCH(O179&amp;"|"&amp;M179,LAYOUT!$E$2:$E$80,0)),"CEK JENIS ZONA",IF($D179="","Zona STOCK",IF($E179="","CEK SKU DESCRIPTION kosong","OK"))))))))</f>
        <v/>
      </c>
      <c r="Q179" s="11" t="n"/>
      <c r="R179" s="11" t="n"/>
      <c r="S179" s="11" t="n"/>
      <c r="T179" s="12">
        <f>IF(Q179="","",IFERROR(INDEX(DAFTAR_FIXTURE!$B$2:$B$51,MATCH(Q179,DAFTAR_FIXTURE!$A$2:$A$51,0)),""))</f>
        <v/>
      </c>
      <c r="U179" s="12">
        <f>IF(Q179="","",IF(T179="","CEK ID FIXTURE tidak ada di DAFTAR_FIXTURE",IF(R179="","CEK ZONA NO kosong",IF(ISNA(MATCH(T179&amp;"|"&amp;R179,LAYOUT!$E$2:$E$80,0)),"CEK ZONA NO di luar layout",IF(S179&lt;&gt;INDEX(LAYOUT!$D$2:$D$80,MATCH(T179&amp;"|"&amp;R179,LAYOUT!$E$2:$E$80,0)),"CEK JENIS ZONA",IF($D179="","Zona STOCK",IF($E179="","CEK SKU DESCRIPTION kosong","OK")))))))</f>
        <v/>
      </c>
      <c r="V179" s="11" t="n"/>
      <c r="W179" s="11" t="n"/>
      <c r="X179" s="11" t="n"/>
      <c r="Y179" s="12">
        <f>IF(V179="","",IFERROR(INDEX(DAFTAR_FIXTURE!$B$2:$B$51,MATCH(V179,DAFTAR_FIXTURE!$A$2:$A$51,0)),""))</f>
        <v/>
      </c>
      <c r="Z179" s="12">
        <f>IF(V179="","",IF(Y179="","CEK ID FIXTURE tidak ada di DAFTAR_FIXTURE",IF(W179="","CEK ZONA NO kosong",IF(ISNA(MATCH(Y179&amp;"|"&amp;W179,LAYOUT!$E$2:$E$80,0)),"CEK ZONA NO di luar layout",IF(X179&lt;&gt;INDEX(LAYOUT!$D$2:$D$80,MATCH(Y179&amp;"|"&amp;W179,LAYOUT!$E$2:$E$80,0)),"CEK JENIS ZONA",IF($D179="","Zona STOCK",IF($E179="","CEK SKU DESCRIPTION kosong","OK")))))))</f>
        <v/>
      </c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1" t="n"/>
      <c r="M180" s="11" t="n"/>
      <c r="N180" s="11" t="n"/>
      <c r="O180" s="12">
        <f>IF(L180="","",IFERROR(INDEX(DAFTAR_FIXTURE!$B$2:$B$51,MATCH(L180,DAFTAR_FIXTURE!$A$2:$A$51,0)),""))</f>
        <v/>
      </c>
      <c r="P180" s="12">
        <f>IF(AND($D180="",L180=""),"",IF(L180="",IF(AND(Q180="",V180=""),"Belum ditempatkan",""),IF(O180="","CEK ID FIXTURE tidak ada di DAFTAR_FIXTURE",IF(M180="","CEK ZONA NO kosong",IF(ISNA(MATCH(O180&amp;"|"&amp;M180,LAYOUT!$E$2:$E$80,0)),"CEK ZONA NO di luar layout",IF(N180&lt;&gt;INDEX(LAYOUT!$D$2:$D$80,MATCH(O180&amp;"|"&amp;M180,LAYOUT!$E$2:$E$80,0)),"CEK JENIS ZONA",IF($D180="","Zona STOCK",IF($E180="","CEK SKU DESCRIPTION kosong","OK"))))))))</f>
        <v/>
      </c>
      <c r="Q180" s="11" t="n"/>
      <c r="R180" s="11" t="n"/>
      <c r="S180" s="11" t="n"/>
      <c r="T180" s="12">
        <f>IF(Q180="","",IFERROR(INDEX(DAFTAR_FIXTURE!$B$2:$B$51,MATCH(Q180,DAFTAR_FIXTURE!$A$2:$A$51,0)),""))</f>
        <v/>
      </c>
      <c r="U180" s="12">
        <f>IF(Q180="","",IF(T180="","CEK ID FIXTURE tidak ada di DAFTAR_FIXTURE",IF(R180="","CEK ZONA NO kosong",IF(ISNA(MATCH(T180&amp;"|"&amp;R180,LAYOUT!$E$2:$E$80,0)),"CEK ZONA NO di luar layout",IF(S180&lt;&gt;INDEX(LAYOUT!$D$2:$D$80,MATCH(T180&amp;"|"&amp;R180,LAYOUT!$E$2:$E$80,0)),"CEK JENIS ZONA",IF($D180="","Zona STOCK",IF($E180="","CEK SKU DESCRIPTION kosong","OK")))))))</f>
        <v/>
      </c>
      <c r="V180" s="11" t="n"/>
      <c r="W180" s="11" t="n"/>
      <c r="X180" s="11" t="n"/>
      <c r="Y180" s="12">
        <f>IF(V180="","",IFERROR(INDEX(DAFTAR_FIXTURE!$B$2:$B$51,MATCH(V180,DAFTAR_FIXTURE!$A$2:$A$51,0)),""))</f>
        <v/>
      </c>
      <c r="Z180" s="12">
        <f>IF(V180="","",IF(Y180="","CEK ID FIXTURE tidak ada di DAFTAR_FIXTURE",IF(W180="","CEK ZONA NO kosong",IF(ISNA(MATCH(Y180&amp;"|"&amp;W180,LAYOUT!$E$2:$E$80,0)),"CEK ZONA NO di luar layout",IF(X180&lt;&gt;INDEX(LAYOUT!$D$2:$D$80,MATCH(Y180&amp;"|"&amp;W180,LAYOUT!$E$2:$E$80,0)),"CEK JENIS ZONA",IF($D180="","Zona STOCK",IF($E180="","CEK SKU DESCRIPTION kosong","OK")))))))</f>
        <v/>
      </c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1" t="n"/>
      <c r="M181" s="11" t="n"/>
      <c r="N181" s="11" t="n"/>
      <c r="O181" s="12">
        <f>IF(L181="","",IFERROR(INDEX(DAFTAR_FIXTURE!$B$2:$B$51,MATCH(L181,DAFTAR_FIXTURE!$A$2:$A$51,0)),""))</f>
        <v/>
      </c>
      <c r="P181" s="12">
        <f>IF(AND($D181="",L181=""),"",IF(L181="",IF(AND(Q181="",V181=""),"Belum ditempatkan",""),IF(O181="","CEK ID FIXTURE tidak ada di DAFTAR_FIXTURE",IF(M181="","CEK ZONA NO kosong",IF(ISNA(MATCH(O181&amp;"|"&amp;M181,LAYOUT!$E$2:$E$80,0)),"CEK ZONA NO di luar layout",IF(N181&lt;&gt;INDEX(LAYOUT!$D$2:$D$80,MATCH(O181&amp;"|"&amp;M181,LAYOUT!$E$2:$E$80,0)),"CEK JENIS ZONA",IF($D181="","Zona STOCK",IF($E181="","CEK SKU DESCRIPTION kosong","OK"))))))))</f>
        <v/>
      </c>
      <c r="Q181" s="11" t="n"/>
      <c r="R181" s="11" t="n"/>
      <c r="S181" s="11" t="n"/>
      <c r="T181" s="12">
        <f>IF(Q181="","",IFERROR(INDEX(DAFTAR_FIXTURE!$B$2:$B$51,MATCH(Q181,DAFTAR_FIXTURE!$A$2:$A$51,0)),""))</f>
        <v/>
      </c>
      <c r="U181" s="12">
        <f>IF(Q181="","",IF(T181="","CEK ID FIXTURE tidak ada di DAFTAR_FIXTURE",IF(R181="","CEK ZONA NO kosong",IF(ISNA(MATCH(T181&amp;"|"&amp;R181,LAYOUT!$E$2:$E$80,0)),"CEK ZONA NO di luar layout",IF(S181&lt;&gt;INDEX(LAYOUT!$D$2:$D$80,MATCH(T181&amp;"|"&amp;R181,LAYOUT!$E$2:$E$80,0)),"CEK JENIS ZONA",IF($D181="","Zona STOCK",IF($E181="","CEK SKU DESCRIPTION kosong","OK")))))))</f>
        <v/>
      </c>
      <c r="V181" s="11" t="n"/>
      <c r="W181" s="11" t="n"/>
      <c r="X181" s="11" t="n"/>
      <c r="Y181" s="12">
        <f>IF(V181="","",IFERROR(INDEX(DAFTAR_FIXTURE!$B$2:$B$51,MATCH(V181,DAFTAR_FIXTURE!$A$2:$A$51,0)),""))</f>
        <v/>
      </c>
      <c r="Z181" s="12">
        <f>IF(V181="","",IF(Y181="","CEK ID FIXTURE tidak ada di DAFTAR_FIXTURE",IF(W181="","CEK ZONA NO kosong",IF(ISNA(MATCH(Y181&amp;"|"&amp;W181,LAYOUT!$E$2:$E$80,0)),"CEK ZONA NO di luar layout",IF(X181&lt;&gt;INDEX(LAYOUT!$D$2:$D$80,MATCH(Y181&amp;"|"&amp;W181,LAYOUT!$E$2:$E$80,0)),"CEK JENIS ZONA",IF($D181="","Zona STOCK",IF($E181="","CEK SKU DESCRIPTION kosong","OK")))))))</f>
        <v/>
      </c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1" t="n"/>
      <c r="M182" s="11" t="n"/>
      <c r="N182" s="11" t="n"/>
      <c r="O182" s="12">
        <f>IF(L182="","",IFERROR(INDEX(DAFTAR_FIXTURE!$B$2:$B$51,MATCH(L182,DAFTAR_FIXTURE!$A$2:$A$51,0)),""))</f>
        <v/>
      </c>
      <c r="P182" s="12">
        <f>IF(AND($D182="",L182=""),"",IF(L182="",IF(AND(Q182="",V182=""),"Belum ditempatkan",""),IF(O182="","CEK ID FIXTURE tidak ada di DAFTAR_FIXTURE",IF(M182="","CEK ZONA NO kosong",IF(ISNA(MATCH(O182&amp;"|"&amp;M182,LAYOUT!$E$2:$E$80,0)),"CEK ZONA NO di luar layout",IF(N182&lt;&gt;INDEX(LAYOUT!$D$2:$D$80,MATCH(O182&amp;"|"&amp;M182,LAYOUT!$E$2:$E$80,0)),"CEK JENIS ZONA",IF($D182="","Zona STOCK",IF($E182="","CEK SKU DESCRIPTION kosong","OK"))))))))</f>
        <v/>
      </c>
      <c r="Q182" s="11" t="n"/>
      <c r="R182" s="11" t="n"/>
      <c r="S182" s="11" t="n"/>
      <c r="T182" s="12">
        <f>IF(Q182="","",IFERROR(INDEX(DAFTAR_FIXTURE!$B$2:$B$51,MATCH(Q182,DAFTAR_FIXTURE!$A$2:$A$51,0)),""))</f>
        <v/>
      </c>
      <c r="U182" s="12">
        <f>IF(Q182="","",IF(T182="","CEK ID FIXTURE tidak ada di DAFTAR_FIXTURE",IF(R182="","CEK ZONA NO kosong",IF(ISNA(MATCH(T182&amp;"|"&amp;R182,LAYOUT!$E$2:$E$80,0)),"CEK ZONA NO di luar layout",IF(S182&lt;&gt;INDEX(LAYOUT!$D$2:$D$80,MATCH(T182&amp;"|"&amp;R182,LAYOUT!$E$2:$E$80,0)),"CEK JENIS ZONA",IF($D182="","Zona STOCK",IF($E182="","CEK SKU DESCRIPTION kosong","OK")))))))</f>
        <v/>
      </c>
      <c r="V182" s="11" t="n"/>
      <c r="W182" s="11" t="n"/>
      <c r="X182" s="11" t="n"/>
      <c r="Y182" s="12">
        <f>IF(V182="","",IFERROR(INDEX(DAFTAR_FIXTURE!$B$2:$B$51,MATCH(V182,DAFTAR_FIXTURE!$A$2:$A$51,0)),""))</f>
        <v/>
      </c>
      <c r="Z182" s="12">
        <f>IF(V182="","",IF(Y182="","CEK ID FIXTURE tidak ada di DAFTAR_FIXTURE",IF(W182="","CEK ZONA NO kosong",IF(ISNA(MATCH(Y182&amp;"|"&amp;W182,LAYOUT!$E$2:$E$80,0)),"CEK ZONA NO di luar layout",IF(X182&lt;&gt;INDEX(LAYOUT!$D$2:$D$80,MATCH(Y182&amp;"|"&amp;W182,LAYOUT!$E$2:$E$80,0)),"CEK JENIS ZONA",IF($D182="","Zona STOCK",IF($E182="","CEK SKU DESCRIPTION kosong","OK")))))))</f>
        <v/>
      </c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1" t="n"/>
      <c r="M183" s="11" t="n"/>
      <c r="N183" s="11" t="n"/>
      <c r="O183" s="12">
        <f>IF(L183="","",IFERROR(INDEX(DAFTAR_FIXTURE!$B$2:$B$51,MATCH(L183,DAFTAR_FIXTURE!$A$2:$A$51,0)),""))</f>
        <v/>
      </c>
      <c r="P183" s="12">
        <f>IF(AND($D183="",L183=""),"",IF(L183="",IF(AND(Q183="",V183=""),"Belum ditempatkan",""),IF(O183="","CEK ID FIXTURE tidak ada di DAFTAR_FIXTURE",IF(M183="","CEK ZONA NO kosong",IF(ISNA(MATCH(O183&amp;"|"&amp;M183,LAYOUT!$E$2:$E$80,0)),"CEK ZONA NO di luar layout",IF(N183&lt;&gt;INDEX(LAYOUT!$D$2:$D$80,MATCH(O183&amp;"|"&amp;M183,LAYOUT!$E$2:$E$80,0)),"CEK JENIS ZONA",IF($D183="","Zona STOCK",IF($E183="","CEK SKU DESCRIPTION kosong","OK"))))))))</f>
        <v/>
      </c>
      <c r="Q183" s="11" t="n"/>
      <c r="R183" s="11" t="n"/>
      <c r="S183" s="11" t="n"/>
      <c r="T183" s="12">
        <f>IF(Q183="","",IFERROR(INDEX(DAFTAR_FIXTURE!$B$2:$B$51,MATCH(Q183,DAFTAR_FIXTURE!$A$2:$A$51,0)),""))</f>
        <v/>
      </c>
      <c r="U183" s="12">
        <f>IF(Q183="","",IF(T183="","CEK ID FIXTURE tidak ada di DAFTAR_FIXTURE",IF(R183="","CEK ZONA NO kosong",IF(ISNA(MATCH(T183&amp;"|"&amp;R183,LAYOUT!$E$2:$E$80,0)),"CEK ZONA NO di luar layout",IF(S183&lt;&gt;INDEX(LAYOUT!$D$2:$D$80,MATCH(T183&amp;"|"&amp;R183,LAYOUT!$E$2:$E$80,0)),"CEK JENIS ZONA",IF($D183="","Zona STOCK",IF($E183="","CEK SKU DESCRIPTION kosong","OK")))))))</f>
        <v/>
      </c>
      <c r="V183" s="11" t="n"/>
      <c r="W183" s="11" t="n"/>
      <c r="X183" s="11" t="n"/>
      <c r="Y183" s="12">
        <f>IF(V183="","",IFERROR(INDEX(DAFTAR_FIXTURE!$B$2:$B$51,MATCH(V183,DAFTAR_FIXTURE!$A$2:$A$51,0)),""))</f>
        <v/>
      </c>
      <c r="Z183" s="12">
        <f>IF(V183="","",IF(Y183="","CEK ID FIXTURE tidak ada di DAFTAR_FIXTURE",IF(W183="","CEK ZONA NO kosong",IF(ISNA(MATCH(Y183&amp;"|"&amp;W183,LAYOUT!$E$2:$E$80,0)),"CEK ZONA NO di luar layout",IF(X183&lt;&gt;INDEX(LAYOUT!$D$2:$D$80,MATCH(Y183&amp;"|"&amp;W183,LAYOUT!$E$2:$E$80,0)),"CEK JENIS ZONA",IF($D183="","Zona STOCK",IF($E183="","CEK SKU DESCRIPTION kosong","OK")))))))</f>
        <v/>
      </c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1" t="n"/>
      <c r="M184" s="11" t="n"/>
      <c r="N184" s="11" t="n"/>
      <c r="O184" s="12">
        <f>IF(L184="","",IFERROR(INDEX(DAFTAR_FIXTURE!$B$2:$B$51,MATCH(L184,DAFTAR_FIXTURE!$A$2:$A$51,0)),""))</f>
        <v/>
      </c>
      <c r="P184" s="12">
        <f>IF(AND($D184="",L184=""),"",IF(L184="",IF(AND(Q184="",V184=""),"Belum ditempatkan",""),IF(O184="","CEK ID FIXTURE tidak ada di DAFTAR_FIXTURE",IF(M184="","CEK ZONA NO kosong",IF(ISNA(MATCH(O184&amp;"|"&amp;M184,LAYOUT!$E$2:$E$80,0)),"CEK ZONA NO di luar layout",IF(N184&lt;&gt;INDEX(LAYOUT!$D$2:$D$80,MATCH(O184&amp;"|"&amp;M184,LAYOUT!$E$2:$E$80,0)),"CEK JENIS ZONA",IF($D184="","Zona STOCK",IF($E184="","CEK SKU DESCRIPTION kosong","OK"))))))))</f>
        <v/>
      </c>
      <c r="Q184" s="11" t="n"/>
      <c r="R184" s="11" t="n"/>
      <c r="S184" s="11" t="n"/>
      <c r="T184" s="12">
        <f>IF(Q184="","",IFERROR(INDEX(DAFTAR_FIXTURE!$B$2:$B$51,MATCH(Q184,DAFTAR_FIXTURE!$A$2:$A$51,0)),""))</f>
        <v/>
      </c>
      <c r="U184" s="12">
        <f>IF(Q184="","",IF(T184="","CEK ID FIXTURE tidak ada di DAFTAR_FIXTURE",IF(R184="","CEK ZONA NO kosong",IF(ISNA(MATCH(T184&amp;"|"&amp;R184,LAYOUT!$E$2:$E$80,0)),"CEK ZONA NO di luar layout",IF(S184&lt;&gt;INDEX(LAYOUT!$D$2:$D$80,MATCH(T184&amp;"|"&amp;R184,LAYOUT!$E$2:$E$80,0)),"CEK JENIS ZONA",IF($D184="","Zona STOCK",IF($E184="","CEK SKU DESCRIPTION kosong","OK")))))))</f>
        <v/>
      </c>
      <c r="V184" s="11" t="n"/>
      <c r="W184" s="11" t="n"/>
      <c r="X184" s="11" t="n"/>
      <c r="Y184" s="12">
        <f>IF(V184="","",IFERROR(INDEX(DAFTAR_FIXTURE!$B$2:$B$51,MATCH(V184,DAFTAR_FIXTURE!$A$2:$A$51,0)),""))</f>
        <v/>
      </c>
      <c r="Z184" s="12">
        <f>IF(V184="","",IF(Y184="","CEK ID FIXTURE tidak ada di DAFTAR_FIXTURE",IF(W184="","CEK ZONA NO kosong",IF(ISNA(MATCH(Y184&amp;"|"&amp;W184,LAYOUT!$E$2:$E$80,0)),"CEK ZONA NO di luar layout",IF(X184&lt;&gt;INDEX(LAYOUT!$D$2:$D$80,MATCH(Y184&amp;"|"&amp;W184,LAYOUT!$E$2:$E$80,0)),"CEK JENIS ZONA",IF($D184="","Zona STOCK",IF($E184="","CEK SKU DESCRIPTION kosong","OK")))))))</f>
        <v/>
      </c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1" t="n"/>
      <c r="M185" s="11" t="n"/>
      <c r="N185" s="11" t="n"/>
      <c r="O185" s="12">
        <f>IF(L185="","",IFERROR(INDEX(DAFTAR_FIXTURE!$B$2:$B$51,MATCH(L185,DAFTAR_FIXTURE!$A$2:$A$51,0)),""))</f>
        <v/>
      </c>
      <c r="P185" s="12">
        <f>IF(AND($D185="",L185=""),"",IF(L185="",IF(AND(Q185="",V185=""),"Belum ditempatkan",""),IF(O185="","CEK ID FIXTURE tidak ada di DAFTAR_FIXTURE",IF(M185="","CEK ZONA NO kosong",IF(ISNA(MATCH(O185&amp;"|"&amp;M185,LAYOUT!$E$2:$E$80,0)),"CEK ZONA NO di luar layout",IF(N185&lt;&gt;INDEX(LAYOUT!$D$2:$D$80,MATCH(O185&amp;"|"&amp;M185,LAYOUT!$E$2:$E$80,0)),"CEK JENIS ZONA",IF($D185="","Zona STOCK",IF($E185="","CEK SKU DESCRIPTION kosong","OK"))))))))</f>
        <v/>
      </c>
      <c r="Q185" s="11" t="n"/>
      <c r="R185" s="11" t="n"/>
      <c r="S185" s="11" t="n"/>
      <c r="T185" s="12">
        <f>IF(Q185="","",IFERROR(INDEX(DAFTAR_FIXTURE!$B$2:$B$51,MATCH(Q185,DAFTAR_FIXTURE!$A$2:$A$51,0)),""))</f>
        <v/>
      </c>
      <c r="U185" s="12">
        <f>IF(Q185="","",IF(T185="","CEK ID FIXTURE tidak ada di DAFTAR_FIXTURE",IF(R185="","CEK ZONA NO kosong",IF(ISNA(MATCH(T185&amp;"|"&amp;R185,LAYOUT!$E$2:$E$80,0)),"CEK ZONA NO di luar layout",IF(S185&lt;&gt;INDEX(LAYOUT!$D$2:$D$80,MATCH(T185&amp;"|"&amp;R185,LAYOUT!$E$2:$E$80,0)),"CEK JENIS ZONA",IF($D185="","Zona STOCK",IF($E185="","CEK SKU DESCRIPTION kosong","OK")))))))</f>
        <v/>
      </c>
      <c r="V185" s="11" t="n"/>
      <c r="W185" s="11" t="n"/>
      <c r="X185" s="11" t="n"/>
      <c r="Y185" s="12">
        <f>IF(V185="","",IFERROR(INDEX(DAFTAR_FIXTURE!$B$2:$B$51,MATCH(V185,DAFTAR_FIXTURE!$A$2:$A$51,0)),""))</f>
        <v/>
      </c>
      <c r="Z185" s="12">
        <f>IF(V185="","",IF(Y185="","CEK ID FIXTURE tidak ada di DAFTAR_FIXTURE",IF(W185="","CEK ZONA NO kosong",IF(ISNA(MATCH(Y185&amp;"|"&amp;W185,LAYOUT!$E$2:$E$80,0)),"CEK ZONA NO di luar layout",IF(X185&lt;&gt;INDEX(LAYOUT!$D$2:$D$80,MATCH(Y185&amp;"|"&amp;W185,LAYOUT!$E$2:$E$80,0)),"CEK JENIS ZONA",IF($D185="","Zona STOCK",IF($E185="","CEK SKU DESCRIPTION kosong","OK")))))))</f>
        <v/>
      </c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1" t="n"/>
      <c r="M186" s="11" t="n"/>
      <c r="N186" s="11" t="n"/>
      <c r="O186" s="12">
        <f>IF(L186="","",IFERROR(INDEX(DAFTAR_FIXTURE!$B$2:$B$51,MATCH(L186,DAFTAR_FIXTURE!$A$2:$A$51,0)),""))</f>
        <v/>
      </c>
      <c r="P186" s="12">
        <f>IF(AND($D186="",L186=""),"",IF(L186="",IF(AND(Q186="",V186=""),"Belum ditempatkan",""),IF(O186="","CEK ID FIXTURE tidak ada di DAFTAR_FIXTURE",IF(M186="","CEK ZONA NO kosong",IF(ISNA(MATCH(O186&amp;"|"&amp;M186,LAYOUT!$E$2:$E$80,0)),"CEK ZONA NO di luar layout",IF(N186&lt;&gt;INDEX(LAYOUT!$D$2:$D$80,MATCH(O186&amp;"|"&amp;M186,LAYOUT!$E$2:$E$80,0)),"CEK JENIS ZONA",IF($D186="","Zona STOCK",IF($E186="","CEK SKU DESCRIPTION kosong","OK"))))))))</f>
        <v/>
      </c>
      <c r="Q186" s="11" t="n"/>
      <c r="R186" s="11" t="n"/>
      <c r="S186" s="11" t="n"/>
      <c r="T186" s="12">
        <f>IF(Q186="","",IFERROR(INDEX(DAFTAR_FIXTURE!$B$2:$B$51,MATCH(Q186,DAFTAR_FIXTURE!$A$2:$A$51,0)),""))</f>
        <v/>
      </c>
      <c r="U186" s="12">
        <f>IF(Q186="","",IF(T186="","CEK ID FIXTURE tidak ada di DAFTAR_FIXTURE",IF(R186="","CEK ZONA NO kosong",IF(ISNA(MATCH(T186&amp;"|"&amp;R186,LAYOUT!$E$2:$E$80,0)),"CEK ZONA NO di luar layout",IF(S186&lt;&gt;INDEX(LAYOUT!$D$2:$D$80,MATCH(T186&amp;"|"&amp;R186,LAYOUT!$E$2:$E$80,0)),"CEK JENIS ZONA",IF($D186="","Zona STOCK",IF($E186="","CEK SKU DESCRIPTION kosong","OK")))))))</f>
        <v/>
      </c>
      <c r="V186" s="11" t="n"/>
      <c r="W186" s="11" t="n"/>
      <c r="X186" s="11" t="n"/>
      <c r="Y186" s="12">
        <f>IF(V186="","",IFERROR(INDEX(DAFTAR_FIXTURE!$B$2:$B$51,MATCH(V186,DAFTAR_FIXTURE!$A$2:$A$51,0)),""))</f>
        <v/>
      </c>
      <c r="Z186" s="12">
        <f>IF(V186="","",IF(Y186="","CEK ID FIXTURE tidak ada di DAFTAR_FIXTURE",IF(W186="","CEK ZONA NO kosong",IF(ISNA(MATCH(Y186&amp;"|"&amp;W186,LAYOUT!$E$2:$E$80,0)),"CEK ZONA NO di luar layout",IF(X186&lt;&gt;INDEX(LAYOUT!$D$2:$D$80,MATCH(Y186&amp;"|"&amp;W186,LAYOUT!$E$2:$E$80,0)),"CEK JENIS ZONA",IF($D186="","Zona STOCK",IF($E186="","CEK SKU DESCRIPTION kosong","OK")))))))</f>
        <v/>
      </c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1" t="n"/>
      <c r="M187" s="11" t="n"/>
      <c r="N187" s="11" t="n"/>
      <c r="O187" s="12">
        <f>IF(L187="","",IFERROR(INDEX(DAFTAR_FIXTURE!$B$2:$B$51,MATCH(L187,DAFTAR_FIXTURE!$A$2:$A$51,0)),""))</f>
        <v/>
      </c>
      <c r="P187" s="12">
        <f>IF(AND($D187="",L187=""),"",IF(L187="",IF(AND(Q187="",V187=""),"Belum ditempatkan",""),IF(O187="","CEK ID FIXTURE tidak ada di DAFTAR_FIXTURE",IF(M187="","CEK ZONA NO kosong",IF(ISNA(MATCH(O187&amp;"|"&amp;M187,LAYOUT!$E$2:$E$80,0)),"CEK ZONA NO di luar layout",IF(N187&lt;&gt;INDEX(LAYOUT!$D$2:$D$80,MATCH(O187&amp;"|"&amp;M187,LAYOUT!$E$2:$E$80,0)),"CEK JENIS ZONA",IF($D187="","Zona STOCK",IF($E187="","CEK SKU DESCRIPTION kosong","OK"))))))))</f>
        <v/>
      </c>
      <c r="Q187" s="11" t="n"/>
      <c r="R187" s="11" t="n"/>
      <c r="S187" s="11" t="n"/>
      <c r="T187" s="12">
        <f>IF(Q187="","",IFERROR(INDEX(DAFTAR_FIXTURE!$B$2:$B$51,MATCH(Q187,DAFTAR_FIXTURE!$A$2:$A$51,0)),""))</f>
        <v/>
      </c>
      <c r="U187" s="12">
        <f>IF(Q187="","",IF(T187="","CEK ID FIXTURE tidak ada di DAFTAR_FIXTURE",IF(R187="","CEK ZONA NO kosong",IF(ISNA(MATCH(T187&amp;"|"&amp;R187,LAYOUT!$E$2:$E$80,0)),"CEK ZONA NO di luar layout",IF(S187&lt;&gt;INDEX(LAYOUT!$D$2:$D$80,MATCH(T187&amp;"|"&amp;R187,LAYOUT!$E$2:$E$80,0)),"CEK JENIS ZONA",IF($D187="","Zona STOCK",IF($E187="","CEK SKU DESCRIPTION kosong","OK")))))))</f>
        <v/>
      </c>
      <c r="V187" s="11" t="n"/>
      <c r="W187" s="11" t="n"/>
      <c r="X187" s="11" t="n"/>
      <c r="Y187" s="12">
        <f>IF(V187="","",IFERROR(INDEX(DAFTAR_FIXTURE!$B$2:$B$51,MATCH(V187,DAFTAR_FIXTURE!$A$2:$A$51,0)),""))</f>
        <v/>
      </c>
      <c r="Z187" s="12">
        <f>IF(V187="","",IF(Y187="","CEK ID FIXTURE tidak ada di DAFTAR_FIXTURE",IF(W187="","CEK ZONA NO kosong",IF(ISNA(MATCH(Y187&amp;"|"&amp;W187,LAYOUT!$E$2:$E$80,0)),"CEK ZONA NO di luar layout",IF(X187&lt;&gt;INDEX(LAYOUT!$D$2:$D$80,MATCH(Y187&amp;"|"&amp;W187,LAYOUT!$E$2:$E$80,0)),"CEK JENIS ZONA",IF($D187="","Zona STOCK",IF($E187="","CEK SKU DESCRIPTION kosong","OK")))))))</f>
        <v/>
      </c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1" t="n"/>
      <c r="M188" s="11" t="n"/>
      <c r="N188" s="11" t="n"/>
      <c r="O188" s="12">
        <f>IF(L188="","",IFERROR(INDEX(DAFTAR_FIXTURE!$B$2:$B$51,MATCH(L188,DAFTAR_FIXTURE!$A$2:$A$51,0)),""))</f>
        <v/>
      </c>
      <c r="P188" s="12">
        <f>IF(AND($D188="",L188=""),"",IF(L188="",IF(AND(Q188="",V188=""),"Belum ditempatkan",""),IF(O188="","CEK ID FIXTURE tidak ada di DAFTAR_FIXTURE",IF(M188="","CEK ZONA NO kosong",IF(ISNA(MATCH(O188&amp;"|"&amp;M188,LAYOUT!$E$2:$E$80,0)),"CEK ZONA NO di luar layout",IF(N188&lt;&gt;INDEX(LAYOUT!$D$2:$D$80,MATCH(O188&amp;"|"&amp;M188,LAYOUT!$E$2:$E$80,0)),"CEK JENIS ZONA",IF($D188="","Zona STOCK",IF($E188="","CEK SKU DESCRIPTION kosong","OK"))))))))</f>
        <v/>
      </c>
      <c r="Q188" s="11" t="n"/>
      <c r="R188" s="11" t="n"/>
      <c r="S188" s="11" t="n"/>
      <c r="T188" s="12">
        <f>IF(Q188="","",IFERROR(INDEX(DAFTAR_FIXTURE!$B$2:$B$51,MATCH(Q188,DAFTAR_FIXTURE!$A$2:$A$51,0)),""))</f>
        <v/>
      </c>
      <c r="U188" s="12">
        <f>IF(Q188="","",IF(T188="","CEK ID FIXTURE tidak ada di DAFTAR_FIXTURE",IF(R188="","CEK ZONA NO kosong",IF(ISNA(MATCH(T188&amp;"|"&amp;R188,LAYOUT!$E$2:$E$80,0)),"CEK ZONA NO di luar layout",IF(S188&lt;&gt;INDEX(LAYOUT!$D$2:$D$80,MATCH(T188&amp;"|"&amp;R188,LAYOUT!$E$2:$E$80,0)),"CEK JENIS ZONA",IF($D188="","Zona STOCK",IF($E188="","CEK SKU DESCRIPTION kosong","OK")))))))</f>
        <v/>
      </c>
      <c r="V188" s="11" t="n"/>
      <c r="W188" s="11" t="n"/>
      <c r="X188" s="11" t="n"/>
      <c r="Y188" s="12">
        <f>IF(V188="","",IFERROR(INDEX(DAFTAR_FIXTURE!$B$2:$B$51,MATCH(V188,DAFTAR_FIXTURE!$A$2:$A$51,0)),""))</f>
        <v/>
      </c>
      <c r="Z188" s="12">
        <f>IF(V188="","",IF(Y188="","CEK ID FIXTURE tidak ada di DAFTAR_FIXTURE",IF(W188="","CEK ZONA NO kosong",IF(ISNA(MATCH(Y188&amp;"|"&amp;W188,LAYOUT!$E$2:$E$80,0)),"CEK ZONA NO di luar layout",IF(X188&lt;&gt;INDEX(LAYOUT!$D$2:$D$80,MATCH(Y188&amp;"|"&amp;W188,LAYOUT!$E$2:$E$80,0)),"CEK JENIS ZONA",IF($D188="","Zona STOCK",IF($E188="","CEK SKU DESCRIPTION kosong","OK")))))))</f>
        <v/>
      </c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1" t="n"/>
      <c r="M189" s="11" t="n"/>
      <c r="N189" s="11" t="n"/>
      <c r="O189" s="12">
        <f>IF(L189="","",IFERROR(INDEX(DAFTAR_FIXTURE!$B$2:$B$51,MATCH(L189,DAFTAR_FIXTURE!$A$2:$A$51,0)),""))</f>
        <v/>
      </c>
      <c r="P189" s="12">
        <f>IF(AND($D189="",L189=""),"",IF(L189="",IF(AND(Q189="",V189=""),"Belum ditempatkan",""),IF(O189="","CEK ID FIXTURE tidak ada di DAFTAR_FIXTURE",IF(M189="","CEK ZONA NO kosong",IF(ISNA(MATCH(O189&amp;"|"&amp;M189,LAYOUT!$E$2:$E$80,0)),"CEK ZONA NO di luar layout",IF(N189&lt;&gt;INDEX(LAYOUT!$D$2:$D$80,MATCH(O189&amp;"|"&amp;M189,LAYOUT!$E$2:$E$80,0)),"CEK JENIS ZONA",IF($D189="","Zona STOCK",IF($E189="","CEK SKU DESCRIPTION kosong","OK"))))))))</f>
        <v/>
      </c>
      <c r="Q189" s="11" t="n"/>
      <c r="R189" s="11" t="n"/>
      <c r="S189" s="11" t="n"/>
      <c r="T189" s="12">
        <f>IF(Q189="","",IFERROR(INDEX(DAFTAR_FIXTURE!$B$2:$B$51,MATCH(Q189,DAFTAR_FIXTURE!$A$2:$A$51,0)),""))</f>
        <v/>
      </c>
      <c r="U189" s="12">
        <f>IF(Q189="","",IF(T189="","CEK ID FIXTURE tidak ada di DAFTAR_FIXTURE",IF(R189="","CEK ZONA NO kosong",IF(ISNA(MATCH(T189&amp;"|"&amp;R189,LAYOUT!$E$2:$E$80,0)),"CEK ZONA NO di luar layout",IF(S189&lt;&gt;INDEX(LAYOUT!$D$2:$D$80,MATCH(T189&amp;"|"&amp;R189,LAYOUT!$E$2:$E$80,0)),"CEK JENIS ZONA",IF($D189="","Zona STOCK",IF($E189="","CEK SKU DESCRIPTION kosong","OK")))))))</f>
        <v/>
      </c>
      <c r="V189" s="11" t="n"/>
      <c r="W189" s="11" t="n"/>
      <c r="X189" s="11" t="n"/>
      <c r="Y189" s="12">
        <f>IF(V189="","",IFERROR(INDEX(DAFTAR_FIXTURE!$B$2:$B$51,MATCH(V189,DAFTAR_FIXTURE!$A$2:$A$51,0)),""))</f>
        <v/>
      </c>
      <c r="Z189" s="12">
        <f>IF(V189="","",IF(Y189="","CEK ID FIXTURE tidak ada di DAFTAR_FIXTURE",IF(W189="","CEK ZONA NO kosong",IF(ISNA(MATCH(Y189&amp;"|"&amp;W189,LAYOUT!$E$2:$E$80,0)),"CEK ZONA NO di luar layout",IF(X189&lt;&gt;INDEX(LAYOUT!$D$2:$D$80,MATCH(Y189&amp;"|"&amp;W189,LAYOUT!$E$2:$E$80,0)),"CEK JENIS ZONA",IF($D189="","Zona STOCK",IF($E189="","CEK SKU DESCRIPTION kosong","OK")))))))</f>
        <v/>
      </c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1" t="n"/>
      <c r="M190" s="11" t="n"/>
      <c r="N190" s="11" t="n"/>
      <c r="O190" s="12">
        <f>IF(L190="","",IFERROR(INDEX(DAFTAR_FIXTURE!$B$2:$B$51,MATCH(L190,DAFTAR_FIXTURE!$A$2:$A$51,0)),""))</f>
        <v/>
      </c>
      <c r="P190" s="12">
        <f>IF(AND($D190="",L190=""),"",IF(L190="",IF(AND(Q190="",V190=""),"Belum ditempatkan",""),IF(O190="","CEK ID FIXTURE tidak ada di DAFTAR_FIXTURE",IF(M190="","CEK ZONA NO kosong",IF(ISNA(MATCH(O190&amp;"|"&amp;M190,LAYOUT!$E$2:$E$80,0)),"CEK ZONA NO di luar layout",IF(N190&lt;&gt;INDEX(LAYOUT!$D$2:$D$80,MATCH(O190&amp;"|"&amp;M190,LAYOUT!$E$2:$E$80,0)),"CEK JENIS ZONA",IF($D190="","Zona STOCK",IF($E190="","CEK SKU DESCRIPTION kosong","OK"))))))))</f>
        <v/>
      </c>
      <c r="Q190" s="11" t="n"/>
      <c r="R190" s="11" t="n"/>
      <c r="S190" s="11" t="n"/>
      <c r="T190" s="12">
        <f>IF(Q190="","",IFERROR(INDEX(DAFTAR_FIXTURE!$B$2:$B$51,MATCH(Q190,DAFTAR_FIXTURE!$A$2:$A$51,0)),""))</f>
        <v/>
      </c>
      <c r="U190" s="12">
        <f>IF(Q190="","",IF(T190="","CEK ID FIXTURE tidak ada di DAFTAR_FIXTURE",IF(R190="","CEK ZONA NO kosong",IF(ISNA(MATCH(T190&amp;"|"&amp;R190,LAYOUT!$E$2:$E$80,0)),"CEK ZONA NO di luar layout",IF(S190&lt;&gt;INDEX(LAYOUT!$D$2:$D$80,MATCH(T190&amp;"|"&amp;R190,LAYOUT!$E$2:$E$80,0)),"CEK JENIS ZONA",IF($D190="","Zona STOCK",IF($E190="","CEK SKU DESCRIPTION kosong","OK")))))))</f>
        <v/>
      </c>
      <c r="V190" s="11" t="n"/>
      <c r="W190" s="11" t="n"/>
      <c r="X190" s="11" t="n"/>
      <c r="Y190" s="12">
        <f>IF(V190="","",IFERROR(INDEX(DAFTAR_FIXTURE!$B$2:$B$51,MATCH(V190,DAFTAR_FIXTURE!$A$2:$A$51,0)),""))</f>
        <v/>
      </c>
      <c r="Z190" s="12">
        <f>IF(V190="","",IF(Y190="","CEK ID FIXTURE tidak ada di DAFTAR_FIXTURE",IF(W190="","CEK ZONA NO kosong",IF(ISNA(MATCH(Y190&amp;"|"&amp;W190,LAYOUT!$E$2:$E$80,0)),"CEK ZONA NO di luar layout",IF(X190&lt;&gt;INDEX(LAYOUT!$D$2:$D$80,MATCH(Y190&amp;"|"&amp;W190,LAYOUT!$E$2:$E$80,0)),"CEK JENIS ZONA",IF($D190="","Zona STOCK",IF($E190="","CEK SKU DESCRIPTION kosong","OK")))))))</f>
        <v/>
      </c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1" t="n"/>
      <c r="M191" s="11" t="n"/>
      <c r="N191" s="11" t="n"/>
      <c r="O191" s="12">
        <f>IF(L191="","",IFERROR(INDEX(DAFTAR_FIXTURE!$B$2:$B$51,MATCH(L191,DAFTAR_FIXTURE!$A$2:$A$51,0)),""))</f>
        <v/>
      </c>
      <c r="P191" s="12">
        <f>IF(AND($D191="",L191=""),"",IF(L191="",IF(AND(Q191="",V191=""),"Belum ditempatkan",""),IF(O191="","CEK ID FIXTURE tidak ada di DAFTAR_FIXTURE",IF(M191="","CEK ZONA NO kosong",IF(ISNA(MATCH(O191&amp;"|"&amp;M191,LAYOUT!$E$2:$E$80,0)),"CEK ZONA NO di luar layout",IF(N191&lt;&gt;INDEX(LAYOUT!$D$2:$D$80,MATCH(O191&amp;"|"&amp;M191,LAYOUT!$E$2:$E$80,0)),"CEK JENIS ZONA",IF($D191="","Zona STOCK",IF($E191="","CEK SKU DESCRIPTION kosong","OK"))))))))</f>
        <v/>
      </c>
      <c r="Q191" s="11" t="n"/>
      <c r="R191" s="11" t="n"/>
      <c r="S191" s="11" t="n"/>
      <c r="T191" s="12">
        <f>IF(Q191="","",IFERROR(INDEX(DAFTAR_FIXTURE!$B$2:$B$51,MATCH(Q191,DAFTAR_FIXTURE!$A$2:$A$51,0)),""))</f>
        <v/>
      </c>
      <c r="U191" s="12">
        <f>IF(Q191="","",IF(T191="","CEK ID FIXTURE tidak ada di DAFTAR_FIXTURE",IF(R191="","CEK ZONA NO kosong",IF(ISNA(MATCH(T191&amp;"|"&amp;R191,LAYOUT!$E$2:$E$80,0)),"CEK ZONA NO di luar layout",IF(S191&lt;&gt;INDEX(LAYOUT!$D$2:$D$80,MATCH(T191&amp;"|"&amp;R191,LAYOUT!$E$2:$E$80,0)),"CEK JENIS ZONA",IF($D191="","Zona STOCK",IF($E191="","CEK SKU DESCRIPTION kosong","OK")))))))</f>
        <v/>
      </c>
      <c r="V191" s="11" t="n"/>
      <c r="W191" s="11" t="n"/>
      <c r="X191" s="11" t="n"/>
      <c r="Y191" s="12">
        <f>IF(V191="","",IFERROR(INDEX(DAFTAR_FIXTURE!$B$2:$B$51,MATCH(V191,DAFTAR_FIXTURE!$A$2:$A$51,0)),""))</f>
        <v/>
      </c>
      <c r="Z191" s="12">
        <f>IF(V191="","",IF(Y191="","CEK ID FIXTURE tidak ada di DAFTAR_FIXTURE",IF(W191="","CEK ZONA NO kosong",IF(ISNA(MATCH(Y191&amp;"|"&amp;W191,LAYOUT!$E$2:$E$80,0)),"CEK ZONA NO di luar layout",IF(X191&lt;&gt;INDEX(LAYOUT!$D$2:$D$80,MATCH(Y191&amp;"|"&amp;W191,LAYOUT!$E$2:$E$80,0)),"CEK JENIS ZONA",IF($D191="","Zona STOCK",IF($E191="","CEK SKU DESCRIPTION kosong","OK")))))))</f>
        <v/>
      </c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1" t="n"/>
      <c r="M192" s="11" t="n"/>
      <c r="N192" s="11" t="n"/>
      <c r="O192" s="12">
        <f>IF(L192="","",IFERROR(INDEX(DAFTAR_FIXTURE!$B$2:$B$51,MATCH(L192,DAFTAR_FIXTURE!$A$2:$A$51,0)),""))</f>
        <v/>
      </c>
      <c r="P192" s="12">
        <f>IF(AND($D192="",L192=""),"",IF(L192="",IF(AND(Q192="",V192=""),"Belum ditempatkan",""),IF(O192="","CEK ID FIXTURE tidak ada di DAFTAR_FIXTURE",IF(M192="","CEK ZONA NO kosong",IF(ISNA(MATCH(O192&amp;"|"&amp;M192,LAYOUT!$E$2:$E$80,0)),"CEK ZONA NO di luar layout",IF(N192&lt;&gt;INDEX(LAYOUT!$D$2:$D$80,MATCH(O192&amp;"|"&amp;M192,LAYOUT!$E$2:$E$80,0)),"CEK JENIS ZONA",IF($D192="","Zona STOCK",IF($E192="","CEK SKU DESCRIPTION kosong","OK"))))))))</f>
        <v/>
      </c>
      <c r="Q192" s="11" t="n"/>
      <c r="R192" s="11" t="n"/>
      <c r="S192" s="11" t="n"/>
      <c r="T192" s="12">
        <f>IF(Q192="","",IFERROR(INDEX(DAFTAR_FIXTURE!$B$2:$B$51,MATCH(Q192,DAFTAR_FIXTURE!$A$2:$A$51,0)),""))</f>
        <v/>
      </c>
      <c r="U192" s="12">
        <f>IF(Q192="","",IF(T192="","CEK ID FIXTURE tidak ada di DAFTAR_FIXTURE",IF(R192="","CEK ZONA NO kosong",IF(ISNA(MATCH(T192&amp;"|"&amp;R192,LAYOUT!$E$2:$E$80,0)),"CEK ZONA NO di luar layout",IF(S192&lt;&gt;INDEX(LAYOUT!$D$2:$D$80,MATCH(T192&amp;"|"&amp;R192,LAYOUT!$E$2:$E$80,0)),"CEK JENIS ZONA",IF($D192="","Zona STOCK",IF($E192="","CEK SKU DESCRIPTION kosong","OK")))))))</f>
        <v/>
      </c>
      <c r="V192" s="11" t="n"/>
      <c r="W192" s="11" t="n"/>
      <c r="X192" s="11" t="n"/>
      <c r="Y192" s="12">
        <f>IF(V192="","",IFERROR(INDEX(DAFTAR_FIXTURE!$B$2:$B$51,MATCH(V192,DAFTAR_FIXTURE!$A$2:$A$51,0)),""))</f>
        <v/>
      </c>
      <c r="Z192" s="12">
        <f>IF(V192="","",IF(Y192="","CEK ID FIXTURE tidak ada di DAFTAR_FIXTURE",IF(W192="","CEK ZONA NO kosong",IF(ISNA(MATCH(Y192&amp;"|"&amp;W192,LAYOUT!$E$2:$E$80,0)),"CEK ZONA NO di luar layout",IF(X192&lt;&gt;INDEX(LAYOUT!$D$2:$D$80,MATCH(Y192&amp;"|"&amp;W192,LAYOUT!$E$2:$E$80,0)),"CEK JENIS ZONA",IF($D192="","Zona STOCK",IF($E192="","CEK SKU DESCRIPTION kosong","OK")))))))</f>
        <v/>
      </c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1" t="n"/>
      <c r="M193" s="11" t="n"/>
      <c r="N193" s="11" t="n"/>
      <c r="O193" s="12">
        <f>IF(L193="","",IFERROR(INDEX(DAFTAR_FIXTURE!$B$2:$B$51,MATCH(L193,DAFTAR_FIXTURE!$A$2:$A$51,0)),""))</f>
        <v/>
      </c>
      <c r="P193" s="12">
        <f>IF(AND($D193="",L193=""),"",IF(L193="",IF(AND(Q193="",V193=""),"Belum ditempatkan",""),IF(O193="","CEK ID FIXTURE tidak ada di DAFTAR_FIXTURE",IF(M193="","CEK ZONA NO kosong",IF(ISNA(MATCH(O193&amp;"|"&amp;M193,LAYOUT!$E$2:$E$80,0)),"CEK ZONA NO di luar layout",IF(N193&lt;&gt;INDEX(LAYOUT!$D$2:$D$80,MATCH(O193&amp;"|"&amp;M193,LAYOUT!$E$2:$E$80,0)),"CEK JENIS ZONA",IF($D193="","Zona STOCK",IF($E193="","CEK SKU DESCRIPTION kosong","OK"))))))))</f>
        <v/>
      </c>
      <c r="Q193" s="11" t="n"/>
      <c r="R193" s="11" t="n"/>
      <c r="S193" s="11" t="n"/>
      <c r="T193" s="12">
        <f>IF(Q193="","",IFERROR(INDEX(DAFTAR_FIXTURE!$B$2:$B$51,MATCH(Q193,DAFTAR_FIXTURE!$A$2:$A$51,0)),""))</f>
        <v/>
      </c>
      <c r="U193" s="12">
        <f>IF(Q193="","",IF(T193="","CEK ID FIXTURE tidak ada di DAFTAR_FIXTURE",IF(R193="","CEK ZONA NO kosong",IF(ISNA(MATCH(T193&amp;"|"&amp;R193,LAYOUT!$E$2:$E$80,0)),"CEK ZONA NO di luar layout",IF(S193&lt;&gt;INDEX(LAYOUT!$D$2:$D$80,MATCH(T193&amp;"|"&amp;R193,LAYOUT!$E$2:$E$80,0)),"CEK JENIS ZONA",IF($D193="","Zona STOCK",IF($E193="","CEK SKU DESCRIPTION kosong","OK")))))))</f>
        <v/>
      </c>
      <c r="V193" s="11" t="n"/>
      <c r="W193" s="11" t="n"/>
      <c r="X193" s="11" t="n"/>
      <c r="Y193" s="12">
        <f>IF(V193="","",IFERROR(INDEX(DAFTAR_FIXTURE!$B$2:$B$51,MATCH(V193,DAFTAR_FIXTURE!$A$2:$A$51,0)),""))</f>
        <v/>
      </c>
      <c r="Z193" s="12">
        <f>IF(V193="","",IF(Y193="","CEK ID FIXTURE tidak ada di DAFTAR_FIXTURE",IF(W193="","CEK ZONA NO kosong",IF(ISNA(MATCH(Y193&amp;"|"&amp;W193,LAYOUT!$E$2:$E$80,0)),"CEK ZONA NO di luar layout",IF(X193&lt;&gt;INDEX(LAYOUT!$D$2:$D$80,MATCH(Y193&amp;"|"&amp;W193,LAYOUT!$E$2:$E$80,0)),"CEK JENIS ZONA",IF($D193="","Zona STOCK",IF($E193="","CEK SKU DESCRIPTION kosong","OK")))))))</f>
        <v/>
      </c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1" t="n"/>
      <c r="M194" s="11" t="n"/>
      <c r="N194" s="11" t="n"/>
      <c r="O194" s="12">
        <f>IF(L194="","",IFERROR(INDEX(DAFTAR_FIXTURE!$B$2:$B$51,MATCH(L194,DAFTAR_FIXTURE!$A$2:$A$51,0)),""))</f>
        <v/>
      </c>
      <c r="P194" s="12">
        <f>IF(AND($D194="",L194=""),"",IF(L194="",IF(AND(Q194="",V194=""),"Belum ditempatkan",""),IF(O194="","CEK ID FIXTURE tidak ada di DAFTAR_FIXTURE",IF(M194="","CEK ZONA NO kosong",IF(ISNA(MATCH(O194&amp;"|"&amp;M194,LAYOUT!$E$2:$E$80,0)),"CEK ZONA NO di luar layout",IF(N194&lt;&gt;INDEX(LAYOUT!$D$2:$D$80,MATCH(O194&amp;"|"&amp;M194,LAYOUT!$E$2:$E$80,0)),"CEK JENIS ZONA",IF($D194="","Zona STOCK",IF($E194="","CEK SKU DESCRIPTION kosong","OK"))))))))</f>
        <v/>
      </c>
      <c r="Q194" s="11" t="n"/>
      <c r="R194" s="11" t="n"/>
      <c r="S194" s="11" t="n"/>
      <c r="T194" s="12">
        <f>IF(Q194="","",IFERROR(INDEX(DAFTAR_FIXTURE!$B$2:$B$51,MATCH(Q194,DAFTAR_FIXTURE!$A$2:$A$51,0)),""))</f>
        <v/>
      </c>
      <c r="U194" s="12">
        <f>IF(Q194="","",IF(T194="","CEK ID FIXTURE tidak ada di DAFTAR_FIXTURE",IF(R194="","CEK ZONA NO kosong",IF(ISNA(MATCH(T194&amp;"|"&amp;R194,LAYOUT!$E$2:$E$80,0)),"CEK ZONA NO di luar layout",IF(S194&lt;&gt;INDEX(LAYOUT!$D$2:$D$80,MATCH(T194&amp;"|"&amp;R194,LAYOUT!$E$2:$E$80,0)),"CEK JENIS ZONA",IF($D194="","Zona STOCK",IF($E194="","CEK SKU DESCRIPTION kosong","OK")))))))</f>
        <v/>
      </c>
      <c r="V194" s="11" t="n"/>
      <c r="W194" s="11" t="n"/>
      <c r="X194" s="11" t="n"/>
      <c r="Y194" s="12">
        <f>IF(V194="","",IFERROR(INDEX(DAFTAR_FIXTURE!$B$2:$B$51,MATCH(V194,DAFTAR_FIXTURE!$A$2:$A$51,0)),""))</f>
        <v/>
      </c>
      <c r="Z194" s="12">
        <f>IF(V194="","",IF(Y194="","CEK ID FIXTURE tidak ada di DAFTAR_FIXTURE",IF(W194="","CEK ZONA NO kosong",IF(ISNA(MATCH(Y194&amp;"|"&amp;W194,LAYOUT!$E$2:$E$80,0)),"CEK ZONA NO di luar layout",IF(X194&lt;&gt;INDEX(LAYOUT!$D$2:$D$80,MATCH(Y194&amp;"|"&amp;W194,LAYOUT!$E$2:$E$80,0)),"CEK JENIS ZONA",IF($D194="","Zona STOCK",IF($E194="","CEK SKU DESCRIPTION kosong","OK")))))))</f>
        <v/>
      </c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1" t="n"/>
      <c r="M195" s="11" t="n"/>
      <c r="N195" s="11" t="n"/>
      <c r="O195" s="12">
        <f>IF(L195="","",IFERROR(INDEX(DAFTAR_FIXTURE!$B$2:$B$51,MATCH(L195,DAFTAR_FIXTURE!$A$2:$A$51,0)),""))</f>
        <v/>
      </c>
      <c r="P195" s="12">
        <f>IF(AND($D195="",L195=""),"",IF(L195="",IF(AND(Q195="",V195=""),"Belum ditempatkan",""),IF(O195="","CEK ID FIXTURE tidak ada di DAFTAR_FIXTURE",IF(M195="","CEK ZONA NO kosong",IF(ISNA(MATCH(O195&amp;"|"&amp;M195,LAYOUT!$E$2:$E$80,0)),"CEK ZONA NO di luar layout",IF(N195&lt;&gt;INDEX(LAYOUT!$D$2:$D$80,MATCH(O195&amp;"|"&amp;M195,LAYOUT!$E$2:$E$80,0)),"CEK JENIS ZONA",IF($D195="","Zona STOCK",IF($E195="","CEK SKU DESCRIPTION kosong","OK"))))))))</f>
        <v/>
      </c>
      <c r="Q195" s="11" t="n"/>
      <c r="R195" s="11" t="n"/>
      <c r="S195" s="11" t="n"/>
      <c r="T195" s="12">
        <f>IF(Q195="","",IFERROR(INDEX(DAFTAR_FIXTURE!$B$2:$B$51,MATCH(Q195,DAFTAR_FIXTURE!$A$2:$A$51,0)),""))</f>
        <v/>
      </c>
      <c r="U195" s="12">
        <f>IF(Q195="","",IF(T195="","CEK ID FIXTURE tidak ada di DAFTAR_FIXTURE",IF(R195="","CEK ZONA NO kosong",IF(ISNA(MATCH(T195&amp;"|"&amp;R195,LAYOUT!$E$2:$E$80,0)),"CEK ZONA NO di luar layout",IF(S195&lt;&gt;INDEX(LAYOUT!$D$2:$D$80,MATCH(T195&amp;"|"&amp;R195,LAYOUT!$E$2:$E$80,0)),"CEK JENIS ZONA",IF($D195="","Zona STOCK",IF($E195="","CEK SKU DESCRIPTION kosong","OK")))))))</f>
        <v/>
      </c>
      <c r="V195" s="11" t="n"/>
      <c r="W195" s="11" t="n"/>
      <c r="X195" s="11" t="n"/>
      <c r="Y195" s="12">
        <f>IF(V195="","",IFERROR(INDEX(DAFTAR_FIXTURE!$B$2:$B$51,MATCH(V195,DAFTAR_FIXTURE!$A$2:$A$51,0)),""))</f>
        <v/>
      </c>
      <c r="Z195" s="12">
        <f>IF(V195="","",IF(Y195="","CEK ID FIXTURE tidak ada di DAFTAR_FIXTURE",IF(W195="","CEK ZONA NO kosong",IF(ISNA(MATCH(Y195&amp;"|"&amp;W195,LAYOUT!$E$2:$E$80,0)),"CEK ZONA NO di luar layout",IF(X195&lt;&gt;INDEX(LAYOUT!$D$2:$D$80,MATCH(Y195&amp;"|"&amp;W195,LAYOUT!$E$2:$E$80,0)),"CEK JENIS ZONA",IF($D195="","Zona STOCK",IF($E195="","CEK SKU DESCRIPTION kosong","OK")))))))</f>
        <v/>
      </c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1" t="n"/>
      <c r="M196" s="11" t="n"/>
      <c r="N196" s="11" t="n"/>
      <c r="O196" s="12">
        <f>IF(L196="","",IFERROR(INDEX(DAFTAR_FIXTURE!$B$2:$B$51,MATCH(L196,DAFTAR_FIXTURE!$A$2:$A$51,0)),""))</f>
        <v/>
      </c>
      <c r="P196" s="12">
        <f>IF(AND($D196="",L196=""),"",IF(L196="",IF(AND(Q196="",V196=""),"Belum ditempatkan",""),IF(O196="","CEK ID FIXTURE tidak ada di DAFTAR_FIXTURE",IF(M196="","CEK ZONA NO kosong",IF(ISNA(MATCH(O196&amp;"|"&amp;M196,LAYOUT!$E$2:$E$80,0)),"CEK ZONA NO di luar layout",IF(N196&lt;&gt;INDEX(LAYOUT!$D$2:$D$80,MATCH(O196&amp;"|"&amp;M196,LAYOUT!$E$2:$E$80,0)),"CEK JENIS ZONA",IF($D196="","Zona STOCK",IF($E196="","CEK SKU DESCRIPTION kosong","OK"))))))))</f>
        <v/>
      </c>
      <c r="Q196" s="11" t="n"/>
      <c r="R196" s="11" t="n"/>
      <c r="S196" s="11" t="n"/>
      <c r="T196" s="12">
        <f>IF(Q196="","",IFERROR(INDEX(DAFTAR_FIXTURE!$B$2:$B$51,MATCH(Q196,DAFTAR_FIXTURE!$A$2:$A$51,0)),""))</f>
        <v/>
      </c>
      <c r="U196" s="12">
        <f>IF(Q196="","",IF(T196="","CEK ID FIXTURE tidak ada di DAFTAR_FIXTURE",IF(R196="","CEK ZONA NO kosong",IF(ISNA(MATCH(T196&amp;"|"&amp;R196,LAYOUT!$E$2:$E$80,0)),"CEK ZONA NO di luar layout",IF(S196&lt;&gt;INDEX(LAYOUT!$D$2:$D$80,MATCH(T196&amp;"|"&amp;R196,LAYOUT!$E$2:$E$80,0)),"CEK JENIS ZONA",IF($D196="","Zona STOCK",IF($E196="","CEK SKU DESCRIPTION kosong","OK")))))))</f>
        <v/>
      </c>
      <c r="V196" s="11" t="n"/>
      <c r="W196" s="11" t="n"/>
      <c r="X196" s="11" t="n"/>
      <c r="Y196" s="12">
        <f>IF(V196="","",IFERROR(INDEX(DAFTAR_FIXTURE!$B$2:$B$51,MATCH(V196,DAFTAR_FIXTURE!$A$2:$A$51,0)),""))</f>
        <v/>
      </c>
      <c r="Z196" s="12">
        <f>IF(V196="","",IF(Y196="","CEK ID FIXTURE tidak ada di DAFTAR_FIXTURE",IF(W196="","CEK ZONA NO kosong",IF(ISNA(MATCH(Y196&amp;"|"&amp;W196,LAYOUT!$E$2:$E$80,0)),"CEK ZONA NO di luar layout",IF(X196&lt;&gt;INDEX(LAYOUT!$D$2:$D$80,MATCH(Y196&amp;"|"&amp;W196,LAYOUT!$E$2:$E$80,0)),"CEK JENIS ZONA",IF($D196="","Zona STOCK",IF($E196="","CEK SKU DESCRIPTION kosong","OK")))))))</f>
        <v/>
      </c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1" t="n"/>
      <c r="M197" s="11" t="n"/>
      <c r="N197" s="11" t="n"/>
      <c r="O197" s="12">
        <f>IF(L197="","",IFERROR(INDEX(DAFTAR_FIXTURE!$B$2:$B$51,MATCH(L197,DAFTAR_FIXTURE!$A$2:$A$51,0)),""))</f>
        <v/>
      </c>
      <c r="P197" s="12">
        <f>IF(AND($D197="",L197=""),"",IF(L197="",IF(AND(Q197="",V197=""),"Belum ditempatkan",""),IF(O197="","CEK ID FIXTURE tidak ada di DAFTAR_FIXTURE",IF(M197="","CEK ZONA NO kosong",IF(ISNA(MATCH(O197&amp;"|"&amp;M197,LAYOUT!$E$2:$E$80,0)),"CEK ZONA NO di luar layout",IF(N197&lt;&gt;INDEX(LAYOUT!$D$2:$D$80,MATCH(O197&amp;"|"&amp;M197,LAYOUT!$E$2:$E$80,0)),"CEK JENIS ZONA",IF($D197="","Zona STOCK",IF($E197="","CEK SKU DESCRIPTION kosong","OK"))))))))</f>
        <v/>
      </c>
      <c r="Q197" s="11" t="n"/>
      <c r="R197" s="11" t="n"/>
      <c r="S197" s="11" t="n"/>
      <c r="T197" s="12">
        <f>IF(Q197="","",IFERROR(INDEX(DAFTAR_FIXTURE!$B$2:$B$51,MATCH(Q197,DAFTAR_FIXTURE!$A$2:$A$51,0)),""))</f>
        <v/>
      </c>
      <c r="U197" s="12">
        <f>IF(Q197="","",IF(T197="","CEK ID FIXTURE tidak ada di DAFTAR_FIXTURE",IF(R197="","CEK ZONA NO kosong",IF(ISNA(MATCH(T197&amp;"|"&amp;R197,LAYOUT!$E$2:$E$80,0)),"CEK ZONA NO di luar layout",IF(S197&lt;&gt;INDEX(LAYOUT!$D$2:$D$80,MATCH(T197&amp;"|"&amp;R197,LAYOUT!$E$2:$E$80,0)),"CEK JENIS ZONA",IF($D197="","Zona STOCK",IF($E197="","CEK SKU DESCRIPTION kosong","OK")))))))</f>
        <v/>
      </c>
      <c r="V197" s="11" t="n"/>
      <c r="W197" s="11" t="n"/>
      <c r="X197" s="11" t="n"/>
      <c r="Y197" s="12">
        <f>IF(V197="","",IFERROR(INDEX(DAFTAR_FIXTURE!$B$2:$B$51,MATCH(V197,DAFTAR_FIXTURE!$A$2:$A$51,0)),""))</f>
        <v/>
      </c>
      <c r="Z197" s="12">
        <f>IF(V197="","",IF(Y197="","CEK ID FIXTURE tidak ada di DAFTAR_FIXTURE",IF(W197="","CEK ZONA NO kosong",IF(ISNA(MATCH(Y197&amp;"|"&amp;W197,LAYOUT!$E$2:$E$80,0)),"CEK ZONA NO di luar layout",IF(X197&lt;&gt;INDEX(LAYOUT!$D$2:$D$80,MATCH(Y197&amp;"|"&amp;W197,LAYOUT!$E$2:$E$80,0)),"CEK JENIS ZONA",IF($D197="","Zona STOCK",IF($E197="","CEK SKU DESCRIPTION kosong","OK")))))))</f>
        <v/>
      </c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1" t="n"/>
      <c r="M198" s="11" t="n"/>
      <c r="N198" s="11" t="n"/>
      <c r="O198" s="12">
        <f>IF(L198="","",IFERROR(INDEX(DAFTAR_FIXTURE!$B$2:$B$51,MATCH(L198,DAFTAR_FIXTURE!$A$2:$A$51,0)),""))</f>
        <v/>
      </c>
      <c r="P198" s="12">
        <f>IF(AND($D198="",L198=""),"",IF(L198="",IF(AND(Q198="",V198=""),"Belum ditempatkan",""),IF(O198="","CEK ID FIXTURE tidak ada di DAFTAR_FIXTURE",IF(M198="","CEK ZONA NO kosong",IF(ISNA(MATCH(O198&amp;"|"&amp;M198,LAYOUT!$E$2:$E$80,0)),"CEK ZONA NO di luar layout",IF(N198&lt;&gt;INDEX(LAYOUT!$D$2:$D$80,MATCH(O198&amp;"|"&amp;M198,LAYOUT!$E$2:$E$80,0)),"CEK JENIS ZONA",IF($D198="","Zona STOCK",IF($E198="","CEK SKU DESCRIPTION kosong","OK"))))))))</f>
        <v/>
      </c>
      <c r="Q198" s="11" t="n"/>
      <c r="R198" s="11" t="n"/>
      <c r="S198" s="11" t="n"/>
      <c r="T198" s="12">
        <f>IF(Q198="","",IFERROR(INDEX(DAFTAR_FIXTURE!$B$2:$B$51,MATCH(Q198,DAFTAR_FIXTURE!$A$2:$A$51,0)),""))</f>
        <v/>
      </c>
      <c r="U198" s="12">
        <f>IF(Q198="","",IF(T198="","CEK ID FIXTURE tidak ada di DAFTAR_FIXTURE",IF(R198="","CEK ZONA NO kosong",IF(ISNA(MATCH(T198&amp;"|"&amp;R198,LAYOUT!$E$2:$E$80,0)),"CEK ZONA NO di luar layout",IF(S198&lt;&gt;INDEX(LAYOUT!$D$2:$D$80,MATCH(T198&amp;"|"&amp;R198,LAYOUT!$E$2:$E$80,0)),"CEK JENIS ZONA",IF($D198="","Zona STOCK",IF($E198="","CEK SKU DESCRIPTION kosong","OK")))))))</f>
        <v/>
      </c>
      <c r="V198" s="11" t="n"/>
      <c r="W198" s="11" t="n"/>
      <c r="X198" s="11" t="n"/>
      <c r="Y198" s="12">
        <f>IF(V198="","",IFERROR(INDEX(DAFTAR_FIXTURE!$B$2:$B$51,MATCH(V198,DAFTAR_FIXTURE!$A$2:$A$51,0)),""))</f>
        <v/>
      </c>
      <c r="Z198" s="12">
        <f>IF(V198="","",IF(Y198="","CEK ID FIXTURE tidak ada di DAFTAR_FIXTURE",IF(W198="","CEK ZONA NO kosong",IF(ISNA(MATCH(Y198&amp;"|"&amp;W198,LAYOUT!$E$2:$E$80,0)),"CEK ZONA NO di luar layout",IF(X198&lt;&gt;INDEX(LAYOUT!$D$2:$D$80,MATCH(Y198&amp;"|"&amp;W198,LAYOUT!$E$2:$E$80,0)),"CEK JENIS ZONA",IF($D198="","Zona STOCK",IF($E198="","CEK SKU DESCRIPTION kosong","OK")))))))</f>
        <v/>
      </c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1" t="n"/>
      <c r="M199" s="11" t="n"/>
      <c r="N199" s="11" t="n"/>
      <c r="O199" s="12">
        <f>IF(L199="","",IFERROR(INDEX(DAFTAR_FIXTURE!$B$2:$B$51,MATCH(L199,DAFTAR_FIXTURE!$A$2:$A$51,0)),""))</f>
        <v/>
      </c>
      <c r="P199" s="12">
        <f>IF(AND($D199="",L199=""),"",IF(L199="",IF(AND(Q199="",V199=""),"Belum ditempatkan",""),IF(O199="","CEK ID FIXTURE tidak ada di DAFTAR_FIXTURE",IF(M199="","CEK ZONA NO kosong",IF(ISNA(MATCH(O199&amp;"|"&amp;M199,LAYOUT!$E$2:$E$80,0)),"CEK ZONA NO di luar layout",IF(N199&lt;&gt;INDEX(LAYOUT!$D$2:$D$80,MATCH(O199&amp;"|"&amp;M199,LAYOUT!$E$2:$E$80,0)),"CEK JENIS ZONA",IF($D199="","Zona STOCK",IF($E199="","CEK SKU DESCRIPTION kosong","OK"))))))))</f>
        <v/>
      </c>
      <c r="Q199" s="11" t="n"/>
      <c r="R199" s="11" t="n"/>
      <c r="S199" s="11" t="n"/>
      <c r="T199" s="12">
        <f>IF(Q199="","",IFERROR(INDEX(DAFTAR_FIXTURE!$B$2:$B$51,MATCH(Q199,DAFTAR_FIXTURE!$A$2:$A$51,0)),""))</f>
        <v/>
      </c>
      <c r="U199" s="12">
        <f>IF(Q199="","",IF(T199="","CEK ID FIXTURE tidak ada di DAFTAR_FIXTURE",IF(R199="","CEK ZONA NO kosong",IF(ISNA(MATCH(T199&amp;"|"&amp;R199,LAYOUT!$E$2:$E$80,0)),"CEK ZONA NO di luar layout",IF(S199&lt;&gt;INDEX(LAYOUT!$D$2:$D$80,MATCH(T199&amp;"|"&amp;R199,LAYOUT!$E$2:$E$80,0)),"CEK JENIS ZONA",IF($D199="","Zona STOCK",IF($E199="","CEK SKU DESCRIPTION kosong","OK")))))))</f>
        <v/>
      </c>
      <c r="V199" s="11" t="n"/>
      <c r="W199" s="11" t="n"/>
      <c r="X199" s="11" t="n"/>
      <c r="Y199" s="12">
        <f>IF(V199="","",IFERROR(INDEX(DAFTAR_FIXTURE!$B$2:$B$51,MATCH(V199,DAFTAR_FIXTURE!$A$2:$A$51,0)),""))</f>
        <v/>
      </c>
      <c r="Z199" s="12">
        <f>IF(V199="","",IF(Y199="","CEK ID FIXTURE tidak ada di DAFTAR_FIXTURE",IF(W199="","CEK ZONA NO kosong",IF(ISNA(MATCH(Y199&amp;"|"&amp;W199,LAYOUT!$E$2:$E$80,0)),"CEK ZONA NO di luar layout",IF(X199&lt;&gt;INDEX(LAYOUT!$D$2:$D$80,MATCH(Y199&amp;"|"&amp;W199,LAYOUT!$E$2:$E$80,0)),"CEK JENIS ZONA",IF($D199="","Zona STOCK",IF($E199="","CEK SKU DESCRIPTION kosong","OK")))))))</f>
        <v/>
      </c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1" t="n"/>
      <c r="M200" s="11" t="n"/>
      <c r="N200" s="11" t="n"/>
      <c r="O200" s="12">
        <f>IF(L200="","",IFERROR(INDEX(DAFTAR_FIXTURE!$B$2:$B$51,MATCH(L200,DAFTAR_FIXTURE!$A$2:$A$51,0)),""))</f>
        <v/>
      </c>
      <c r="P200" s="12">
        <f>IF(AND($D200="",L200=""),"",IF(L200="",IF(AND(Q200="",V200=""),"Belum ditempatkan",""),IF(O200="","CEK ID FIXTURE tidak ada di DAFTAR_FIXTURE",IF(M200="","CEK ZONA NO kosong",IF(ISNA(MATCH(O200&amp;"|"&amp;M200,LAYOUT!$E$2:$E$80,0)),"CEK ZONA NO di luar layout",IF(N200&lt;&gt;INDEX(LAYOUT!$D$2:$D$80,MATCH(O200&amp;"|"&amp;M200,LAYOUT!$E$2:$E$80,0)),"CEK JENIS ZONA",IF($D200="","Zona STOCK",IF($E200="","CEK SKU DESCRIPTION kosong","OK"))))))))</f>
        <v/>
      </c>
      <c r="Q200" s="11" t="n"/>
      <c r="R200" s="11" t="n"/>
      <c r="S200" s="11" t="n"/>
      <c r="T200" s="12">
        <f>IF(Q200="","",IFERROR(INDEX(DAFTAR_FIXTURE!$B$2:$B$51,MATCH(Q200,DAFTAR_FIXTURE!$A$2:$A$51,0)),""))</f>
        <v/>
      </c>
      <c r="U200" s="12">
        <f>IF(Q200="","",IF(T200="","CEK ID FIXTURE tidak ada di DAFTAR_FIXTURE",IF(R200="","CEK ZONA NO kosong",IF(ISNA(MATCH(T200&amp;"|"&amp;R200,LAYOUT!$E$2:$E$80,0)),"CEK ZONA NO di luar layout",IF(S200&lt;&gt;INDEX(LAYOUT!$D$2:$D$80,MATCH(T200&amp;"|"&amp;R200,LAYOUT!$E$2:$E$80,0)),"CEK JENIS ZONA",IF($D200="","Zona STOCK",IF($E200="","CEK SKU DESCRIPTION kosong","OK")))))))</f>
        <v/>
      </c>
      <c r="V200" s="11" t="n"/>
      <c r="W200" s="11" t="n"/>
      <c r="X200" s="11" t="n"/>
      <c r="Y200" s="12">
        <f>IF(V200="","",IFERROR(INDEX(DAFTAR_FIXTURE!$B$2:$B$51,MATCH(V200,DAFTAR_FIXTURE!$A$2:$A$51,0)),""))</f>
        <v/>
      </c>
      <c r="Z200" s="12">
        <f>IF(V200="","",IF(Y200="","CEK ID FIXTURE tidak ada di DAFTAR_FIXTURE",IF(W200="","CEK ZONA NO kosong",IF(ISNA(MATCH(Y200&amp;"|"&amp;W200,LAYOUT!$E$2:$E$80,0)),"CEK ZONA NO di luar layout",IF(X200&lt;&gt;INDEX(LAYOUT!$D$2:$D$80,MATCH(Y200&amp;"|"&amp;W200,LAYOUT!$E$2:$E$80,0)),"CEK JENIS ZONA",IF($D200="","Zona STOCK",IF($E200="","CEK SKU DESCRIPTION kosong","OK")))))))</f>
        <v/>
      </c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1" t="n"/>
      <c r="M201" s="11" t="n"/>
      <c r="N201" s="11" t="n"/>
      <c r="O201" s="12">
        <f>IF(L201="","",IFERROR(INDEX(DAFTAR_FIXTURE!$B$2:$B$51,MATCH(L201,DAFTAR_FIXTURE!$A$2:$A$51,0)),""))</f>
        <v/>
      </c>
      <c r="P201" s="12">
        <f>IF(AND($D201="",L201=""),"",IF(L201="",IF(AND(Q201="",V201=""),"Belum ditempatkan",""),IF(O201="","CEK ID FIXTURE tidak ada di DAFTAR_FIXTURE",IF(M201="","CEK ZONA NO kosong",IF(ISNA(MATCH(O201&amp;"|"&amp;M201,LAYOUT!$E$2:$E$80,0)),"CEK ZONA NO di luar layout",IF(N201&lt;&gt;INDEX(LAYOUT!$D$2:$D$80,MATCH(O201&amp;"|"&amp;M201,LAYOUT!$E$2:$E$80,0)),"CEK JENIS ZONA",IF($D201="","Zona STOCK",IF($E201="","CEK SKU DESCRIPTION kosong","OK"))))))))</f>
        <v/>
      </c>
      <c r="Q201" s="11" t="n"/>
      <c r="R201" s="11" t="n"/>
      <c r="S201" s="11" t="n"/>
      <c r="T201" s="12">
        <f>IF(Q201="","",IFERROR(INDEX(DAFTAR_FIXTURE!$B$2:$B$51,MATCH(Q201,DAFTAR_FIXTURE!$A$2:$A$51,0)),""))</f>
        <v/>
      </c>
      <c r="U201" s="12">
        <f>IF(Q201="","",IF(T201="","CEK ID FIXTURE tidak ada di DAFTAR_FIXTURE",IF(R201="","CEK ZONA NO kosong",IF(ISNA(MATCH(T201&amp;"|"&amp;R201,LAYOUT!$E$2:$E$80,0)),"CEK ZONA NO di luar layout",IF(S201&lt;&gt;INDEX(LAYOUT!$D$2:$D$80,MATCH(T201&amp;"|"&amp;R201,LAYOUT!$E$2:$E$80,0)),"CEK JENIS ZONA",IF($D201="","Zona STOCK",IF($E201="","CEK SKU DESCRIPTION kosong","OK")))))))</f>
        <v/>
      </c>
      <c r="V201" s="11" t="n"/>
      <c r="W201" s="11" t="n"/>
      <c r="X201" s="11" t="n"/>
      <c r="Y201" s="12">
        <f>IF(V201="","",IFERROR(INDEX(DAFTAR_FIXTURE!$B$2:$B$51,MATCH(V201,DAFTAR_FIXTURE!$A$2:$A$51,0)),""))</f>
        <v/>
      </c>
      <c r="Z201" s="12">
        <f>IF(V201="","",IF(Y201="","CEK ID FIXTURE tidak ada di DAFTAR_FIXTURE",IF(W201="","CEK ZONA NO kosong",IF(ISNA(MATCH(Y201&amp;"|"&amp;W201,LAYOUT!$E$2:$E$80,0)),"CEK ZONA NO di luar layout",IF(X201&lt;&gt;INDEX(LAYOUT!$D$2:$D$80,MATCH(Y201&amp;"|"&amp;W201,LAYOUT!$E$2:$E$80,0)),"CEK JENIS ZONA",IF($D201="","Zona STOCK",IF($E201="","CEK SKU DESCRIPTION kosong","OK")))))))</f>
        <v/>
      </c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1" t="n"/>
      <c r="M202" s="11" t="n"/>
      <c r="N202" s="11" t="n"/>
      <c r="O202" s="12">
        <f>IF(L202="","",IFERROR(INDEX(DAFTAR_FIXTURE!$B$2:$B$51,MATCH(L202,DAFTAR_FIXTURE!$A$2:$A$51,0)),""))</f>
        <v/>
      </c>
      <c r="P202" s="12">
        <f>IF(AND($D202="",L202=""),"",IF(L202="",IF(AND(Q202="",V202=""),"Belum ditempatkan",""),IF(O202="","CEK ID FIXTURE tidak ada di DAFTAR_FIXTURE",IF(M202="","CEK ZONA NO kosong",IF(ISNA(MATCH(O202&amp;"|"&amp;M202,LAYOUT!$E$2:$E$80,0)),"CEK ZONA NO di luar layout",IF(N202&lt;&gt;INDEX(LAYOUT!$D$2:$D$80,MATCH(O202&amp;"|"&amp;M202,LAYOUT!$E$2:$E$80,0)),"CEK JENIS ZONA",IF($D202="","Zona STOCK",IF($E202="","CEK SKU DESCRIPTION kosong","OK"))))))))</f>
        <v/>
      </c>
      <c r="Q202" s="11" t="n"/>
      <c r="R202" s="11" t="n"/>
      <c r="S202" s="11" t="n"/>
      <c r="T202" s="12">
        <f>IF(Q202="","",IFERROR(INDEX(DAFTAR_FIXTURE!$B$2:$B$51,MATCH(Q202,DAFTAR_FIXTURE!$A$2:$A$51,0)),""))</f>
        <v/>
      </c>
      <c r="U202" s="12">
        <f>IF(Q202="","",IF(T202="","CEK ID FIXTURE tidak ada di DAFTAR_FIXTURE",IF(R202="","CEK ZONA NO kosong",IF(ISNA(MATCH(T202&amp;"|"&amp;R202,LAYOUT!$E$2:$E$80,0)),"CEK ZONA NO di luar layout",IF(S202&lt;&gt;INDEX(LAYOUT!$D$2:$D$80,MATCH(T202&amp;"|"&amp;R202,LAYOUT!$E$2:$E$80,0)),"CEK JENIS ZONA",IF($D202="","Zona STOCK",IF($E202="","CEK SKU DESCRIPTION kosong","OK")))))))</f>
        <v/>
      </c>
      <c r="V202" s="11" t="n"/>
      <c r="W202" s="11" t="n"/>
      <c r="X202" s="11" t="n"/>
      <c r="Y202" s="12">
        <f>IF(V202="","",IFERROR(INDEX(DAFTAR_FIXTURE!$B$2:$B$51,MATCH(V202,DAFTAR_FIXTURE!$A$2:$A$51,0)),""))</f>
        <v/>
      </c>
      <c r="Z202" s="12">
        <f>IF(V202="","",IF(Y202="","CEK ID FIXTURE tidak ada di DAFTAR_FIXTURE",IF(W202="","CEK ZONA NO kosong",IF(ISNA(MATCH(Y202&amp;"|"&amp;W202,LAYOUT!$E$2:$E$80,0)),"CEK ZONA NO di luar layout",IF(X202&lt;&gt;INDEX(LAYOUT!$D$2:$D$80,MATCH(Y202&amp;"|"&amp;W202,LAYOUT!$E$2:$E$80,0)),"CEK JENIS ZONA",IF($D202="","Zona STOCK",IF($E202="","CEK SKU DESCRIPTION kosong","OK")))))))</f>
        <v/>
      </c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1" t="n"/>
      <c r="M203" s="11" t="n"/>
      <c r="N203" s="11" t="n"/>
      <c r="O203" s="12">
        <f>IF(L203="","",IFERROR(INDEX(DAFTAR_FIXTURE!$B$2:$B$51,MATCH(L203,DAFTAR_FIXTURE!$A$2:$A$51,0)),""))</f>
        <v/>
      </c>
      <c r="P203" s="12">
        <f>IF(AND($D203="",L203=""),"",IF(L203="",IF(AND(Q203="",V203=""),"Belum ditempatkan",""),IF(O203="","CEK ID FIXTURE tidak ada di DAFTAR_FIXTURE",IF(M203="","CEK ZONA NO kosong",IF(ISNA(MATCH(O203&amp;"|"&amp;M203,LAYOUT!$E$2:$E$80,0)),"CEK ZONA NO di luar layout",IF(N203&lt;&gt;INDEX(LAYOUT!$D$2:$D$80,MATCH(O203&amp;"|"&amp;M203,LAYOUT!$E$2:$E$80,0)),"CEK JENIS ZONA",IF($D203="","Zona STOCK",IF($E203="","CEK SKU DESCRIPTION kosong","OK"))))))))</f>
        <v/>
      </c>
      <c r="Q203" s="11" t="n"/>
      <c r="R203" s="11" t="n"/>
      <c r="S203" s="11" t="n"/>
      <c r="T203" s="12">
        <f>IF(Q203="","",IFERROR(INDEX(DAFTAR_FIXTURE!$B$2:$B$51,MATCH(Q203,DAFTAR_FIXTURE!$A$2:$A$51,0)),""))</f>
        <v/>
      </c>
      <c r="U203" s="12">
        <f>IF(Q203="","",IF(T203="","CEK ID FIXTURE tidak ada di DAFTAR_FIXTURE",IF(R203="","CEK ZONA NO kosong",IF(ISNA(MATCH(T203&amp;"|"&amp;R203,LAYOUT!$E$2:$E$80,0)),"CEK ZONA NO di luar layout",IF(S203&lt;&gt;INDEX(LAYOUT!$D$2:$D$80,MATCH(T203&amp;"|"&amp;R203,LAYOUT!$E$2:$E$80,0)),"CEK JENIS ZONA",IF($D203="","Zona STOCK",IF($E203="","CEK SKU DESCRIPTION kosong","OK")))))))</f>
        <v/>
      </c>
      <c r="V203" s="11" t="n"/>
      <c r="W203" s="11" t="n"/>
      <c r="X203" s="11" t="n"/>
      <c r="Y203" s="12">
        <f>IF(V203="","",IFERROR(INDEX(DAFTAR_FIXTURE!$B$2:$B$51,MATCH(V203,DAFTAR_FIXTURE!$A$2:$A$51,0)),""))</f>
        <v/>
      </c>
      <c r="Z203" s="12">
        <f>IF(V203="","",IF(Y203="","CEK ID FIXTURE tidak ada di DAFTAR_FIXTURE",IF(W203="","CEK ZONA NO kosong",IF(ISNA(MATCH(Y203&amp;"|"&amp;W203,LAYOUT!$E$2:$E$80,0)),"CEK ZONA NO di luar layout",IF(X203&lt;&gt;INDEX(LAYOUT!$D$2:$D$80,MATCH(Y203&amp;"|"&amp;W203,LAYOUT!$E$2:$E$80,0)),"CEK JENIS ZONA",IF($D203="","Zona STOCK",IF($E203="","CEK SKU DESCRIPTION kosong","OK")))))))</f>
        <v/>
      </c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1" t="n"/>
      <c r="M204" s="11" t="n"/>
      <c r="N204" s="11" t="n"/>
      <c r="O204" s="12">
        <f>IF(L204="","",IFERROR(INDEX(DAFTAR_FIXTURE!$B$2:$B$51,MATCH(L204,DAFTAR_FIXTURE!$A$2:$A$51,0)),""))</f>
        <v/>
      </c>
      <c r="P204" s="12">
        <f>IF(AND($D204="",L204=""),"",IF(L204="",IF(AND(Q204="",V204=""),"Belum ditempatkan",""),IF(O204="","CEK ID FIXTURE tidak ada di DAFTAR_FIXTURE",IF(M204="","CEK ZONA NO kosong",IF(ISNA(MATCH(O204&amp;"|"&amp;M204,LAYOUT!$E$2:$E$80,0)),"CEK ZONA NO di luar layout",IF(N204&lt;&gt;INDEX(LAYOUT!$D$2:$D$80,MATCH(O204&amp;"|"&amp;M204,LAYOUT!$E$2:$E$80,0)),"CEK JENIS ZONA",IF($D204="","Zona STOCK",IF($E204="","CEK SKU DESCRIPTION kosong","OK"))))))))</f>
        <v/>
      </c>
      <c r="Q204" s="11" t="n"/>
      <c r="R204" s="11" t="n"/>
      <c r="S204" s="11" t="n"/>
      <c r="T204" s="12">
        <f>IF(Q204="","",IFERROR(INDEX(DAFTAR_FIXTURE!$B$2:$B$51,MATCH(Q204,DAFTAR_FIXTURE!$A$2:$A$51,0)),""))</f>
        <v/>
      </c>
      <c r="U204" s="12">
        <f>IF(Q204="","",IF(T204="","CEK ID FIXTURE tidak ada di DAFTAR_FIXTURE",IF(R204="","CEK ZONA NO kosong",IF(ISNA(MATCH(T204&amp;"|"&amp;R204,LAYOUT!$E$2:$E$80,0)),"CEK ZONA NO di luar layout",IF(S204&lt;&gt;INDEX(LAYOUT!$D$2:$D$80,MATCH(T204&amp;"|"&amp;R204,LAYOUT!$E$2:$E$80,0)),"CEK JENIS ZONA",IF($D204="","Zona STOCK",IF($E204="","CEK SKU DESCRIPTION kosong","OK")))))))</f>
        <v/>
      </c>
      <c r="V204" s="11" t="n"/>
      <c r="W204" s="11" t="n"/>
      <c r="X204" s="11" t="n"/>
      <c r="Y204" s="12">
        <f>IF(V204="","",IFERROR(INDEX(DAFTAR_FIXTURE!$B$2:$B$51,MATCH(V204,DAFTAR_FIXTURE!$A$2:$A$51,0)),""))</f>
        <v/>
      </c>
      <c r="Z204" s="12">
        <f>IF(V204="","",IF(Y204="","CEK ID FIXTURE tidak ada di DAFTAR_FIXTURE",IF(W204="","CEK ZONA NO kosong",IF(ISNA(MATCH(Y204&amp;"|"&amp;W204,LAYOUT!$E$2:$E$80,0)),"CEK ZONA NO di luar layout",IF(X204&lt;&gt;INDEX(LAYOUT!$D$2:$D$80,MATCH(Y204&amp;"|"&amp;W204,LAYOUT!$E$2:$E$80,0)),"CEK JENIS ZONA",IF($D204="","Zona STOCK",IF($E204="","CEK SKU DESCRIPTION kosong","OK")))))))</f>
        <v/>
      </c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1" t="n"/>
      <c r="M205" s="11" t="n"/>
      <c r="N205" s="11" t="n"/>
      <c r="O205" s="12">
        <f>IF(L205="","",IFERROR(INDEX(DAFTAR_FIXTURE!$B$2:$B$51,MATCH(L205,DAFTAR_FIXTURE!$A$2:$A$51,0)),""))</f>
        <v/>
      </c>
      <c r="P205" s="12">
        <f>IF(AND($D205="",L205=""),"",IF(L205="",IF(AND(Q205="",V205=""),"Belum ditempatkan",""),IF(O205="","CEK ID FIXTURE tidak ada di DAFTAR_FIXTURE",IF(M205="","CEK ZONA NO kosong",IF(ISNA(MATCH(O205&amp;"|"&amp;M205,LAYOUT!$E$2:$E$80,0)),"CEK ZONA NO di luar layout",IF(N205&lt;&gt;INDEX(LAYOUT!$D$2:$D$80,MATCH(O205&amp;"|"&amp;M205,LAYOUT!$E$2:$E$80,0)),"CEK JENIS ZONA",IF($D205="","Zona STOCK",IF($E205="","CEK SKU DESCRIPTION kosong","OK"))))))))</f>
        <v/>
      </c>
      <c r="Q205" s="11" t="n"/>
      <c r="R205" s="11" t="n"/>
      <c r="S205" s="11" t="n"/>
      <c r="T205" s="12">
        <f>IF(Q205="","",IFERROR(INDEX(DAFTAR_FIXTURE!$B$2:$B$51,MATCH(Q205,DAFTAR_FIXTURE!$A$2:$A$51,0)),""))</f>
        <v/>
      </c>
      <c r="U205" s="12">
        <f>IF(Q205="","",IF(T205="","CEK ID FIXTURE tidak ada di DAFTAR_FIXTURE",IF(R205="","CEK ZONA NO kosong",IF(ISNA(MATCH(T205&amp;"|"&amp;R205,LAYOUT!$E$2:$E$80,0)),"CEK ZONA NO di luar layout",IF(S205&lt;&gt;INDEX(LAYOUT!$D$2:$D$80,MATCH(T205&amp;"|"&amp;R205,LAYOUT!$E$2:$E$80,0)),"CEK JENIS ZONA",IF($D205="","Zona STOCK",IF($E205="","CEK SKU DESCRIPTION kosong","OK")))))))</f>
        <v/>
      </c>
      <c r="V205" s="11" t="n"/>
      <c r="W205" s="11" t="n"/>
      <c r="X205" s="11" t="n"/>
      <c r="Y205" s="12">
        <f>IF(V205="","",IFERROR(INDEX(DAFTAR_FIXTURE!$B$2:$B$51,MATCH(V205,DAFTAR_FIXTURE!$A$2:$A$51,0)),""))</f>
        <v/>
      </c>
      <c r="Z205" s="12">
        <f>IF(V205="","",IF(Y205="","CEK ID FIXTURE tidak ada di DAFTAR_FIXTURE",IF(W205="","CEK ZONA NO kosong",IF(ISNA(MATCH(Y205&amp;"|"&amp;W205,LAYOUT!$E$2:$E$80,0)),"CEK ZONA NO di luar layout",IF(X205&lt;&gt;INDEX(LAYOUT!$D$2:$D$80,MATCH(Y205&amp;"|"&amp;W205,LAYOUT!$E$2:$E$80,0)),"CEK JENIS ZONA",IF($D205="","Zona STOCK",IF($E205="","CEK SKU DESCRIPTION kosong","OK")))))))</f>
        <v/>
      </c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1" t="n"/>
      <c r="M206" s="11" t="n"/>
      <c r="N206" s="11" t="n"/>
      <c r="O206" s="12">
        <f>IF(L206="","",IFERROR(INDEX(DAFTAR_FIXTURE!$B$2:$B$51,MATCH(L206,DAFTAR_FIXTURE!$A$2:$A$51,0)),""))</f>
        <v/>
      </c>
      <c r="P206" s="12">
        <f>IF(AND($D206="",L206=""),"",IF(L206="",IF(AND(Q206="",V206=""),"Belum ditempatkan",""),IF(O206="","CEK ID FIXTURE tidak ada di DAFTAR_FIXTURE",IF(M206="","CEK ZONA NO kosong",IF(ISNA(MATCH(O206&amp;"|"&amp;M206,LAYOUT!$E$2:$E$80,0)),"CEK ZONA NO di luar layout",IF(N206&lt;&gt;INDEX(LAYOUT!$D$2:$D$80,MATCH(O206&amp;"|"&amp;M206,LAYOUT!$E$2:$E$80,0)),"CEK JENIS ZONA",IF($D206="","Zona STOCK",IF($E206="","CEK SKU DESCRIPTION kosong","OK"))))))))</f>
        <v/>
      </c>
      <c r="Q206" s="11" t="n"/>
      <c r="R206" s="11" t="n"/>
      <c r="S206" s="11" t="n"/>
      <c r="T206" s="12">
        <f>IF(Q206="","",IFERROR(INDEX(DAFTAR_FIXTURE!$B$2:$B$51,MATCH(Q206,DAFTAR_FIXTURE!$A$2:$A$51,0)),""))</f>
        <v/>
      </c>
      <c r="U206" s="12">
        <f>IF(Q206="","",IF(T206="","CEK ID FIXTURE tidak ada di DAFTAR_FIXTURE",IF(R206="","CEK ZONA NO kosong",IF(ISNA(MATCH(T206&amp;"|"&amp;R206,LAYOUT!$E$2:$E$80,0)),"CEK ZONA NO di luar layout",IF(S206&lt;&gt;INDEX(LAYOUT!$D$2:$D$80,MATCH(T206&amp;"|"&amp;R206,LAYOUT!$E$2:$E$80,0)),"CEK JENIS ZONA",IF($D206="","Zona STOCK",IF($E206="","CEK SKU DESCRIPTION kosong","OK")))))))</f>
        <v/>
      </c>
      <c r="V206" s="11" t="n"/>
      <c r="W206" s="11" t="n"/>
      <c r="X206" s="11" t="n"/>
      <c r="Y206" s="12">
        <f>IF(V206="","",IFERROR(INDEX(DAFTAR_FIXTURE!$B$2:$B$51,MATCH(V206,DAFTAR_FIXTURE!$A$2:$A$51,0)),""))</f>
        <v/>
      </c>
      <c r="Z206" s="12">
        <f>IF(V206="","",IF(Y206="","CEK ID FIXTURE tidak ada di DAFTAR_FIXTURE",IF(W206="","CEK ZONA NO kosong",IF(ISNA(MATCH(Y206&amp;"|"&amp;W206,LAYOUT!$E$2:$E$80,0)),"CEK ZONA NO di luar layout",IF(X206&lt;&gt;INDEX(LAYOUT!$D$2:$D$80,MATCH(Y206&amp;"|"&amp;W206,LAYOUT!$E$2:$E$80,0)),"CEK JENIS ZONA",IF($D206="","Zona STOCK",IF($E206="","CEK SKU DESCRIPTION kosong","OK")))))))</f>
        <v/>
      </c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1" t="n"/>
      <c r="M207" s="11" t="n"/>
      <c r="N207" s="11" t="n"/>
      <c r="O207" s="12">
        <f>IF(L207="","",IFERROR(INDEX(DAFTAR_FIXTURE!$B$2:$B$51,MATCH(L207,DAFTAR_FIXTURE!$A$2:$A$51,0)),""))</f>
        <v/>
      </c>
      <c r="P207" s="12">
        <f>IF(AND($D207="",L207=""),"",IF(L207="",IF(AND(Q207="",V207=""),"Belum ditempatkan",""),IF(O207="","CEK ID FIXTURE tidak ada di DAFTAR_FIXTURE",IF(M207="","CEK ZONA NO kosong",IF(ISNA(MATCH(O207&amp;"|"&amp;M207,LAYOUT!$E$2:$E$80,0)),"CEK ZONA NO di luar layout",IF(N207&lt;&gt;INDEX(LAYOUT!$D$2:$D$80,MATCH(O207&amp;"|"&amp;M207,LAYOUT!$E$2:$E$80,0)),"CEK JENIS ZONA",IF($D207="","Zona STOCK",IF($E207="","CEK SKU DESCRIPTION kosong","OK"))))))))</f>
        <v/>
      </c>
      <c r="Q207" s="11" t="n"/>
      <c r="R207" s="11" t="n"/>
      <c r="S207" s="11" t="n"/>
      <c r="T207" s="12">
        <f>IF(Q207="","",IFERROR(INDEX(DAFTAR_FIXTURE!$B$2:$B$51,MATCH(Q207,DAFTAR_FIXTURE!$A$2:$A$51,0)),""))</f>
        <v/>
      </c>
      <c r="U207" s="12">
        <f>IF(Q207="","",IF(T207="","CEK ID FIXTURE tidak ada di DAFTAR_FIXTURE",IF(R207="","CEK ZONA NO kosong",IF(ISNA(MATCH(T207&amp;"|"&amp;R207,LAYOUT!$E$2:$E$80,0)),"CEK ZONA NO di luar layout",IF(S207&lt;&gt;INDEX(LAYOUT!$D$2:$D$80,MATCH(T207&amp;"|"&amp;R207,LAYOUT!$E$2:$E$80,0)),"CEK JENIS ZONA",IF($D207="","Zona STOCK",IF($E207="","CEK SKU DESCRIPTION kosong","OK")))))))</f>
        <v/>
      </c>
      <c r="V207" s="11" t="n"/>
      <c r="W207" s="11" t="n"/>
      <c r="X207" s="11" t="n"/>
      <c r="Y207" s="12">
        <f>IF(V207="","",IFERROR(INDEX(DAFTAR_FIXTURE!$B$2:$B$51,MATCH(V207,DAFTAR_FIXTURE!$A$2:$A$51,0)),""))</f>
        <v/>
      </c>
      <c r="Z207" s="12">
        <f>IF(V207="","",IF(Y207="","CEK ID FIXTURE tidak ada di DAFTAR_FIXTURE",IF(W207="","CEK ZONA NO kosong",IF(ISNA(MATCH(Y207&amp;"|"&amp;W207,LAYOUT!$E$2:$E$80,0)),"CEK ZONA NO di luar layout",IF(X207&lt;&gt;INDEX(LAYOUT!$D$2:$D$80,MATCH(Y207&amp;"|"&amp;W207,LAYOUT!$E$2:$E$80,0)),"CEK JENIS ZONA",IF($D207="","Zona STOCK",IF($E207="","CEK SKU DESCRIPTION kosong","OK")))))))</f>
        <v/>
      </c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1" t="n"/>
      <c r="M208" s="11" t="n"/>
      <c r="N208" s="11" t="n"/>
      <c r="O208" s="12">
        <f>IF(L208="","",IFERROR(INDEX(DAFTAR_FIXTURE!$B$2:$B$51,MATCH(L208,DAFTAR_FIXTURE!$A$2:$A$51,0)),""))</f>
        <v/>
      </c>
      <c r="P208" s="12">
        <f>IF(AND($D208="",L208=""),"",IF(L208="",IF(AND(Q208="",V208=""),"Belum ditempatkan",""),IF(O208="","CEK ID FIXTURE tidak ada di DAFTAR_FIXTURE",IF(M208="","CEK ZONA NO kosong",IF(ISNA(MATCH(O208&amp;"|"&amp;M208,LAYOUT!$E$2:$E$80,0)),"CEK ZONA NO di luar layout",IF(N208&lt;&gt;INDEX(LAYOUT!$D$2:$D$80,MATCH(O208&amp;"|"&amp;M208,LAYOUT!$E$2:$E$80,0)),"CEK JENIS ZONA",IF($D208="","Zona STOCK",IF($E208="","CEK SKU DESCRIPTION kosong","OK"))))))))</f>
        <v/>
      </c>
      <c r="Q208" s="11" t="n"/>
      <c r="R208" s="11" t="n"/>
      <c r="S208" s="11" t="n"/>
      <c r="T208" s="12">
        <f>IF(Q208="","",IFERROR(INDEX(DAFTAR_FIXTURE!$B$2:$B$51,MATCH(Q208,DAFTAR_FIXTURE!$A$2:$A$51,0)),""))</f>
        <v/>
      </c>
      <c r="U208" s="12">
        <f>IF(Q208="","",IF(T208="","CEK ID FIXTURE tidak ada di DAFTAR_FIXTURE",IF(R208="","CEK ZONA NO kosong",IF(ISNA(MATCH(T208&amp;"|"&amp;R208,LAYOUT!$E$2:$E$80,0)),"CEK ZONA NO di luar layout",IF(S208&lt;&gt;INDEX(LAYOUT!$D$2:$D$80,MATCH(T208&amp;"|"&amp;R208,LAYOUT!$E$2:$E$80,0)),"CEK JENIS ZONA",IF($D208="","Zona STOCK",IF($E208="","CEK SKU DESCRIPTION kosong","OK")))))))</f>
        <v/>
      </c>
      <c r="V208" s="11" t="n"/>
      <c r="W208" s="11" t="n"/>
      <c r="X208" s="11" t="n"/>
      <c r="Y208" s="12">
        <f>IF(V208="","",IFERROR(INDEX(DAFTAR_FIXTURE!$B$2:$B$51,MATCH(V208,DAFTAR_FIXTURE!$A$2:$A$51,0)),""))</f>
        <v/>
      </c>
      <c r="Z208" s="12">
        <f>IF(V208="","",IF(Y208="","CEK ID FIXTURE tidak ada di DAFTAR_FIXTURE",IF(W208="","CEK ZONA NO kosong",IF(ISNA(MATCH(Y208&amp;"|"&amp;W208,LAYOUT!$E$2:$E$80,0)),"CEK ZONA NO di luar layout",IF(X208&lt;&gt;INDEX(LAYOUT!$D$2:$D$80,MATCH(Y208&amp;"|"&amp;W208,LAYOUT!$E$2:$E$80,0)),"CEK JENIS ZONA",IF($D208="","Zona STOCK",IF($E208="","CEK SKU DESCRIPTION kosong","OK")))))))</f>
        <v/>
      </c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1" t="n"/>
      <c r="M209" s="11" t="n"/>
      <c r="N209" s="11" t="n"/>
      <c r="O209" s="12">
        <f>IF(L209="","",IFERROR(INDEX(DAFTAR_FIXTURE!$B$2:$B$51,MATCH(L209,DAFTAR_FIXTURE!$A$2:$A$51,0)),""))</f>
        <v/>
      </c>
      <c r="P209" s="12">
        <f>IF(AND($D209="",L209=""),"",IF(L209="",IF(AND(Q209="",V209=""),"Belum ditempatkan",""),IF(O209="","CEK ID FIXTURE tidak ada di DAFTAR_FIXTURE",IF(M209="","CEK ZONA NO kosong",IF(ISNA(MATCH(O209&amp;"|"&amp;M209,LAYOUT!$E$2:$E$80,0)),"CEK ZONA NO di luar layout",IF(N209&lt;&gt;INDEX(LAYOUT!$D$2:$D$80,MATCH(O209&amp;"|"&amp;M209,LAYOUT!$E$2:$E$80,0)),"CEK JENIS ZONA",IF($D209="","Zona STOCK",IF($E209="","CEK SKU DESCRIPTION kosong","OK"))))))))</f>
        <v/>
      </c>
      <c r="Q209" s="11" t="n"/>
      <c r="R209" s="11" t="n"/>
      <c r="S209" s="11" t="n"/>
      <c r="T209" s="12">
        <f>IF(Q209="","",IFERROR(INDEX(DAFTAR_FIXTURE!$B$2:$B$51,MATCH(Q209,DAFTAR_FIXTURE!$A$2:$A$51,0)),""))</f>
        <v/>
      </c>
      <c r="U209" s="12">
        <f>IF(Q209="","",IF(T209="","CEK ID FIXTURE tidak ada di DAFTAR_FIXTURE",IF(R209="","CEK ZONA NO kosong",IF(ISNA(MATCH(T209&amp;"|"&amp;R209,LAYOUT!$E$2:$E$80,0)),"CEK ZONA NO di luar layout",IF(S209&lt;&gt;INDEX(LAYOUT!$D$2:$D$80,MATCH(T209&amp;"|"&amp;R209,LAYOUT!$E$2:$E$80,0)),"CEK JENIS ZONA",IF($D209="","Zona STOCK",IF($E209="","CEK SKU DESCRIPTION kosong","OK")))))))</f>
        <v/>
      </c>
      <c r="V209" s="11" t="n"/>
      <c r="W209" s="11" t="n"/>
      <c r="X209" s="11" t="n"/>
      <c r="Y209" s="12">
        <f>IF(V209="","",IFERROR(INDEX(DAFTAR_FIXTURE!$B$2:$B$51,MATCH(V209,DAFTAR_FIXTURE!$A$2:$A$51,0)),""))</f>
        <v/>
      </c>
      <c r="Z209" s="12">
        <f>IF(V209="","",IF(Y209="","CEK ID FIXTURE tidak ada di DAFTAR_FIXTURE",IF(W209="","CEK ZONA NO kosong",IF(ISNA(MATCH(Y209&amp;"|"&amp;W209,LAYOUT!$E$2:$E$80,0)),"CEK ZONA NO di luar layout",IF(X209&lt;&gt;INDEX(LAYOUT!$D$2:$D$80,MATCH(Y209&amp;"|"&amp;W209,LAYOUT!$E$2:$E$80,0)),"CEK JENIS ZONA",IF($D209="","Zona STOCK",IF($E209="","CEK SKU DESCRIPTION kosong","OK")))))))</f>
        <v/>
      </c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1" t="n"/>
      <c r="M210" s="11" t="n"/>
      <c r="N210" s="11" t="n"/>
      <c r="O210" s="12">
        <f>IF(L210="","",IFERROR(INDEX(DAFTAR_FIXTURE!$B$2:$B$51,MATCH(L210,DAFTAR_FIXTURE!$A$2:$A$51,0)),""))</f>
        <v/>
      </c>
      <c r="P210" s="12">
        <f>IF(AND($D210="",L210=""),"",IF(L210="",IF(AND(Q210="",V210=""),"Belum ditempatkan",""),IF(O210="","CEK ID FIXTURE tidak ada di DAFTAR_FIXTURE",IF(M210="","CEK ZONA NO kosong",IF(ISNA(MATCH(O210&amp;"|"&amp;M210,LAYOUT!$E$2:$E$80,0)),"CEK ZONA NO di luar layout",IF(N210&lt;&gt;INDEX(LAYOUT!$D$2:$D$80,MATCH(O210&amp;"|"&amp;M210,LAYOUT!$E$2:$E$80,0)),"CEK JENIS ZONA",IF($D210="","Zona STOCK",IF($E210="","CEK SKU DESCRIPTION kosong","OK"))))))))</f>
        <v/>
      </c>
      <c r="Q210" s="11" t="n"/>
      <c r="R210" s="11" t="n"/>
      <c r="S210" s="11" t="n"/>
      <c r="T210" s="12">
        <f>IF(Q210="","",IFERROR(INDEX(DAFTAR_FIXTURE!$B$2:$B$51,MATCH(Q210,DAFTAR_FIXTURE!$A$2:$A$51,0)),""))</f>
        <v/>
      </c>
      <c r="U210" s="12">
        <f>IF(Q210="","",IF(T210="","CEK ID FIXTURE tidak ada di DAFTAR_FIXTURE",IF(R210="","CEK ZONA NO kosong",IF(ISNA(MATCH(T210&amp;"|"&amp;R210,LAYOUT!$E$2:$E$80,0)),"CEK ZONA NO di luar layout",IF(S210&lt;&gt;INDEX(LAYOUT!$D$2:$D$80,MATCH(T210&amp;"|"&amp;R210,LAYOUT!$E$2:$E$80,0)),"CEK JENIS ZONA",IF($D210="","Zona STOCK",IF($E210="","CEK SKU DESCRIPTION kosong","OK")))))))</f>
        <v/>
      </c>
      <c r="V210" s="11" t="n"/>
      <c r="W210" s="11" t="n"/>
      <c r="X210" s="11" t="n"/>
      <c r="Y210" s="12">
        <f>IF(V210="","",IFERROR(INDEX(DAFTAR_FIXTURE!$B$2:$B$51,MATCH(V210,DAFTAR_FIXTURE!$A$2:$A$51,0)),""))</f>
        <v/>
      </c>
      <c r="Z210" s="12">
        <f>IF(V210="","",IF(Y210="","CEK ID FIXTURE tidak ada di DAFTAR_FIXTURE",IF(W210="","CEK ZONA NO kosong",IF(ISNA(MATCH(Y210&amp;"|"&amp;W210,LAYOUT!$E$2:$E$80,0)),"CEK ZONA NO di luar layout",IF(X210&lt;&gt;INDEX(LAYOUT!$D$2:$D$80,MATCH(Y210&amp;"|"&amp;W210,LAYOUT!$E$2:$E$80,0)),"CEK JENIS ZONA",IF($D210="","Zona STOCK",IF($E210="","CEK SKU DESCRIPTION kosong","OK")))))))</f>
        <v/>
      </c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1" t="n"/>
      <c r="M211" s="11" t="n"/>
      <c r="N211" s="11" t="n"/>
      <c r="O211" s="12">
        <f>IF(L211="","",IFERROR(INDEX(DAFTAR_FIXTURE!$B$2:$B$51,MATCH(L211,DAFTAR_FIXTURE!$A$2:$A$51,0)),""))</f>
        <v/>
      </c>
      <c r="P211" s="12">
        <f>IF(AND($D211="",L211=""),"",IF(L211="",IF(AND(Q211="",V211=""),"Belum ditempatkan",""),IF(O211="","CEK ID FIXTURE tidak ada di DAFTAR_FIXTURE",IF(M211="","CEK ZONA NO kosong",IF(ISNA(MATCH(O211&amp;"|"&amp;M211,LAYOUT!$E$2:$E$80,0)),"CEK ZONA NO di luar layout",IF(N211&lt;&gt;INDEX(LAYOUT!$D$2:$D$80,MATCH(O211&amp;"|"&amp;M211,LAYOUT!$E$2:$E$80,0)),"CEK JENIS ZONA",IF($D211="","Zona STOCK",IF($E211="","CEK SKU DESCRIPTION kosong","OK"))))))))</f>
        <v/>
      </c>
      <c r="Q211" s="11" t="n"/>
      <c r="R211" s="11" t="n"/>
      <c r="S211" s="11" t="n"/>
      <c r="T211" s="12">
        <f>IF(Q211="","",IFERROR(INDEX(DAFTAR_FIXTURE!$B$2:$B$51,MATCH(Q211,DAFTAR_FIXTURE!$A$2:$A$51,0)),""))</f>
        <v/>
      </c>
      <c r="U211" s="12">
        <f>IF(Q211="","",IF(T211="","CEK ID FIXTURE tidak ada di DAFTAR_FIXTURE",IF(R211="","CEK ZONA NO kosong",IF(ISNA(MATCH(T211&amp;"|"&amp;R211,LAYOUT!$E$2:$E$80,0)),"CEK ZONA NO di luar layout",IF(S211&lt;&gt;INDEX(LAYOUT!$D$2:$D$80,MATCH(T211&amp;"|"&amp;R211,LAYOUT!$E$2:$E$80,0)),"CEK JENIS ZONA",IF($D211="","Zona STOCK",IF($E211="","CEK SKU DESCRIPTION kosong","OK")))))))</f>
        <v/>
      </c>
      <c r="V211" s="11" t="n"/>
      <c r="W211" s="11" t="n"/>
      <c r="X211" s="11" t="n"/>
      <c r="Y211" s="12">
        <f>IF(V211="","",IFERROR(INDEX(DAFTAR_FIXTURE!$B$2:$B$51,MATCH(V211,DAFTAR_FIXTURE!$A$2:$A$51,0)),""))</f>
        <v/>
      </c>
      <c r="Z211" s="12">
        <f>IF(V211="","",IF(Y211="","CEK ID FIXTURE tidak ada di DAFTAR_FIXTURE",IF(W211="","CEK ZONA NO kosong",IF(ISNA(MATCH(Y211&amp;"|"&amp;W211,LAYOUT!$E$2:$E$80,0)),"CEK ZONA NO di luar layout",IF(X211&lt;&gt;INDEX(LAYOUT!$D$2:$D$80,MATCH(Y211&amp;"|"&amp;W211,LAYOUT!$E$2:$E$80,0)),"CEK JENIS ZONA",IF($D211="","Zona STOCK",IF($E211="","CEK SKU DESCRIPTION kosong","OK")))))))</f>
        <v/>
      </c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1" t="n"/>
      <c r="M212" s="11" t="n"/>
      <c r="N212" s="11" t="n"/>
      <c r="O212" s="12">
        <f>IF(L212="","",IFERROR(INDEX(DAFTAR_FIXTURE!$B$2:$B$51,MATCH(L212,DAFTAR_FIXTURE!$A$2:$A$51,0)),""))</f>
        <v/>
      </c>
      <c r="P212" s="12">
        <f>IF(AND($D212="",L212=""),"",IF(L212="",IF(AND(Q212="",V212=""),"Belum ditempatkan",""),IF(O212="","CEK ID FIXTURE tidak ada di DAFTAR_FIXTURE",IF(M212="","CEK ZONA NO kosong",IF(ISNA(MATCH(O212&amp;"|"&amp;M212,LAYOUT!$E$2:$E$80,0)),"CEK ZONA NO di luar layout",IF(N212&lt;&gt;INDEX(LAYOUT!$D$2:$D$80,MATCH(O212&amp;"|"&amp;M212,LAYOUT!$E$2:$E$80,0)),"CEK JENIS ZONA",IF($D212="","Zona STOCK",IF($E212="","CEK SKU DESCRIPTION kosong","OK"))))))))</f>
        <v/>
      </c>
      <c r="Q212" s="11" t="n"/>
      <c r="R212" s="11" t="n"/>
      <c r="S212" s="11" t="n"/>
      <c r="T212" s="12">
        <f>IF(Q212="","",IFERROR(INDEX(DAFTAR_FIXTURE!$B$2:$B$51,MATCH(Q212,DAFTAR_FIXTURE!$A$2:$A$51,0)),""))</f>
        <v/>
      </c>
      <c r="U212" s="12">
        <f>IF(Q212="","",IF(T212="","CEK ID FIXTURE tidak ada di DAFTAR_FIXTURE",IF(R212="","CEK ZONA NO kosong",IF(ISNA(MATCH(T212&amp;"|"&amp;R212,LAYOUT!$E$2:$E$80,0)),"CEK ZONA NO di luar layout",IF(S212&lt;&gt;INDEX(LAYOUT!$D$2:$D$80,MATCH(T212&amp;"|"&amp;R212,LAYOUT!$E$2:$E$80,0)),"CEK JENIS ZONA",IF($D212="","Zona STOCK",IF($E212="","CEK SKU DESCRIPTION kosong","OK")))))))</f>
        <v/>
      </c>
      <c r="V212" s="11" t="n"/>
      <c r="W212" s="11" t="n"/>
      <c r="X212" s="11" t="n"/>
      <c r="Y212" s="12">
        <f>IF(V212="","",IFERROR(INDEX(DAFTAR_FIXTURE!$B$2:$B$51,MATCH(V212,DAFTAR_FIXTURE!$A$2:$A$51,0)),""))</f>
        <v/>
      </c>
      <c r="Z212" s="12">
        <f>IF(V212="","",IF(Y212="","CEK ID FIXTURE tidak ada di DAFTAR_FIXTURE",IF(W212="","CEK ZONA NO kosong",IF(ISNA(MATCH(Y212&amp;"|"&amp;W212,LAYOUT!$E$2:$E$80,0)),"CEK ZONA NO di luar layout",IF(X212&lt;&gt;INDEX(LAYOUT!$D$2:$D$80,MATCH(Y212&amp;"|"&amp;W212,LAYOUT!$E$2:$E$80,0)),"CEK JENIS ZONA",IF($D212="","Zona STOCK",IF($E212="","CEK SKU DESCRIPTION kosong","OK")))))))</f>
        <v/>
      </c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1" t="n"/>
      <c r="M213" s="11" t="n"/>
      <c r="N213" s="11" t="n"/>
      <c r="O213" s="12">
        <f>IF(L213="","",IFERROR(INDEX(DAFTAR_FIXTURE!$B$2:$B$51,MATCH(L213,DAFTAR_FIXTURE!$A$2:$A$51,0)),""))</f>
        <v/>
      </c>
      <c r="P213" s="12">
        <f>IF(AND($D213="",L213=""),"",IF(L213="",IF(AND(Q213="",V213=""),"Belum ditempatkan",""),IF(O213="","CEK ID FIXTURE tidak ada di DAFTAR_FIXTURE",IF(M213="","CEK ZONA NO kosong",IF(ISNA(MATCH(O213&amp;"|"&amp;M213,LAYOUT!$E$2:$E$80,0)),"CEK ZONA NO di luar layout",IF(N213&lt;&gt;INDEX(LAYOUT!$D$2:$D$80,MATCH(O213&amp;"|"&amp;M213,LAYOUT!$E$2:$E$80,0)),"CEK JENIS ZONA",IF($D213="","Zona STOCK",IF($E213="","CEK SKU DESCRIPTION kosong","OK"))))))))</f>
        <v/>
      </c>
      <c r="Q213" s="11" t="n"/>
      <c r="R213" s="11" t="n"/>
      <c r="S213" s="11" t="n"/>
      <c r="T213" s="12">
        <f>IF(Q213="","",IFERROR(INDEX(DAFTAR_FIXTURE!$B$2:$B$51,MATCH(Q213,DAFTAR_FIXTURE!$A$2:$A$51,0)),""))</f>
        <v/>
      </c>
      <c r="U213" s="12">
        <f>IF(Q213="","",IF(T213="","CEK ID FIXTURE tidak ada di DAFTAR_FIXTURE",IF(R213="","CEK ZONA NO kosong",IF(ISNA(MATCH(T213&amp;"|"&amp;R213,LAYOUT!$E$2:$E$80,0)),"CEK ZONA NO di luar layout",IF(S213&lt;&gt;INDEX(LAYOUT!$D$2:$D$80,MATCH(T213&amp;"|"&amp;R213,LAYOUT!$E$2:$E$80,0)),"CEK JENIS ZONA",IF($D213="","Zona STOCK",IF($E213="","CEK SKU DESCRIPTION kosong","OK")))))))</f>
        <v/>
      </c>
      <c r="V213" s="11" t="n"/>
      <c r="W213" s="11" t="n"/>
      <c r="X213" s="11" t="n"/>
      <c r="Y213" s="12">
        <f>IF(V213="","",IFERROR(INDEX(DAFTAR_FIXTURE!$B$2:$B$51,MATCH(V213,DAFTAR_FIXTURE!$A$2:$A$51,0)),""))</f>
        <v/>
      </c>
      <c r="Z213" s="12">
        <f>IF(V213="","",IF(Y213="","CEK ID FIXTURE tidak ada di DAFTAR_FIXTURE",IF(W213="","CEK ZONA NO kosong",IF(ISNA(MATCH(Y213&amp;"|"&amp;W213,LAYOUT!$E$2:$E$80,0)),"CEK ZONA NO di luar layout",IF(X213&lt;&gt;INDEX(LAYOUT!$D$2:$D$80,MATCH(Y213&amp;"|"&amp;W213,LAYOUT!$E$2:$E$80,0)),"CEK JENIS ZONA",IF($D213="","Zona STOCK",IF($E213="","CEK SKU DESCRIPTION kosong","OK")))))))</f>
        <v/>
      </c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1" t="n"/>
      <c r="M214" s="11" t="n"/>
      <c r="N214" s="11" t="n"/>
      <c r="O214" s="12">
        <f>IF(L214="","",IFERROR(INDEX(DAFTAR_FIXTURE!$B$2:$B$51,MATCH(L214,DAFTAR_FIXTURE!$A$2:$A$51,0)),""))</f>
        <v/>
      </c>
      <c r="P214" s="12">
        <f>IF(AND($D214="",L214=""),"",IF(L214="",IF(AND(Q214="",V214=""),"Belum ditempatkan",""),IF(O214="","CEK ID FIXTURE tidak ada di DAFTAR_FIXTURE",IF(M214="","CEK ZONA NO kosong",IF(ISNA(MATCH(O214&amp;"|"&amp;M214,LAYOUT!$E$2:$E$80,0)),"CEK ZONA NO di luar layout",IF(N214&lt;&gt;INDEX(LAYOUT!$D$2:$D$80,MATCH(O214&amp;"|"&amp;M214,LAYOUT!$E$2:$E$80,0)),"CEK JENIS ZONA",IF($D214="","Zona STOCK",IF($E214="","CEK SKU DESCRIPTION kosong","OK"))))))))</f>
        <v/>
      </c>
      <c r="Q214" s="11" t="n"/>
      <c r="R214" s="11" t="n"/>
      <c r="S214" s="11" t="n"/>
      <c r="T214" s="12">
        <f>IF(Q214="","",IFERROR(INDEX(DAFTAR_FIXTURE!$B$2:$B$51,MATCH(Q214,DAFTAR_FIXTURE!$A$2:$A$51,0)),""))</f>
        <v/>
      </c>
      <c r="U214" s="12">
        <f>IF(Q214="","",IF(T214="","CEK ID FIXTURE tidak ada di DAFTAR_FIXTURE",IF(R214="","CEK ZONA NO kosong",IF(ISNA(MATCH(T214&amp;"|"&amp;R214,LAYOUT!$E$2:$E$80,0)),"CEK ZONA NO di luar layout",IF(S214&lt;&gt;INDEX(LAYOUT!$D$2:$D$80,MATCH(T214&amp;"|"&amp;R214,LAYOUT!$E$2:$E$80,0)),"CEK JENIS ZONA",IF($D214="","Zona STOCK",IF($E214="","CEK SKU DESCRIPTION kosong","OK")))))))</f>
        <v/>
      </c>
      <c r="V214" s="11" t="n"/>
      <c r="W214" s="11" t="n"/>
      <c r="X214" s="11" t="n"/>
      <c r="Y214" s="12">
        <f>IF(V214="","",IFERROR(INDEX(DAFTAR_FIXTURE!$B$2:$B$51,MATCH(V214,DAFTAR_FIXTURE!$A$2:$A$51,0)),""))</f>
        <v/>
      </c>
      <c r="Z214" s="12">
        <f>IF(V214="","",IF(Y214="","CEK ID FIXTURE tidak ada di DAFTAR_FIXTURE",IF(W214="","CEK ZONA NO kosong",IF(ISNA(MATCH(Y214&amp;"|"&amp;W214,LAYOUT!$E$2:$E$80,0)),"CEK ZONA NO di luar layout",IF(X214&lt;&gt;INDEX(LAYOUT!$D$2:$D$80,MATCH(Y214&amp;"|"&amp;W214,LAYOUT!$E$2:$E$80,0)),"CEK JENIS ZONA",IF($D214="","Zona STOCK",IF($E214="","CEK SKU DESCRIPTION kosong","OK")))))))</f>
        <v/>
      </c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1" t="n"/>
      <c r="M215" s="11" t="n"/>
      <c r="N215" s="11" t="n"/>
      <c r="O215" s="12">
        <f>IF(L215="","",IFERROR(INDEX(DAFTAR_FIXTURE!$B$2:$B$51,MATCH(L215,DAFTAR_FIXTURE!$A$2:$A$51,0)),""))</f>
        <v/>
      </c>
      <c r="P215" s="12">
        <f>IF(AND($D215="",L215=""),"",IF(L215="",IF(AND(Q215="",V215=""),"Belum ditempatkan",""),IF(O215="","CEK ID FIXTURE tidak ada di DAFTAR_FIXTURE",IF(M215="","CEK ZONA NO kosong",IF(ISNA(MATCH(O215&amp;"|"&amp;M215,LAYOUT!$E$2:$E$80,0)),"CEK ZONA NO di luar layout",IF(N215&lt;&gt;INDEX(LAYOUT!$D$2:$D$80,MATCH(O215&amp;"|"&amp;M215,LAYOUT!$E$2:$E$80,0)),"CEK JENIS ZONA",IF($D215="","Zona STOCK",IF($E215="","CEK SKU DESCRIPTION kosong","OK"))))))))</f>
        <v/>
      </c>
      <c r="Q215" s="11" t="n"/>
      <c r="R215" s="11" t="n"/>
      <c r="S215" s="11" t="n"/>
      <c r="T215" s="12">
        <f>IF(Q215="","",IFERROR(INDEX(DAFTAR_FIXTURE!$B$2:$B$51,MATCH(Q215,DAFTAR_FIXTURE!$A$2:$A$51,0)),""))</f>
        <v/>
      </c>
      <c r="U215" s="12">
        <f>IF(Q215="","",IF(T215="","CEK ID FIXTURE tidak ada di DAFTAR_FIXTURE",IF(R215="","CEK ZONA NO kosong",IF(ISNA(MATCH(T215&amp;"|"&amp;R215,LAYOUT!$E$2:$E$80,0)),"CEK ZONA NO di luar layout",IF(S215&lt;&gt;INDEX(LAYOUT!$D$2:$D$80,MATCH(T215&amp;"|"&amp;R215,LAYOUT!$E$2:$E$80,0)),"CEK JENIS ZONA",IF($D215="","Zona STOCK",IF($E215="","CEK SKU DESCRIPTION kosong","OK")))))))</f>
        <v/>
      </c>
      <c r="V215" s="11" t="n"/>
      <c r="W215" s="11" t="n"/>
      <c r="X215" s="11" t="n"/>
      <c r="Y215" s="12">
        <f>IF(V215="","",IFERROR(INDEX(DAFTAR_FIXTURE!$B$2:$B$51,MATCH(V215,DAFTAR_FIXTURE!$A$2:$A$51,0)),""))</f>
        <v/>
      </c>
      <c r="Z215" s="12">
        <f>IF(V215="","",IF(Y215="","CEK ID FIXTURE tidak ada di DAFTAR_FIXTURE",IF(W215="","CEK ZONA NO kosong",IF(ISNA(MATCH(Y215&amp;"|"&amp;W215,LAYOUT!$E$2:$E$80,0)),"CEK ZONA NO di luar layout",IF(X215&lt;&gt;INDEX(LAYOUT!$D$2:$D$80,MATCH(Y215&amp;"|"&amp;W215,LAYOUT!$E$2:$E$80,0)),"CEK JENIS ZONA",IF($D215="","Zona STOCK",IF($E215="","CEK SKU DESCRIPTION kosong","OK")))))))</f>
        <v/>
      </c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1" t="n"/>
      <c r="M216" s="11" t="n"/>
      <c r="N216" s="11" t="n"/>
      <c r="O216" s="12">
        <f>IF(L216="","",IFERROR(INDEX(DAFTAR_FIXTURE!$B$2:$B$51,MATCH(L216,DAFTAR_FIXTURE!$A$2:$A$51,0)),""))</f>
        <v/>
      </c>
      <c r="P216" s="12">
        <f>IF(AND($D216="",L216=""),"",IF(L216="",IF(AND(Q216="",V216=""),"Belum ditempatkan",""),IF(O216="","CEK ID FIXTURE tidak ada di DAFTAR_FIXTURE",IF(M216="","CEK ZONA NO kosong",IF(ISNA(MATCH(O216&amp;"|"&amp;M216,LAYOUT!$E$2:$E$80,0)),"CEK ZONA NO di luar layout",IF(N216&lt;&gt;INDEX(LAYOUT!$D$2:$D$80,MATCH(O216&amp;"|"&amp;M216,LAYOUT!$E$2:$E$80,0)),"CEK JENIS ZONA",IF($D216="","Zona STOCK",IF($E216="","CEK SKU DESCRIPTION kosong","OK"))))))))</f>
        <v/>
      </c>
      <c r="Q216" s="11" t="n"/>
      <c r="R216" s="11" t="n"/>
      <c r="S216" s="11" t="n"/>
      <c r="T216" s="12">
        <f>IF(Q216="","",IFERROR(INDEX(DAFTAR_FIXTURE!$B$2:$B$51,MATCH(Q216,DAFTAR_FIXTURE!$A$2:$A$51,0)),""))</f>
        <v/>
      </c>
      <c r="U216" s="12">
        <f>IF(Q216="","",IF(T216="","CEK ID FIXTURE tidak ada di DAFTAR_FIXTURE",IF(R216="","CEK ZONA NO kosong",IF(ISNA(MATCH(T216&amp;"|"&amp;R216,LAYOUT!$E$2:$E$80,0)),"CEK ZONA NO di luar layout",IF(S216&lt;&gt;INDEX(LAYOUT!$D$2:$D$80,MATCH(T216&amp;"|"&amp;R216,LAYOUT!$E$2:$E$80,0)),"CEK JENIS ZONA",IF($D216="","Zona STOCK",IF($E216="","CEK SKU DESCRIPTION kosong","OK")))))))</f>
        <v/>
      </c>
      <c r="V216" s="11" t="n"/>
      <c r="W216" s="11" t="n"/>
      <c r="X216" s="11" t="n"/>
      <c r="Y216" s="12">
        <f>IF(V216="","",IFERROR(INDEX(DAFTAR_FIXTURE!$B$2:$B$51,MATCH(V216,DAFTAR_FIXTURE!$A$2:$A$51,0)),""))</f>
        <v/>
      </c>
      <c r="Z216" s="12">
        <f>IF(V216="","",IF(Y216="","CEK ID FIXTURE tidak ada di DAFTAR_FIXTURE",IF(W216="","CEK ZONA NO kosong",IF(ISNA(MATCH(Y216&amp;"|"&amp;W216,LAYOUT!$E$2:$E$80,0)),"CEK ZONA NO di luar layout",IF(X216&lt;&gt;INDEX(LAYOUT!$D$2:$D$80,MATCH(Y216&amp;"|"&amp;W216,LAYOUT!$E$2:$E$80,0)),"CEK JENIS ZONA",IF($D216="","Zona STOCK",IF($E216="","CEK SKU DESCRIPTION kosong","OK")))))))</f>
        <v/>
      </c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1" t="n"/>
      <c r="M217" s="11" t="n"/>
      <c r="N217" s="11" t="n"/>
      <c r="O217" s="12">
        <f>IF(L217="","",IFERROR(INDEX(DAFTAR_FIXTURE!$B$2:$B$51,MATCH(L217,DAFTAR_FIXTURE!$A$2:$A$51,0)),""))</f>
        <v/>
      </c>
      <c r="P217" s="12">
        <f>IF(AND($D217="",L217=""),"",IF(L217="",IF(AND(Q217="",V217=""),"Belum ditempatkan",""),IF(O217="","CEK ID FIXTURE tidak ada di DAFTAR_FIXTURE",IF(M217="","CEK ZONA NO kosong",IF(ISNA(MATCH(O217&amp;"|"&amp;M217,LAYOUT!$E$2:$E$80,0)),"CEK ZONA NO di luar layout",IF(N217&lt;&gt;INDEX(LAYOUT!$D$2:$D$80,MATCH(O217&amp;"|"&amp;M217,LAYOUT!$E$2:$E$80,0)),"CEK JENIS ZONA",IF($D217="","Zona STOCK",IF($E217="","CEK SKU DESCRIPTION kosong","OK"))))))))</f>
        <v/>
      </c>
      <c r="Q217" s="11" t="n"/>
      <c r="R217" s="11" t="n"/>
      <c r="S217" s="11" t="n"/>
      <c r="T217" s="12">
        <f>IF(Q217="","",IFERROR(INDEX(DAFTAR_FIXTURE!$B$2:$B$51,MATCH(Q217,DAFTAR_FIXTURE!$A$2:$A$51,0)),""))</f>
        <v/>
      </c>
      <c r="U217" s="12">
        <f>IF(Q217="","",IF(T217="","CEK ID FIXTURE tidak ada di DAFTAR_FIXTURE",IF(R217="","CEK ZONA NO kosong",IF(ISNA(MATCH(T217&amp;"|"&amp;R217,LAYOUT!$E$2:$E$80,0)),"CEK ZONA NO di luar layout",IF(S217&lt;&gt;INDEX(LAYOUT!$D$2:$D$80,MATCH(T217&amp;"|"&amp;R217,LAYOUT!$E$2:$E$80,0)),"CEK JENIS ZONA",IF($D217="","Zona STOCK",IF($E217="","CEK SKU DESCRIPTION kosong","OK")))))))</f>
        <v/>
      </c>
      <c r="V217" s="11" t="n"/>
      <c r="W217" s="11" t="n"/>
      <c r="X217" s="11" t="n"/>
      <c r="Y217" s="12">
        <f>IF(V217="","",IFERROR(INDEX(DAFTAR_FIXTURE!$B$2:$B$51,MATCH(V217,DAFTAR_FIXTURE!$A$2:$A$51,0)),""))</f>
        <v/>
      </c>
      <c r="Z217" s="12">
        <f>IF(V217="","",IF(Y217="","CEK ID FIXTURE tidak ada di DAFTAR_FIXTURE",IF(W217="","CEK ZONA NO kosong",IF(ISNA(MATCH(Y217&amp;"|"&amp;W217,LAYOUT!$E$2:$E$80,0)),"CEK ZONA NO di luar layout",IF(X217&lt;&gt;INDEX(LAYOUT!$D$2:$D$80,MATCH(Y217&amp;"|"&amp;W217,LAYOUT!$E$2:$E$80,0)),"CEK JENIS ZONA",IF($D217="","Zona STOCK",IF($E217="","CEK SKU DESCRIPTION kosong","OK")))))))</f>
        <v/>
      </c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1" t="n"/>
      <c r="M218" s="11" t="n"/>
      <c r="N218" s="11" t="n"/>
      <c r="O218" s="12">
        <f>IF(L218="","",IFERROR(INDEX(DAFTAR_FIXTURE!$B$2:$B$51,MATCH(L218,DAFTAR_FIXTURE!$A$2:$A$51,0)),""))</f>
        <v/>
      </c>
      <c r="P218" s="12">
        <f>IF(AND($D218="",L218=""),"",IF(L218="",IF(AND(Q218="",V218=""),"Belum ditempatkan",""),IF(O218="","CEK ID FIXTURE tidak ada di DAFTAR_FIXTURE",IF(M218="","CEK ZONA NO kosong",IF(ISNA(MATCH(O218&amp;"|"&amp;M218,LAYOUT!$E$2:$E$80,0)),"CEK ZONA NO di luar layout",IF(N218&lt;&gt;INDEX(LAYOUT!$D$2:$D$80,MATCH(O218&amp;"|"&amp;M218,LAYOUT!$E$2:$E$80,0)),"CEK JENIS ZONA",IF($D218="","Zona STOCK",IF($E218="","CEK SKU DESCRIPTION kosong","OK"))))))))</f>
        <v/>
      </c>
      <c r="Q218" s="11" t="n"/>
      <c r="R218" s="11" t="n"/>
      <c r="S218" s="11" t="n"/>
      <c r="T218" s="12">
        <f>IF(Q218="","",IFERROR(INDEX(DAFTAR_FIXTURE!$B$2:$B$51,MATCH(Q218,DAFTAR_FIXTURE!$A$2:$A$51,0)),""))</f>
        <v/>
      </c>
      <c r="U218" s="12">
        <f>IF(Q218="","",IF(T218="","CEK ID FIXTURE tidak ada di DAFTAR_FIXTURE",IF(R218="","CEK ZONA NO kosong",IF(ISNA(MATCH(T218&amp;"|"&amp;R218,LAYOUT!$E$2:$E$80,0)),"CEK ZONA NO di luar layout",IF(S218&lt;&gt;INDEX(LAYOUT!$D$2:$D$80,MATCH(T218&amp;"|"&amp;R218,LAYOUT!$E$2:$E$80,0)),"CEK JENIS ZONA",IF($D218="","Zona STOCK",IF($E218="","CEK SKU DESCRIPTION kosong","OK")))))))</f>
        <v/>
      </c>
      <c r="V218" s="11" t="n"/>
      <c r="W218" s="11" t="n"/>
      <c r="X218" s="11" t="n"/>
      <c r="Y218" s="12">
        <f>IF(V218="","",IFERROR(INDEX(DAFTAR_FIXTURE!$B$2:$B$51,MATCH(V218,DAFTAR_FIXTURE!$A$2:$A$51,0)),""))</f>
        <v/>
      </c>
      <c r="Z218" s="12">
        <f>IF(V218="","",IF(Y218="","CEK ID FIXTURE tidak ada di DAFTAR_FIXTURE",IF(W218="","CEK ZONA NO kosong",IF(ISNA(MATCH(Y218&amp;"|"&amp;W218,LAYOUT!$E$2:$E$80,0)),"CEK ZONA NO di luar layout",IF(X218&lt;&gt;INDEX(LAYOUT!$D$2:$D$80,MATCH(Y218&amp;"|"&amp;W218,LAYOUT!$E$2:$E$80,0)),"CEK JENIS ZONA",IF($D218="","Zona STOCK",IF($E218="","CEK SKU DESCRIPTION kosong","OK")))))))</f>
        <v/>
      </c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1" t="n"/>
      <c r="M219" s="11" t="n"/>
      <c r="N219" s="11" t="n"/>
      <c r="O219" s="12">
        <f>IF(L219="","",IFERROR(INDEX(DAFTAR_FIXTURE!$B$2:$B$51,MATCH(L219,DAFTAR_FIXTURE!$A$2:$A$51,0)),""))</f>
        <v/>
      </c>
      <c r="P219" s="12">
        <f>IF(AND($D219="",L219=""),"",IF(L219="",IF(AND(Q219="",V219=""),"Belum ditempatkan",""),IF(O219="","CEK ID FIXTURE tidak ada di DAFTAR_FIXTURE",IF(M219="","CEK ZONA NO kosong",IF(ISNA(MATCH(O219&amp;"|"&amp;M219,LAYOUT!$E$2:$E$80,0)),"CEK ZONA NO di luar layout",IF(N219&lt;&gt;INDEX(LAYOUT!$D$2:$D$80,MATCH(O219&amp;"|"&amp;M219,LAYOUT!$E$2:$E$80,0)),"CEK JENIS ZONA",IF($D219="","Zona STOCK",IF($E219="","CEK SKU DESCRIPTION kosong","OK"))))))))</f>
        <v/>
      </c>
      <c r="Q219" s="11" t="n"/>
      <c r="R219" s="11" t="n"/>
      <c r="S219" s="11" t="n"/>
      <c r="T219" s="12">
        <f>IF(Q219="","",IFERROR(INDEX(DAFTAR_FIXTURE!$B$2:$B$51,MATCH(Q219,DAFTAR_FIXTURE!$A$2:$A$51,0)),""))</f>
        <v/>
      </c>
      <c r="U219" s="12">
        <f>IF(Q219="","",IF(T219="","CEK ID FIXTURE tidak ada di DAFTAR_FIXTURE",IF(R219="","CEK ZONA NO kosong",IF(ISNA(MATCH(T219&amp;"|"&amp;R219,LAYOUT!$E$2:$E$80,0)),"CEK ZONA NO di luar layout",IF(S219&lt;&gt;INDEX(LAYOUT!$D$2:$D$80,MATCH(T219&amp;"|"&amp;R219,LAYOUT!$E$2:$E$80,0)),"CEK JENIS ZONA",IF($D219="","Zona STOCK",IF($E219="","CEK SKU DESCRIPTION kosong","OK")))))))</f>
        <v/>
      </c>
      <c r="V219" s="11" t="n"/>
      <c r="W219" s="11" t="n"/>
      <c r="X219" s="11" t="n"/>
      <c r="Y219" s="12">
        <f>IF(V219="","",IFERROR(INDEX(DAFTAR_FIXTURE!$B$2:$B$51,MATCH(V219,DAFTAR_FIXTURE!$A$2:$A$51,0)),""))</f>
        <v/>
      </c>
      <c r="Z219" s="12">
        <f>IF(V219="","",IF(Y219="","CEK ID FIXTURE tidak ada di DAFTAR_FIXTURE",IF(W219="","CEK ZONA NO kosong",IF(ISNA(MATCH(Y219&amp;"|"&amp;W219,LAYOUT!$E$2:$E$80,0)),"CEK ZONA NO di luar layout",IF(X219&lt;&gt;INDEX(LAYOUT!$D$2:$D$80,MATCH(Y219&amp;"|"&amp;W219,LAYOUT!$E$2:$E$80,0)),"CEK JENIS ZONA",IF($D219="","Zona STOCK",IF($E219="","CEK SKU DESCRIPTION kosong","OK")))))))</f>
        <v/>
      </c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1" t="n"/>
      <c r="M220" s="11" t="n"/>
      <c r="N220" s="11" t="n"/>
      <c r="O220" s="12">
        <f>IF(L220="","",IFERROR(INDEX(DAFTAR_FIXTURE!$B$2:$B$51,MATCH(L220,DAFTAR_FIXTURE!$A$2:$A$51,0)),""))</f>
        <v/>
      </c>
      <c r="P220" s="12">
        <f>IF(AND($D220="",L220=""),"",IF(L220="",IF(AND(Q220="",V220=""),"Belum ditempatkan",""),IF(O220="","CEK ID FIXTURE tidak ada di DAFTAR_FIXTURE",IF(M220="","CEK ZONA NO kosong",IF(ISNA(MATCH(O220&amp;"|"&amp;M220,LAYOUT!$E$2:$E$80,0)),"CEK ZONA NO di luar layout",IF(N220&lt;&gt;INDEX(LAYOUT!$D$2:$D$80,MATCH(O220&amp;"|"&amp;M220,LAYOUT!$E$2:$E$80,0)),"CEK JENIS ZONA",IF($D220="","Zona STOCK",IF($E220="","CEK SKU DESCRIPTION kosong","OK"))))))))</f>
        <v/>
      </c>
      <c r="Q220" s="11" t="n"/>
      <c r="R220" s="11" t="n"/>
      <c r="S220" s="11" t="n"/>
      <c r="T220" s="12">
        <f>IF(Q220="","",IFERROR(INDEX(DAFTAR_FIXTURE!$B$2:$B$51,MATCH(Q220,DAFTAR_FIXTURE!$A$2:$A$51,0)),""))</f>
        <v/>
      </c>
      <c r="U220" s="12">
        <f>IF(Q220="","",IF(T220="","CEK ID FIXTURE tidak ada di DAFTAR_FIXTURE",IF(R220="","CEK ZONA NO kosong",IF(ISNA(MATCH(T220&amp;"|"&amp;R220,LAYOUT!$E$2:$E$80,0)),"CEK ZONA NO di luar layout",IF(S220&lt;&gt;INDEX(LAYOUT!$D$2:$D$80,MATCH(T220&amp;"|"&amp;R220,LAYOUT!$E$2:$E$80,0)),"CEK JENIS ZONA",IF($D220="","Zona STOCK",IF($E220="","CEK SKU DESCRIPTION kosong","OK")))))))</f>
        <v/>
      </c>
      <c r="V220" s="11" t="n"/>
      <c r="W220" s="11" t="n"/>
      <c r="X220" s="11" t="n"/>
      <c r="Y220" s="12">
        <f>IF(V220="","",IFERROR(INDEX(DAFTAR_FIXTURE!$B$2:$B$51,MATCH(V220,DAFTAR_FIXTURE!$A$2:$A$51,0)),""))</f>
        <v/>
      </c>
      <c r="Z220" s="12">
        <f>IF(V220="","",IF(Y220="","CEK ID FIXTURE tidak ada di DAFTAR_FIXTURE",IF(W220="","CEK ZONA NO kosong",IF(ISNA(MATCH(Y220&amp;"|"&amp;W220,LAYOUT!$E$2:$E$80,0)),"CEK ZONA NO di luar layout",IF(X220&lt;&gt;INDEX(LAYOUT!$D$2:$D$80,MATCH(Y220&amp;"|"&amp;W220,LAYOUT!$E$2:$E$80,0)),"CEK JENIS ZONA",IF($D220="","Zona STOCK",IF($E220="","CEK SKU DESCRIPTION kosong","OK")))))))</f>
        <v/>
      </c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1" t="n"/>
      <c r="M221" s="11" t="n"/>
      <c r="N221" s="11" t="n"/>
      <c r="O221" s="12">
        <f>IF(L221="","",IFERROR(INDEX(DAFTAR_FIXTURE!$B$2:$B$51,MATCH(L221,DAFTAR_FIXTURE!$A$2:$A$51,0)),""))</f>
        <v/>
      </c>
      <c r="P221" s="12">
        <f>IF(AND($D221="",L221=""),"",IF(L221="",IF(AND(Q221="",V221=""),"Belum ditempatkan",""),IF(O221="","CEK ID FIXTURE tidak ada di DAFTAR_FIXTURE",IF(M221="","CEK ZONA NO kosong",IF(ISNA(MATCH(O221&amp;"|"&amp;M221,LAYOUT!$E$2:$E$80,0)),"CEK ZONA NO di luar layout",IF(N221&lt;&gt;INDEX(LAYOUT!$D$2:$D$80,MATCH(O221&amp;"|"&amp;M221,LAYOUT!$E$2:$E$80,0)),"CEK JENIS ZONA",IF($D221="","Zona STOCK",IF($E221="","CEK SKU DESCRIPTION kosong","OK"))))))))</f>
        <v/>
      </c>
      <c r="Q221" s="11" t="n"/>
      <c r="R221" s="11" t="n"/>
      <c r="S221" s="11" t="n"/>
      <c r="T221" s="12">
        <f>IF(Q221="","",IFERROR(INDEX(DAFTAR_FIXTURE!$B$2:$B$51,MATCH(Q221,DAFTAR_FIXTURE!$A$2:$A$51,0)),""))</f>
        <v/>
      </c>
      <c r="U221" s="12">
        <f>IF(Q221="","",IF(T221="","CEK ID FIXTURE tidak ada di DAFTAR_FIXTURE",IF(R221="","CEK ZONA NO kosong",IF(ISNA(MATCH(T221&amp;"|"&amp;R221,LAYOUT!$E$2:$E$80,0)),"CEK ZONA NO di luar layout",IF(S221&lt;&gt;INDEX(LAYOUT!$D$2:$D$80,MATCH(T221&amp;"|"&amp;R221,LAYOUT!$E$2:$E$80,0)),"CEK JENIS ZONA",IF($D221="","Zona STOCK",IF($E221="","CEK SKU DESCRIPTION kosong","OK")))))))</f>
        <v/>
      </c>
      <c r="V221" s="11" t="n"/>
      <c r="W221" s="11" t="n"/>
      <c r="X221" s="11" t="n"/>
      <c r="Y221" s="12">
        <f>IF(V221="","",IFERROR(INDEX(DAFTAR_FIXTURE!$B$2:$B$51,MATCH(V221,DAFTAR_FIXTURE!$A$2:$A$51,0)),""))</f>
        <v/>
      </c>
      <c r="Z221" s="12">
        <f>IF(V221="","",IF(Y221="","CEK ID FIXTURE tidak ada di DAFTAR_FIXTURE",IF(W221="","CEK ZONA NO kosong",IF(ISNA(MATCH(Y221&amp;"|"&amp;W221,LAYOUT!$E$2:$E$80,0)),"CEK ZONA NO di luar layout",IF(X221&lt;&gt;INDEX(LAYOUT!$D$2:$D$80,MATCH(Y221&amp;"|"&amp;W221,LAYOUT!$E$2:$E$80,0)),"CEK JENIS ZONA",IF($D221="","Zona STOCK",IF($E221="","CEK SKU DESCRIPTION kosong","OK")))))))</f>
        <v/>
      </c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1" t="n"/>
      <c r="M222" s="11" t="n"/>
      <c r="N222" s="11" t="n"/>
      <c r="O222" s="12">
        <f>IF(L222="","",IFERROR(INDEX(DAFTAR_FIXTURE!$B$2:$B$51,MATCH(L222,DAFTAR_FIXTURE!$A$2:$A$51,0)),""))</f>
        <v/>
      </c>
      <c r="P222" s="12">
        <f>IF(AND($D222="",L222=""),"",IF(L222="",IF(AND(Q222="",V222=""),"Belum ditempatkan",""),IF(O222="","CEK ID FIXTURE tidak ada di DAFTAR_FIXTURE",IF(M222="","CEK ZONA NO kosong",IF(ISNA(MATCH(O222&amp;"|"&amp;M222,LAYOUT!$E$2:$E$80,0)),"CEK ZONA NO di luar layout",IF(N222&lt;&gt;INDEX(LAYOUT!$D$2:$D$80,MATCH(O222&amp;"|"&amp;M222,LAYOUT!$E$2:$E$80,0)),"CEK JENIS ZONA",IF($D222="","Zona STOCK",IF($E222="","CEK SKU DESCRIPTION kosong","OK"))))))))</f>
        <v/>
      </c>
      <c r="Q222" s="11" t="n"/>
      <c r="R222" s="11" t="n"/>
      <c r="S222" s="11" t="n"/>
      <c r="T222" s="12">
        <f>IF(Q222="","",IFERROR(INDEX(DAFTAR_FIXTURE!$B$2:$B$51,MATCH(Q222,DAFTAR_FIXTURE!$A$2:$A$51,0)),""))</f>
        <v/>
      </c>
      <c r="U222" s="12">
        <f>IF(Q222="","",IF(T222="","CEK ID FIXTURE tidak ada di DAFTAR_FIXTURE",IF(R222="","CEK ZONA NO kosong",IF(ISNA(MATCH(T222&amp;"|"&amp;R222,LAYOUT!$E$2:$E$80,0)),"CEK ZONA NO di luar layout",IF(S222&lt;&gt;INDEX(LAYOUT!$D$2:$D$80,MATCH(T222&amp;"|"&amp;R222,LAYOUT!$E$2:$E$80,0)),"CEK JENIS ZONA",IF($D222="","Zona STOCK",IF($E222="","CEK SKU DESCRIPTION kosong","OK")))))))</f>
        <v/>
      </c>
      <c r="V222" s="11" t="n"/>
      <c r="W222" s="11" t="n"/>
      <c r="X222" s="11" t="n"/>
      <c r="Y222" s="12">
        <f>IF(V222="","",IFERROR(INDEX(DAFTAR_FIXTURE!$B$2:$B$51,MATCH(V222,DAFTAR_FIXTURE!$A$2:$A$51,0)),""))</f>
        <v/>
      </c>
      <c r="Z222" s="12">
        <f>IF(V222="","",IF(Y222="","CEK ID FIXTURE tidak ada di DAFTAR_FIXTURE",IF(W222="","CEK ZONA NO kosong",IF(ISNA(MATCH(Y222&amp;"|"&amp;W222,LAYOUT!$E$2:$E$80,0)),"CEK ZONA NO di luar layout",IF(X222&lt;&gt;INDEX(LAYOUT!$D$2:$D$80,MATCH(Y222&amp;"|"&amp;W222,LAYOUT!$E$2:$E$80,0)),"CEK JENIS ZONA",IF($D222="","Zona STOCK",IF($E222="","CEK SKU DESCRIPTION kosong","OK")))))))</f>
        <v/>
      </c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1" t="n"/>
      <c r="M223" s="11" t="n"/>
      <c r="N223" s="11" t="n"/>
      <c r="O223" s="12">
        <f>IF(L223="","",IFERROR(INDEX(DAFTAR_FIXTURE!$B$2:$B$51,MATCH(L223,DAFTAR_FIXTURE!$A$2:$A$51,0)),""))</f>
        <v/>
      </c>
      <c r="P223" s="12">
        <f>IF(AND($D223="",L223=""),"",IF(L223="",IF(AND(Q223="",V223=""),"Belum ditempatkan",""),IF(O223="","CEK ID FIXTURE tidak ada di DAFTAR_FIXTURE",IF(M223="","CEK ZONA NO kosong",IF(ISNA(MATCH(O223&amp;"|"&amp;M223,LAYOUT!$E$2:$E$80,0)),"CEK ZONA NO di luar layout",IF(N223&lt;&gt;INDEX(LAYOUT!$D$2:$D$80,MATCH(O223&amp;"|"&amp;M223,LAYOUT!$E$2:$E$80,0)),"CEK JENIS ZONA",IF($D223="","Zona STOCK",IF($E223="","CEK SKU DESCRIPTION kosong","OK"))))))))</f>
        <v/>
      </c>
      <c r="Q223" s="11" t="n"/>
      <c r="R223" s="11" t="n"/>
      <c r="S223" s="11" t="n"/>
      <c r="T223" s="12">
        <f>IF(Q223="","",IFERROR(INDEX(DAFTAR_FIXTURE!$B$2:$B$51,MATCH(Q223,DAFTAR_FIXTURE!$A$2:$A$51,0)),""))</f>
        <v/>
      </c>
      <c r="U223" s="12">
        <f>IF(Q223="","",IF(T223="","CEK ID FIXTURE tidak ada di DAFTAR_FIXTURE",IF(R223="","CEK ZONA NO kosong",IF(ISNA(MATCH(T223&amp;"|"&amp;R223,LAYOUT!$E$2:$E$80,0)),"CEK ZONA NO di luar layout",IF(S223&lt;&gt;INDEX(LAYOUT!$D$2:$D$80,MATCH(T223&amp;"|"&amp;R223,LAYOUT!$E$2:$E$80,0)),"CEK JENIS ZONA",IF($D223="","Zona STOCK",IF($E223="","CEK SKU DESCRIPTION kosong","OK")))))))</f>
        <v/>
      </c>
      <c r="V223" s="11" t="n"/>
      <c r="W223" s="11" t="n"/>
      <c r="X223" s="11" t="n"/>
      <c r="Y223" s="12">
        <f>IF(V223="","",IFERROR(INDEX(DAFTAR_FIXTURE!$B$2:$B$51,MATCH(V223,DAFTAR_FIXTURE!$A$2:$A$51,0)),""))</f>
        <v/>
      </c>
      <c r="Z223" s="12">
        <f>IF(V223="","",IF(Y223="","CEK ID FIXTURE tidak ada di DAFTAR_FIXTURE",IF(W223="","CEK ZONA NO kosong",IF(ISNA(MATCH(Y223&amp;"|"&amp;W223,LAYOUT!$E$2:$E$80,0)),"CEK ZONA NO di luar layout",IF(X223&lt;&gt;INDEX(LAYOUT!$D$2:$D$80,MATCH(Y223&amp;"|"&amp;W223,LAYOUT!$E$2:$E$80,0)),"CEK JENIS ZONA",IF($D223="","Zona STOCK",IF($E223="","CEK SKU DESCRIPTION kosong","OK")))))))</f>
        <v/>
      </c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1" t="n"/>
      <c r="M224" s="11" t="n"/>
      <c r="N224" s="11" t="n"/>
      <c r="O224" s="12">
        <f>IF(L224="","",IFERROR(INDEX(DAFTAR_FIXTURE!$B$2:$B$51,MATCH(L224,DAFTAR_FIXTURE!$A$2:$A$51,0)),""))</f>
        <v/>
      </c>
      <c r="P224" s="12">
        <f>IF(AND($D224="",L224=""),"",IF(L224="",IF(AND(Q224="",V224=""),"Belum ditempatkan",""),IF(O224="","CEK ID FIXTURE tidak ada di DAFTAR_FIXTURE",IF(M224="","CEK ZONA NO kosong",IF(ISNA(MATCH(O224&amp;"|"&amp;M224,LAYOUT!$E$2:$E$80,0)),"CEK ZONA NO di luar layout",IF(N224&lt;&gt;INDEX(LAYOUT!$D$2:$D$80,MATCH(O224&amp;"|"&amp;M224,LAYOUT!$E$2:$E$80,0)),"CEK JENIS ZONA",IF($D224="","Zona STOCK",IF($E224="","CEK SKU DESCRIPTION kosong","OK"))))))))</f>
        <v/>
      </c>
      <c r="Q224" s="11" t="n"/>
      <c r="R224" s="11" t="n"/>
      <c r="S224" s="11" t="n"/>
      <c r="T224" s="12">
        <f>IF(Q224="","",IFERROR(INDEX(DAFTAR_FIXTURE!$B$2:$B$51,MATCH(Q224,DAFTAR_FIXTURE!$A$2:$A$51,0)),""))</f>
        <v/>
      </c>
      <c r="U224" s="12">
        <f>IF(Q224="","",IF(T224="","CEK ID FIXTURE tidak ada di DAFTAR_FIXTURE",IF(R224="","CEK ZONA NO kosong",IF(ISNA(MATCH(T224&amp;"|"&amp;R224,LAYOUT!$E$2:$E$80,0)),"CEK ZONA NO di luar layout",IF(S224&lt;&gt;INDEX(LAYOUT!$D$2:$D$80,MATCH(T224&amp;"|"&amp;R224,LAYOUT!$E$2:$E$80,0)),"CEK JENIS ZONA",IF($D224="","Zona STOCK",IF($E224="","CEK SKU DESCRIPTION kosong","OK")))))))</f>
        <v/>
      </c>
      <c r="V224" s="11" t="n"/>
      <c r="W224" s="11" t="n"/>
      <c r="X224" s="11" t="n"/>
      <c r="Y224" s="12">
        <f>IF(V224="","",IFERROR(INDEX(DAFTAR_FIXTURE!$B$2:$B$51,MATCH(V224,DAFTAR_FIXTURE!$A$2:$A$51,0)),""))</f>
        <v/>
      </c>
      <c r="Z224" s="12">
        <f>IF(V224="","",IF(Y224="","CEK ID FIXTURE tidak ada di DAFTAR_FIXTURE",IF(W224="","CEK ZONA NO kosong",IF(ISNA(MATCH(Y224&amp;"|"&amp;W224,LAYOUT!$E$2:$E$80,0)),"CEK ZONA NO di luar layout",IF(X224&lt;&gt;INDEX(LAYOUT!$D$2:$D$80,MATCH(Y224&amp;"|"&amp;W224,LAYOUT!$E$2:$E$80,0)),"CEK JENIS ZONA",IF($D224="","Zona STOCK",IF($E224="","CEK SKU DESCRIPTION kosong","OK")))))))</f>
        <v/>
      </c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1" t="n"/>
      <c r="M225" s="11" t="n"/>
      <c r="N225" s="11" t="n"/>
      <c r="O225" s="12">
        <f>IF(L225="","",IFERROR(INDEX(DAFTAR_FIXTURE!$B$2:$B$51,MATCH(L225,DAFTAR_FIXTURE!$A$2:$A$51,0)),""))</f>
        <v/>
      </c>
      <c r="P225" s="12">
        <f>IF(AND($D225="",L225=""),"",IF(L225="",IF(AND(Q225="",V225=""),"Belum ditempatkan",""),IF(O225="","CEK ID FIXTURE tidak ada di DAFTAR_FIXTURE",IF(M225="","CEK ZONA NO kosong",IF(ISNA(MATCH(O225&amp;"|"&amp;M225,LAYOUT!$E$2:$E$80,0)),"CEK ZONA NO di luar layout",IF(N225&lt;&gt;INDEX(LAYOUT!$D$2:$D$80,MATCH(O225&amp;"|"&amp;M225,LAYOUT!$E$2:$E$80,0)),"CEK JENIS ZONA",IF($D225="","Zona STOCK",IF($E225="","CEK SKU DESCRIPTION kosong","OK"))))))))</f>
        <v/>
      </c>
      <c r="Q225" s="11" t="n"/>
      <c r="R225" s="11" t="n"/>
      <c r="S225" s="11" t="n"/>
      <c r="T225" s="12">
        <f>IF(Q225="","",IFERROR(INDEX(DAFTAR_FIXTURE!$B$2:$B$51,MATCH(Q225,DAFTAR_FIXTURE!$A$2:$A$51,0)),""))</f>
        <v/>
      </c>
      <c r="U225" s="12">
        <f>IF(Q225="","",IF(T225="","CEK ID FIXTURE tidak ada di DAFTAR_FIXTURE",IF(R225="","CEK ZONA NO kosong",IF(ISNA(MATCH(T225&amp;"|"&amp;R225,LAYOUT!$E$2:$E$80,0)),"CEK ZONA NO di luar layout",IF(S225&lt;&gt;INDEX(LAYOUT!$D$2:$D$80,MATCH(T225&amp;"|"&amp;R225,LAYOUT!$E$2:$E$80,0)),"CEK JENIS ZONA",IF($D225="","Zona STOCK",IF($E225="","CEK SKU DESCRIPTION kosong","OK")))))))</f>
        <v/>
      </c>
      <c r="V225" s="11" t="n"/>
      <c r="W225" s="11" t="n"/>
      <c r="X225" s="11" t="n"/>
      <c r="Y225" s="12">
        <f>IF(V225="","",IFERROR(INDEX(DAFTAR_FIXTURE!$B$2:$B$51,MATCH(V225,DAFTAR_FIXTURE!$A$2:$A$51,0)),""))</f>
        <v/>
      </c>
      <c r="Z225" s="12">
        <f>IF(V225="","",IF(Y225="","CEK ID FIXTURE tidak ada di DAFTAR_FIXTURE",IF(W225="","CEK ZONA NO kosong",IF(ISNA(MATCH(Y225&amp;"|"&amp;W225,LAYOUT!$E$2:$E$80,0)),"CEK ZONA NO di luar layout",IF(X225&lt;&gt;INDEX(LAYOUT!$D$2:$D$80,MATCH(Y225&amp;"|"&amp;W225,LAYOUT!$E$2:$E$80,0)),"CEK JENIS ZONA",IF($D225="","Zona STOCK",IF($E225="","CEK SKU DESCRIPTION kosong","OK")))))))</f>
        <v/>
      </c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1" t="n"/>
      <c r="M226" s="11" t="n"/>
      <c r="N226" s="11" t="n"/>
      <c r="O226" s="12">
        <f>IF(L226="","",IFERROR(INDEX(DAFTAR_FIXTURE!$B$2:$B$51,MATCH(L226,DAFTAR_FIXTURE!$A$2:$A$51,0)),""))</f>
        <v/>
      </c>
      <c r="P226" s="12">
        <f>IF(AND($D226="",L226=""),"",IF(L226="",IF(AND(Q226="",V226=""),"Belum ditempatkan",""),IF(O226="","CEK ID FIXTURE tidak ada di DAFTAR_FIXTURE",IF(M226="","CEK ZONA NO kosong",IF(ISNA(MATCH(O226&amp;"|"&amp;M226,LAYOUT!$E$2:$E$80,0)),"CEK ZONA NO di luar layout",IF(N226&lt;&gt;INDEX(LAYOUT!$D$2:$D$80,MATCH(O226&amp;"|"&amp;M226,LAYOUT!$E$2:$E$80,0)),"CEK JENIS ZONA",IF($D226="","Zona STOCK",IF($E226="","CEK SKU DESCRIPTION kosong","OK"))))))))</f>
        <v/>
      </c>
      <c r="Q226" s="11" t="n"/>
      <c r="R226" s="11" t="n"/>
      <c r="S226" s="11" t="n"/>
      <c r="T226" s="12">
        <f>IF(Q226="","",IFERROR(INDEX(DAFTAR_FIXTURE!$B$2:$B$51,MATCH(Q226,DAFTAR_FIXTURE!$A$2:$A$51,0)),""))</f>
        <v/>
      </c>
      <c r="U226" s="12">
        <f>IF(Q226="","",IF(T226="","CEK ID FIXTURE tidak ada di DAFTAR_FIXTURE",IF(R226="","CEK ZONA NO kosong",IF(ISNA(MATCH(T226&amp;"|"&amp;R226,LAYOUT!$E$2:$E$80,0)),"CEK ZONA NO di luar layout",IF(S226&lt;&gt;INDEX(LAYOUT!$D$2:$D$80,MATCH(T226&amp;"|"&amp;R226,LAYOUT!$E$2:$E$80,0)),"CEK JENIS ZONA",IF($D226="","Zona STOCK",IF($E226="","CEK SKU DESCRIPTION kosong","OK")))))))</f>
        <v/>
      </c>
      <c r="V226" s="11" t="n"/>
      <c r="W226" s="11" t="n"/>
      <c r="X226" s="11" t="n"/>
      <c r="Y226" s="12">
        <f>IF(V226="","",IFERROR(INDEX(DAFTAR_FIXTURE!$B$2:$B$51,MATCH(V226,DAFTAR_FIXTURE!$A$2:$A$51,0)),""))</f>
        <v/>
      </c>
      <c r="Z226" s="12">
        <f>IF(V226="","",IF(Y226="","CEK ID FIXTURE tidak ada di DAFTAR_FIXTURE",IF(W226="","CEK ZONA NO kosong",IF(ISNA(MATCH(Y226&amp;"|"&amp;W226,LAYOUT!$E$2:$E$80,0)),"CEK ZONA NO di luar layout",IF(X226&lt;&gt;INDEX(LAYOUT!$D$2:$D$80,MATCH(Y226&amp;"|"&amp;W226,LAYOUT!$E$2:$E$80,0)),"CEK JENIS ZONA",IF($D226="","Zona STOCK",IF($E226="","CEK SKU DESCRIPTION kosong","OK")))))))</f>
        <v/>
      </c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1" t="n"/>
      <c r="M227" s="11" t="n"/>
      <c r="N227" s="11" t="n"/>
      <c r="O227" s="12">
        <f>IF(L227="","",IFERROR(INDEX(DAFTAR_FIXTURE!$B$2:$B$51,MATCH(L227,DAFTAR_FIXTURE!$A$2:$A$51,0)),""))</f>
        <v/>
      </c>
      <c r="P227" s="12">
        <f>IF(AND($D227="",L227=""),"",IF(L227="",IF(AND(Q227="",V227=""),"Belum ditempatkan",""),IF(O227="","CEK ID FIXTURE tidak ada di DAFTAR_FIXTURE",IF(M227="","CEK ZONA NO kosong",IF(ISNA(MATCH(O227&amp;"|"&amp;M227,LAYOUT!$E$2:$E$80,0)),"CEK ZONA NO di luar layout",IF(N227&lt;&gt;INDEX(LAYOUT!$D$2:$D$80,MATCH(O227&amp;"|"&amp;M227,LAYOUT!$E$2:$E$80,0)),"CEK JENIS ZONA",IF($D227="","Zona STOCK",IF($E227="","CEK SKU DESCRIPTION kosong","OK"))))))))</f>
        <v/>
      </c>
      <c r="Q227" s="11" t="n"/>
      <c r="R227" s="11" t="n"/>
      <c r="S227" s="11" t="n"/>
      <c r="T227" s="12">
        <f>IF(Q227="","",IFERROR(INDEX(DAFTAR_FIXTURE!$B$2:$B$51,MATCH(Q227,DAFTAR_FIXTURE!$A$2:$A$51,0)),""))</f>
        <v/>
      </c>
      <c r="U227" s="12">
        <f>IF(Q227="","",IF(T227="","CEK ID FIXTURE tidak ada di DAFTAR_FIXTURE",IF(R227="","CEK ZONA NO kosong",IF(ISNA(MATCH(T227&amp;"|"&amp;R227,LAYOUT!$E$2:$E$80,0)),"CEK ZONA NO di luar layout",IF(S227&lt;&gt;INDEX(LAYOUT!$D$2:$D$80,MATCH(T227&amp;"|"&amp;R227,LAYOUT!$E$2:$E$80,0)),"CEK JENIS ZONA",IF($D227="","Zona STOCK",IF($E227="","CEK SKU DESCRIPTION kosong","OK")))))))</f>
        <v/>
      </c>
      <c r="V227" s="11" t="n"/>
      <c r="W227" s="11" t="n"/>
      <c r="X227" s="11" t="n"/>
      <c r="Y227" s="12">
        <f>IF(V227="","",IFERROR(INDEX(DAFTAR_FIXTURE!$B$2:$B$51,MATCH(V227,DAFTAR_FIXTURE!$A$2:$A$51,0)),""))</f>
        <v/>
      </c>
      <c r="Z227" s="12">
        <f>IF(V227="","",IF(Y227="","CEK ID FIXTURE tidak ada di DAFTAR_FIXTURE",IF(W227="","CEK ZONA NO kosong",IF(ISNA(MATCH(Y227&amp;"|"&amp;W227,LAYOUT!$E$2:$E$80,0)),"CEK ZONA NO di luar layout",IF(X227&lt;&gt;INDEX(LAYOUT!$D$2:$D$80,MATCH(Y227&amp;"|"&amp;W227,LAYOUT!$E$2:$E$80,0)),"CEK JENIS ZONA",IF($D227="","Zona STOCK",IF($E227="","CEK SKU DESCRIPTION kosong","OK")))))))</f>
        <v/>
      </c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1" t="n"/>
      <c r="M228" s="11" t="n"/>
      <c r="N228" s="11" t="n"/>
      <c r="O228" s="12">
        <f>IF(L228="","",IFERROR(INDEX(DAFTAR_FIXTURE!$B$2:$B$51,MATCH(L228,DAFTAR_FIXTURE!$A$2:$A$51,0)),""))</f>
        <v/>
      </c>
      <c r="P228" s="12">
        <f>IF(AND($D228="",L228=""),"",IF(L228="",IF(AND(Q228="",V228=""),"Belum ditempatkan",""),IF(O228="","CEK ID FIXTURE tidak ada di DAFTAR_FIXTURE",IF(M228="","CEK ZONA NO kosong",IF(ISNA(MATCH(O228&amp;"|"&amp;M228,LAYOUT!$E$2:$E$80,0)),"CEK ZONA NO di luar layout",IF(N228&lt;&gt;INDEX(LAYOUT!$D$2:$D$80,MATCH(O228&amp;"|"&amp;M228,LAYOUT!$E$2:$E$80,0)),"CEK JENIS ZONA",IF($D228="","Zona STOCK",IF($E228="","CEK SKU DESCRIPTION kosong","OK"))))))))</f>
        <v/>
      </c>
      <c r="Q228" s="11" t="n"/>
      <c r="R228" s="11" t="n"/>
      <c r="S228" s="11" t="n"/>
      <c r="T228" s="12">
        <f>IF(Q228="","",IFERROR(INDEX(DAFTAR_FIXTURE!$B$2:$B$51,MATCH(Q228,DAFTAR_FIXTURE!$A$2:$A$51,0)),""))</f>
        <v/>
      </c>
      <c r="U228" s="12">
        <f>IF(Q228="","",IF(T228="","CEK ID FIXTURE tidak ada di DAFTAR_FIXTURE",IF(R228="","CEK ZONA NO kosong",IF(ISNA(MATCH(T228&amp;"|"&amp;R228,LAYOUT!$E$2:$E$80,0)),"CEK ZONA NO di luar layout",IF(S228&lt;&gt;INDEX(LAYOUT!$D$2:$D$80,MATCH(T228&amp;"|"&amp;R228,LAYOUT!$E$2:$E$80,0)),"CEK JENIS ZONA",IF($D228="","Zona STOCK",IF($E228="","CEK SKU DESCRIPTION kosong","OK")))))))</f>
        <v/>
      </c>
      <c r="V228" s="11" t="n"/>
      <c r="W228" s="11" t="n"/>
      <c r="X228" s="11" t="n"/>
      <c r="Y228" s="12">
        <f>IF(V228="","",IFERROR(INDEX(DAFTAR_FIXTURE!$B$2:$B$51,MATCH(V228,DAFTAR_FIXTURE!$A$2:$A$51,0)),""))</f>
        <v/>
      </c>
      <c r="Z228" s="12">
        <f>IF(V228="","",IF(Y228="","CEK ID FIXTURE tidak ada di DAFTAR_FIXTURE",IF(W228="","CEK ZONA NO kosong",IF(ISNA(MATCH(Y228&amp;"|"&amp;W228,LAYOUT!$E$2:$E$80,0)),"CEK ZONA NO di luar layout",IF(X228&lt;&gt;INDEX(LAYOUT!$D$2:$D$80,MATCH(Y228&amp;"|"&amp;W228,LAYOUT!$E$2:$E$80,0)),"CEK JENIS ZONA",IF($D228="","Zona STOCK",IF($E228="","CEK SKU DESCRIPTION kosong","OK")))))))</f>
        <v/>
      </c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1" t="n"/>
      <c r="M229" s="11" t="n"/>
      <c r="N229" s="11" t="n"/>
      <c r="O229" s="12">
        <f>IF(L229="","",IFERROR(INDEX(DAFTAR_FIXTURE!$B$2:$B$51,MATCH(L229,DAFTAR_FIXTURE!$A$2:$A$51,0)),""))</f>
        <v/>
      </c>
      <c r="P229" s="12">
        <f>IF(AND($D229="",L229=""),"",IF(L229="",IF(AND(Q229="",V229=""),"Belum ditempatkan",""),IF(O229="","CEK ID FIXTURE tidak ada di DAFTAR_FIXTURE",IF(M229="","CEK ZONA NO kosong",IF(ISNA(MATCH(O229&amp;"|"&amp;M229,LAYOUT!$E$2:$E$80,0)),"CEK ZONA NO di luar layout",IF(N229&lt;&gt;INDEX(LAYOUT!$D$2:$D$80,MATCH(O229&amp;"|"&amp;M229,LAYOUT!$E$2:$E$80,0)),"CEK JENIS ZONA",IF($D229="","Zona STOCK",IF($E229="","CEK SKU DESCRIPTION kosong","OK"))))))))</f>
        <v/>
      </c>
      <c r="Q229" s="11" t="n"/>
      <c r="R229" s="11" t="n"/>
      <c r="S229" s="11" t="n"/>
      <c r="T229" s="12">
        <f>IF(Q229="","",IFERROR(INDEX(DAFTAR_FIXTURE!$B$2:$B$51,MATCH(Q229,DAFTAR_FIXTURE!$A$2:$A$51,0)),""))</f>
        <v/>
      </c>
      <c r="U229" s="12">
        <f>IF(Q229="","",IF(T229="","CEK ID FIXTURE tidak ada di DAFTAR_FIXTURE",IF(R229="","CEK ZONA NO kosong",IF(ISNA(MATCH(T229&amp;"|"&amp;R229,LAYOUT!$E$2:$E$80,0)),"CEK ZONA NO di luar layout",IF(S229&lt;&gt;INDEX(LAYOUT!$D$2:$D$80,MATCH(T229&amp;"|"&amp;R229,LAYOUT!$E$2:$E$80,0)),"CEK JENIS ZONA",IF($D229="","Zona STOCK",IF($E229="","CEK SKU DESCRIPTION kosong","OK")))))))</f>
        <v/>
      </c>
      <c r="V229" s="11" t="n"/>
      <c r="W229" s="11" t="n"/>
      <c r="X229" s="11" t="n"/>
      <c r="Y229" s="12">
        <f>IF(V229="","",IFERROR(INDEX(DAFTAR_FIXTURE!$B$2:$B$51,MATCH(V229,DAFTAR_FIXTURE!$A$2:$A$51,0)),""))</f>
        <v/>
      </c>
      <c r="Z229" s="12">
        <f>IF(V229="","",IF(Y229="","CEK ID FIXTURE tidak ada di DAFTAR_FIXTURE",IF(W229="","CEK ZONA NO kosong",IF(ISNA(MATCH(Y229&amp;"|"&amp;W229,LAYOUT!$E$2:$E$80,0)),"CEK ZONA NO di luar layout",IF(X229&lt;&gt;INDEX(LAYOUT!$D$2:$D$80,MATCH(Y229&amp;"|"&amp;W229,LAYOUT!$E$2:$E$80,0)),"CEK JENIS ZONA",IF($D229="","Zona STOCK",IF($E229="","CEK SKU DESCRIPTION kosong","OK")))))))</f>
        <v/>
      </c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1" t="n"/>
      <c r="M230" s="11" t="n"/>
      <c r="N230" s="11" t="n"/>
      <c r="O230" s="12">
        <f>IF(L230="","",IFERROR(INDEX(DAFTAR_FIXTURE!$B$2:$B$51,MATCH(L230,DAFTAR_FIXTURE!$A$2:$A$51,0)),""))</f>
        <v/>
      </c>
      <c r="P230" s="12">
        <f>IF(AND($D230="",L230=""),"",IF(L230="",IF(AND(Q230="",V230=""),"Belum ditempatkan",""),IF(O230="","CEK ID FIXTURE tidak ada di DAFTAR_FIXTURE",IF(M230="","CEK ZONA NO kosong",IF(ISNA(MATCH(O230&amp;"|"&amp;M230,LAYOUT!$E$2:$E$80,0)),"CEK ZONA NO di luar layout",IF(N230&lt;&gt;INDEX(LAYOUT!$D$2:$D$80,MATCH(O230&amp;"|"&amp;M230,LAYOUT!$E$2:$E$80,0)),"CEK JENIS ZONA",IF($D230="","Zona STOCK",IF($E230="","CEK SKU DESCRIPTION kosong","OK"))))))))</f>
        <v/>
      </c>
      <c r="Q230" s="11" t="n"/>
      <c r="R230" s="11" t="n"/>
      <c r="S230" s="11" t="n"/>
      <c r="T230" s="12">
        <f>IF(Q230="","",IFERROR(INDEX(DAFTAR_FIXTURE!$B$2:$B$51,MATCH(Q230,DAFTAR_FIXTURE!$A$2:$A$51,0)),""))</f>
        <v/>
      </c>
      <c r="U230" s="12">
        <f>IF(Q230="","",IF(T230="","CEK ID FIXTURE tidak ada di DAFTAR_FIXTURE",IF(R230="","CEK ZONA NO kosong",IF(ISNA(MATCH(T230&amp;"|"&amp;R230,LAYOUT!$E$2:$E$80,0)),"CEK ZONA NO di luar layout",IF(S230&lt;&gt;INDEX(LAYOUT!$D$2:$D$80,MATCH(T230&amp;"|"&amp;R230,LAYOUT!$E$2:$E$80,0)),"CEK JENIS ZONA",IF($D230="","Zona STOCK",IF($E230="","CEK SKU DESCRIPTION kosong","OK")))))))</f>
        <v/>
      </c>
      <c r="V230" s="11" t="n"/>
      <c r="W230" s="11" t="n"/>
      <c r="X230" s="11" t="n"/>
      <c r="Y230" s="12">
        <f>IF(V230="","",IFERROR(INDEX(DAFTAR_FIXTURE!$B$2:$B$51,MATCH(V230,DAFTAR_FIXTURE!$A$2:$A$51,0)),""))</f>
        <v/>
      </c>
      <c r="Z230" s="12">
        <f>IF(V230="","",IF(Y230="","CEK ID FIXTURE tidak ada di DAFTAR_FIXTURE",IF(W230="","CEK ZONA NO kosong",IF(ISNA(MATCH(Y230&amp;"|"&amp;W230,LAYOUT!$E$2:$E$80,0)),"CEK ZONA NO di luar layout",IF(X230&lt;&gt;INDEX(LAYOUT!$D$2:$D$80,MATCH(Y230&amp;"|"&amp;W230,LAYOUT!$E$2:$E$80,0)),"CEK JENIS ZONA",IF($D230="","Zona STOCK",IF($E230="","CEK SKU DESCRIPTION kosong","OK")))))))</f>
        <v/>
      </c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1" t="n"/>
      <c r="M231" s="11" t="n"/>
      <c r="N231" s="11" t="n"/>
      <c r="O231" s="12">
        <f>IF(L231="","",IFERROR(INDEX(DAFTAR_FIXTURE!$B$2:$B$51,MATCH(L231,DAFTAR_FIXTURE!$A$2:$A$51,0)),""))</f>
        <v/>
      </c>
      <c r="P231" s="12">
        <f>IF(AND($D231="",L231=""),"",IF(L231="",IF(AND(Q231="",V231=""),"Belum ditempatkan",""),IF(O231="","CEK ID FIXTURE tidak ada di DAFTAR_FIXTURE",IF(M231="","CEK ZONA NO kosong",IF(ISNA(MATCH(O231&amp;"|"&amp;M231,LAYOUT!$E$2:$E$80,0)),"CEK ZONA NO di luar layout",IF(N231&lt;&gt;INDEX(LAYOUT!$D$2:$D$80,MATCH(O231&amp;"|"&amp;M231,LAYOUT!$E$2:$E$80,0)),"CEK JENIS ZONA",IF($D231="","Zona STOCK",IF($E231="","CEK SKU DESCRIPTION kosong","OK"))))))))</f>
        <v/>
      </c>
      <c r="Q231" s="11" t="n"/>
      <c r="R231" s="11" t="n"/>
      <c r="S231" s="11" t="n"/>
      <c r="T231" s="12">
        <f>IF(Q231="","",IFERROR(INDEX(DAFTAR_FIXTURE!$B$2:$B$51,MATCH(Q231,DAFTAR_FIXTURE!$A$2:$A$51,0)),""))</f>
        <v/>
      </c>
      <c r="U231" s="12">
        <f>IF(Q231="","",IF(T231="","CEK ID FIXTURE tidak ada di DAFTAR_FIXTURE",IF(R231="","CEK ZONA NO kosong",IF(ISNA(MATCH(T231&amp;"|"&amp;R231,LAYOUT!$E$2:$E$80,0)),"CEK ZONA NO di luar layout",IF(S231&lt;&gt;INDEX(LAYOUT!$D$2:$D$80,MATCH(T231&amp;"|"&amp;R231,LAYOUT!$E$2:$E$80,0)),"CEK JENIS ZONA",IF($D231="","Zona STOCK",IF($E231="","CEK SKU DESCRIPTION kosong","OK")))))))</f>
        <v/>
      </c>
      <c r="V231" s="11" t="n"/>
      <c r="W231" s="11" t="n"/>
      <c r="X231" s="11" t="n"/>
      <c r="Y231" s="12">
        <f>IF(V231="","",IFERROR(INDEX(DAFTAR_FIXTURE!$B$2:$B$51,MATCH(V231,DAFTAR_FIXTURE!$A$2:$A$51,0)),""))</f>
        <v/>
      </c>
      <c r="Z231" s="12">
        <f>IF(V231="","",IF(Y231="","CEK ID FIXTURE tidak ada di DAFTAR_FIXTURE",IF(W231="","CEK ZONA NO kosong",IF(ISNA(MATCH(Y231&amp;"|"&amp;W231,LAYOUT!$E$2:$E$80,0)),"CEK ZONA NO di luar layout",IF(X231&lt;&gt;INDEX(LAYOUT!$D$2:$D$80,MATCH(Y231&amp;"|"&amp;W231,LAYOUT!$E$2:$E$80,0)),"CEK JENIS ZONA",IF($D231="","Zona STOCK",IF($E231="","CEK SKU DESCRIPTION kosong","OK")))))))</f>
        <v/>
      </c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1" t="n"/>
      <c r="M232" s="11" t="n"/>
      <c r="N232" s="11" t="n"/>
      <c r="O232" s="12">
        <f>IF(L232="","",IFERROR(INDEX(DAFTAR_FIXTURE!$B$2:$B$51,MATCH(L232,DAFTAR_FIXTURE!$A$2:$A$51,0)),""))</f>
        <v/>
      </c>
      <c r="P232" s="12">
        <f>IF(AND($D232="",L232=""),"",IF(L232="",IF(AND(Q232="",V232=""),"Belum ditempatkan",""),IF(O232="","CEK ID FIXTURE tidak ada di DAFTAR_FIXTURE",IF(M232="","CEK ZONA NO kosong",IF(ISNA(MATCH(O232&amp;"|"&amp;M232,LAYOUT!$E$2:$E$80,0)),"CEK ZONA NO di luar layout",IF(N232&lt;&gt;INDEX(LAYOUT!$D$2:$D$80,MATCH(O232&amp;"|"&amp;M232,LAYOUT!$E$2:$E$80,0)),"CEK JENIS ZONA",IF($D232="","Zona STOCK",IF($E232="","CEK SKU DESCRIPTION kosong","OK"))))))))</f>
        <v/>
      </c>
      <c r="Q232" s="11" t="n"/>
      <c r="R232" s="11" t="n"/>
      <c r="S232" s="11" t="n"/>
      <c r="T232" s="12">
        <f>IF(Q232="","",IFERROR(INDEX(DAFTAR_FIXTURE!$B$2:$B$51,MATCH(Q232,DAFTAR_FIXTURE!$A$2:$A$51,0)),""))</f>
        <v/>
      </c>
      <c r="U232" s="12">
        <f>IF(Q232="","",IF(T232="","CEK ID FIXTURE tidak ada di DAFTAR_FIXTURE",IF(R232="","CEK ZONA NO kosong",IF(ISNA(MATCH(T232&amp;"|"&amp;R232,LAYOUT!$E$2:$E$80,0)),"CEK ZONA NO di luar layout",IF(S232&lt;&gt;INDEX(LAYOUT!$D$2:$D$80,MATCH(T232&amp;"|"&amp;R232,LAYOUT!$E$2:$E$80,0)),"CEK JENIS ZONA",IF($D232="","Zona STOCK",IF($E232="","CEK SKU DESCRIPTION kosong","OK")))))))</f>
        <v/>
      </c>
      <c r="V232" s="11" t="n"/>
      <c r="W232" s="11" t="n"/>
      <c r="X232" s="11" t="n"/>
      <c r="Y232" s="12">
        <f>IF(V232="","",IFERROR(INDEX(DAFTAR_FIXTURE!$B$2:$B$51,MATCH(V232,DAFTAR_FIXTURE!$A$2:$A$51,0)),""))</f>
        <v/>
      </c>
      <c r="Z232" s="12">
        <f>IF(V232="","",IF(Y232="","CEK ID FIXTURE tidak ada di DAFTAR_FIXTURE",IF(W232="","CEK ZONA NO kosong",IF(ISNA(MATCH(Y232&amp;"|"&amp;W232,LAYOUT!$E$2:$E$80,0)),"CEK ZONA NO di luar layout",IF(X232&lt;&gt;INDEX(LAYOUT!$D$2:$D$80,MATCH(Y232&amp;"|"&amp;W232,LAYOUT!$E$2:$E$80,0)),"CEK JENIS ZONA",IF($D232="","Zona STOCK",IF($E232="","CEK SKU DESCRIPTION kosong","OK")))))))</f>
        <v/>
      </c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1" t="n"/>
      <c r="M233" s="11" t="n"/>
      <c r="N233" s="11" t="n"/>
      <c r="O233" s="12">
        <f>IF(L233="","",IFERROR(INDEX(DAFTAR_FIXTURE!$B$2:$B$51,MATCH(L233,DAFTAR_FIXTURE!$A$2:$A$51,0)),""))</f>
        <v/>
      </c>
      <c r="P233" s="12">
        <f>IF(AND($D233="",L233=""),"",IF(L233="",IF(AND(Q233="",V233=""),"Belum ditempatkan",""),IF(O233="","CEK ID FIXTURE tidak ada di DAFTAR_FIXTURE",IF(M233="","CEK ZONA NO kosong",IF(ISNA(MATCH(O233&amp;"|"&amp;M233,LAYOUT!$E$2:$E$80,0)),"CEK ZONA NO di luar layout",IF(N233&lt;&gt;INDEX(LAYOUT!$D$2:$D$80,MATCH(O233&amp;"|"&amp;M233,LAYOUT!$E$2:$E$80,0)),"CEK JENIS ZONA",IF($D233="","Zona STOCK",IF($E233="","CEK SKU DESCRIPTION kosong","OK"))))))))</f>
        <v/>
      </c>
      <c r="Q233" s="11" t="n"/>
      <c r="R233" s="11" t="n"/>
      <c r="S233" s="11" t="n"/>
      <c r="T233" s="12">
        <f>IF(Q233="","",IFERROR(INDEX(DAFTAR_FIXTURE!$B$2:$B$51,MATCH(Q233,DAFTAR_FIXTURE!$A$2:$A$51,0)),""))</f>
        <v/>
      </c>
      <c r="U233" s="12">
        <f>IF(Q233="","",IF(T233="","CEK ID FIXTURE tidak ada di DAFTAR_FIXTURE",IF(R233="","CEK ZONA NO kosong",IF(ISNA(MATCH(T233&amp;"|"&amp;R233,LAYOUT!$E$2:$E$80,0)),"CEK ZONA NO di luar layout",IF(S233&lt;&gt;INDEX(LAYOUT!$D$2:$D$80,MATCH(T233&amp;"|"&amp;R233,LAYOUT!$E$2:$E$80,0)),"CEK JENIS ZONA",IF($D233="","Zona STOCK",IF($E233="","CEK SKU DESCRIPTION kosong","OK")))))))</f>
        <v/>
      </c>
      <c r="V233" s="11" t="n"/>
      <c r="W233" s="11" t="n"/>
      <c r="X233" s="11" t="n"/>
      <c r="Y233" s="12">
        <f>IF(V233="","",IFERROR(INDEX(DAFTAR_FIXTURE!$B$2:$B$51,MATCH(V233,DAFTAR_FIXTURE!$A$2:$A$51,0)),""))</f>
        <v/>
      </c>
      <c r="Z233" s="12">
        <f>IF(V233="","",IF(Y233="","CEK ID FIXTURE tidak ada di DAFTAR_FIXTURE",IF(W233="","CEK ZONA NO kosong",IF(ISNA(MATCH(Y233&amp;"|"&amp;W233,LAYOUT!$E$2:$E$80,0)),"CEK ZONA NO di luar layout",IF(X233&lt;&gt;INDEX(LAYOUT!$D$2:$D$80,MATCH(Y233&amp;"|"&amp;W233,LAYOUT!$E$2:$E$80,0)),"CEK JENIS ZONA",IF($D233="","Zona STOCK",IF($E233="","CEK SKU DESCRIPTION kosong","OK")))))))</f>
        <v/>
      </c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1" t="n"/>
      <c r="M234" s="11" t="n"/>
      <c r="N234" s="11" t="n"/>
      <c r="O234" s="12">
        <f>IF(L234="","",IFERROR(INDEX(DAFTAR_FIXTURE!$B$2:$B$51,MATCH(L234,DAFTAR_FIXTURE!$A$2:$A$51,0)),""))</f>
        <v/>
      </c>
      <c r="P234" s="12">
        <f>IF(AND($D234="",L234=""),"",IF(L234="",IF(AND(Q234="",V234=""),"Belum ditempatkan",""),IF(O234="","CEK ID FIXTURE tidak ada di DAFTAR_FIXTURE",IF(M234="","CEK ZONA NO kosong",IF(ISNA(MATCH(O234&amp;"|"&amp;M234,LAYOUT!$E$2:$E$80,0)),"CEK ZONA NO di luar layout",IF(N234&lt;&gt;INDEX(LAYOUT!$D$2:$D$80,MATCH(O234&amp;"|"&amp;M234,LAYOUT!$E$2:$E$80,0)),"CEK JENIS ZONA",IF($D234="","Zona STOCK",IF($E234="","CEK SKU DESCRIPTION kosong","OK"))))))))</f>
        <v/>
      </c>
      <c r="Q234" s="11" t="n"/>
      <c r="R234" s="11" t="n"/>
      <c r="S234" s="11" t="n"/>
      <c r="T234" s="12">
        <f>IF(Q234="","",IFERROR(INDEX(DAFTAR_FIXTURE!$B$2:$B$51,MATCH(Q234,DAFTAR_FIXTURE!$A$2:$A$51,0)),""))</f>
        <v/>
      </c>
      <c r="U234" s="12">
        <f>IF(Q234="","",IF(T234="","CEK ID FIXTURE tidak ada di DAFTAR_FIXTURE",IF(R234="","CEK ZONA NO kosong",IF(ISNA(MATCH(T234&amp;"|"&amp;R234,LAYOUT!$E$2:$E$80,0)),"CEK ZONA NO di luar layout",IF(S234&lt;&gt;INDEX(LAYOUT!$D$2:$D$80,MATCH(T234&amp;"|"&amp;R234,LAYOUT!$E$2:$E$80,0)),"CEK JENIS ZONA",IF($D234="","Zona STOCK",IF($E234="","CEK SKU DESCRIPTION kosong","OK")))))))</f>
        <v/>
      </c>
      <c r="V234" s="11" t="n"/>
      <c r="W234" s="11" t="n"/>
      <c r="X234" s="11" t="n"/>
      <c r="Y234" s="12">
        <f>IF(V234="","",IFERROR(INDEX(DAFTAR_FIXTURE!$B$2:$B$51,MATCH(V234,DAFTAR_FIXTURE!$A$2:$A$51,0)),""))</f>
        <v/>
      </c>
      <c r="Z234" s="12">
        <f>IF(V234="","",IF(Y234="","CEK ID FIXTURE tidak ada di DAFTAR_FIXTURE",IF(W234="","CEK ZONA NO kosong",IF(ISNA(MATCH(Y234&amp;"|"&amp;W234,LAYOUT!$E$2:$E$80,0)),"CEK ZONA NO di luar layout",IF(X234&lt;&gt;INDEX(LAYOUT!$D$2:$D$80,MATCH(Y234&amp;"|"&amp;W234,LAYOUT!$E$2:$E$80,0)),"CEK JENIS ZONA",IF($D234="","Zona STOCK",IF($E234="","CEK SKU DESCRIPTION kosong","OK")))))))</f>
        <v/>
      </c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1" t="n"/>
      <c r="M235" s="11" t="n"/>
      <c r="N235" s="11" t="n"/>
      <c r="O235" s="12">
        <f>IF(L235="","",IFERROR(INDEX(DAFTAR_FIXTURE!$B$2:$B$51,MATCH(L235,DAFTAR_FIXTURE!$A$2:$A$51,0)),""))</f>
        <v/>
      </c>
      <c r="P235" s="12">
        <f>IF(AND($D235="",L235=""),"",IF(L235="",IF(AND(Q235="",V235=""),"Belum ditempatkan",""),IF(O235="","CEK ID FIXTURE tidak ada di DAFTAR_FIXTURE",IF(M235="","CEK ZONA NO kosong",IF(ISNA(MATCH(O235&amp;"|"&amp;M235,LAYOUT!$E$2:$E$80,0)),"CEK ZONA NO di luar layout",IF(N235&lt;&gt;INDEX(LAYOUT!$D$2:$D$80,MATCH(O235&amp;"|"&amp;M235,LAYOUT!$E$2:$E$80,0)),"CEK JENIS ZONA",IF($D235="","Zona STOCK",IF($E235="","CEK SKU DESCRIPTION kosong","OK"))))))))</f>
        <v/>
      </c>
      <c r="Q235" s="11" t="n"/>
      <c r="R235" s="11" t="n"/>
      <c r="S235" s="11" t="n"/>
      <c r="T235" s="12">
        <f>IF(Q235="","",IFERROR(INDEX(DAFTAR_FIXTURE!$B$2:$B$51,MATCH(Q235,DAFTAR_FIXTURE!$A$2:$A$51,0)),""))</f>
        <v/>
      </c>
      <c r="U235" s="12">
        <f>IF(Q235="","",IF(T235="","CEK ID FIXTURE tidak ada di DAFTAR_FIXTURE",IF(R235="","CEK ZONA NO kosong",IF(ISNA(MATCH(T235&amp;"|"&amp;R235,LAYOUT!$E$2:$E$80,0)),"CEK ZONA NO di luar layout",IF(S235&lt;&gt;INDEX(LAYOUT!$D$2:$D$80,MATCH(T235&amp;"|"&amp;R235,LAYOUT!$E$2:$E$80,0)),"CEK JENIS ZONA",IF($D235="","Zona STOCK",IF($E235="","CEK SKU DESCRIPTION kosong","OK")))))))</f>
        <v/>
      </c>
      <c r="V235" s="11" t="n"/>
      <c r="W235" s="11" t="n"/>
      <c r="X235" s="11" t="n"/>
      <c r="Y235" s="12">
        <f>IF(V235="","",IFERROR(INDEX(DAFTAR_FIXTURE!$B$2:$B$51,MATCH(V235,DAFTAR_FIXTURE!$A$2:$A$51,0)),""))</f>
        <v/>
      </c>
      <c r="Z235" s="12">
        <f>IF(V235="","",IF(Y235="","CEK ID FIXTURE tidak ada di DAFTAR_FIXTURE",IF(W235="","CEK ZONA NO kosong",IF(ISNA(MATCH(Y235&amp;"|"&amp;W235,LAYOUT!$E$2:$E$80,0)),"CEK ZONA NO di luar layout",IF(X235&lt;&gt;INDEX(LAYOUT!$D$2:$D$80,MATCH(Y235&amp;"|"&amp;W235,LAYOUT!$E$2:$E$80,0)),"CEK JENIS ZONA",IF($D235="","Zona STOCK",IF($E235="","CEK SKU DESCRIPTION kosong","OK")))))))</f>
        <v/>
      </c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1" t="n"/>
      <c r="M236" s="11" t="n"/>
      <c r="N236" s="11" t="n"/>
      <c r="O236" s="12">
        <f>IF(L236="","",IFERROR(INDEX(DAFTAR_FIXTURE!$B$2:$B$51,MATCH(L236,DAFTAR_FIXTURE!$A$2:$A$51,0)),""))</f>
        <v/>
      </c>
      <c r="P236" s="12">
        <f>IF(AND($D236="",L236=""),"",IF(L236="",IF(AND(Q236="",V236=""),"Belum ditempatkan",""),IF(O236="","CEK ID FIXTURE tidak ada di DAFTAR_FIXTURE",IF(M236="","CEK ZONA NO kosong",IF(ISNA(MATCH(O236&amp;"|"&amp;M236,LAYOUT!$E$2:$E$80,0)),"CEK ZONA NO di luar layout",IF(N236&lt;&gt;INDEX(LAYOUT!$D$2:$D$80,MATCH(O236&amp;"|"&amp;M236,LAYOUT!$E$2:$E$80,0)),"CEK JENIS ZONA",IF($D236="","Zona STOCK",IF($E236="","CEK SKU DESCRIPTION kosong","OK"))))))))</f>
        <v/>
      </c>
      <c r="Q236" s="11" t="n"/>
      <c r="R236" s="11" t="n"/>
      <c r="S236" s="11" t="n"/>
      <c r="T236" s="12">
        <f>IF(Q236="","",IFERROR(INDEX(DAFTAR_FIXTURE!$B$2:$B$51,MATCH(Q236,DAFTAR_FIXTURE!$A$2:$A$51,0)),""))</f>
        <v/>
      </c>
      <c r="U236" s="12">
        <f>IF(Q236="","",IF(T236="","CEK ID FIXTURE tidak ada di DAFTAR_FIXTURE",IF(R236="","CEK ZONA NO kosong",IF(ISNA(MATCH(T236&amp;"|"&amp;R236,LAYOUT!$E$2:$E$80,0)),"CEK ZONA NO di luar layout",IF(S236&lt;&gt;INDEX(LAYOUT!$D$2:$D$80,MATCH(T236&amp;"|"&amp;R236,LAYOUT!$E$2:$E$80,0)),"CEK JENIS ZONA",IF($D236="","Zona STOCK",IF($E236="","CEK SKU DESCRIPTION kosong","OK")))))))</f>
        <v/>
      </c>
      <c r="V236" s="11" t="n"/>
      <c r="W236" s="11" t="n"/>
      <c r="X236" s="11" t="n"/>
      <c r="Y236" s="12">
        <f>IF(V236="","",IFERROR(INDEX(DAFTAR_FIXTURE!$B$2:$B$51,MATCH(V236,DAFTAR_FIXTURE!$A$2:$A$51,0)),""))</f>
        <v/>
      </c>
      <c r="Z236" s="12">
        <f>IF(V236="","",IF(Y236="","CEK ID FIXTURE tidak ada di DAFTAR_FIXTURE",IF(W236="","CEK ZONA NO kosong",IF(ISNA(MATCH(Y236&amp;"|"&amp;W236,LAYOUT!$E$2:$E$80,0)),"CEK ZONA NO di luar layout",IF(X236&lt;&gt;INDEX(LAYOUT!$D$2:$D$80,MATCH(Y236&amp;"|"&amp;W236,LAYOUT!$E$2:$E$80,0)),"CEK JENIS ZONA",IF($D236="","Zona STOCK",IF($E236="","CEK SKU DESCRIPTION kosong","OK")))))))</f>
        <v/>
      </c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1" t="n"/>
      <c r="M237" s="11" t="n"/>
      <c r="N237" s="11" t="n"/>
      <c r="O237" s="12">
        <f>IF(L237="","",IFERROR(INDEX(DAFTAR_FIXTURE!$B$2:$B$51,MATCH(L237,DAFTAR_FIXTURE!$A$2:$A$51,0)),""))</f>
        <v/>
      </c>
      <c r="P237" s="12">
        <f>IF(AND($D237="",L237=""),"",IF(L237="",IF(AND(Q237="",V237=""),"Belum ditempatkan",""),IF(O237="","CEK ID FIXTURE tidak ada di DAFTAR_FIXTURE",IF(M237="","CEK ZONA NO kosong",IF(ISNA(MATCH(O237&amp;"|"&amp;M237,LAYOUT!$E$2:$E$80,0)),"CEK ZONA NO di luar layout",IF(N237&lt;&gt;INDEX(LAYOUT!$D$2:$D$80,MATCH(O237&amp;"|"&amp;M237,LAYOUT!$E$2:$E$80,0)),"CEK JENIS ZONA",IF($D237="","Zona STOCK",IF($E237="","CEK SKU DESCRIPTION kosong","OK"))))))))</f>
        <v/>
      </c>
      <c r="Q237" s="11" t="n"/>
      <c r="R237" s="11" t="n"/>
      <c r="S237" s="11" t="n"/>
      <c r="T237" s="12">
        <f>IF(Q237="","",IFERROR(INDEX(DAFTAR_FIXTURE!$B$2:$B$51,MATCH(Q237,DAFTAR_FIXTURE!$A$2:$A$51,0)),""))</f>
        <v/>
      </c>
      <c r="U237" s="12">
        <f>IF(Q237="","",IF(T237="","CEK ID FIXTURE tidak ada di DAFTAR_FIXTURE",IF(R237="","CEK ZONA NO kosong",IF(ISNA(MATCH(T237&amp;"|"&amp;R237,LAYOUT!$E$2:$E$80,0)),"CEK ZONA NO di luar layout",IF(S237&lt;&gt;INDEX(LAYOUT!$D$2:$D$80,MATCH(T237&amp;"|"&amp;R237,LAYOUT!$E$2:$E$80,0)),"CEK JENIS ZONA",IF($D237="","Zona STOCK",IF($E237="","CEK SKU DESCRIPTION kosong","OK")))))))</f>
        <v/>
      </c>
      <c r="V237" s="11" t="n"/>
      <c r="W237" s="11" t="n"/>
      <c r="X237" s="11" t="n"/>
      <c r="Y237" s="12">
        <f>IF(V237="","",IFERROR(INDEX(DAFTAR_FIXTURE!$B$2:$B$51,MATCH(V237,DAFTAR_FIXTURE!$A$2:$A$51,0)),""))</f>
        <v/>
      </c>
      <c r="Z237" s="12">
        <f>IF(V237="","",IF(Y237="","CEK ID FIXTURE tidak ada di DAFTAR_FIXTURE",IF(W237="","CEK ZONA NO kosong",IF(ISNA(MATCH(Y237&amp;"|"&amp;W237,LAYOUT!$E$2:$E$80,0)),"CEK ZONA NO di luar layout",IF(X237&lt;&gt;INDEX(LAYOUT!$D$2:$D$80,MATCH(Y237&amp;"|"&amp;W237,LAYOUT!$E$2:$E$80,0)),"CEK JENIS ZONA",IF($D237="","Zona STOCK",IF($E237="","CEK SKU DESCRIPTION kosong","OK")))))))</f>
        <v/>
      </c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1" t="n"/>
      <c r="M238" s="11" t="n"/>
      <c r="N238" s="11" t="n"/>
      <c r="O238" s="12">
        <f>IF(L238="","",IFERROR(INDEX(DAFTAR_FIXTURE!$B$2:$B$51,MATCH(L238,DAFTAR_FIXTURE!$A$2:$A$51,0)),""))</f>
        <v/>
      </c>
      <c r="P238" s="12">
        <f>IF(AND($D238="",L238=""),"",IF(L238="",IF(AND(Q238="",V238=""),"Belum ditempatkan",""),IF(O238="","CEK ID FIXTURE tidak ada di DAFTAR_FIXTURE",IF(M238="","CEK ZONA NO kosong",IF(ISNA(MATCH(O238&amp;"|"&amp;M238,LAYOUT!$E$2:$E$80,0)),"CEK ZONA NO di luar layout",IF(N238&lt;&gt;INDEX(LAYOUT!$D$2:$D$80,MATCH(O238&amp;"|"&amp;M238,LAYOUT!$E$2:$E$80,0)),"CEK JENIS ZONA",IF($D238="","Zona STOCK",IF($E238="","CEK SKU DESCRIPTION kosong","OK"))))))))</f>
        <v/>
      </c>
      <c r="Q238" s="11" t="n"/>
      <c r="R238" s="11" t="n"/>
      <c r="S238" s="11" t="n"/>
      <c r="T238" s="12">
        <f>IF(Q238="","",IFERROR(INDEX(DAFTAR_FIXTURE!$B$2:$B$51,MATCH(Q238,DAFTAR_FIXTURE!$A$2:$A$51,0)),""))</f>
        <v/>
      </c>
      <c r="U238" s="12">
        <f>IF(Q238="","",IF(T238="","CEK ID FIXTURE tidak ada di DAFTAR_FIXTURE",IF(R238="","CEK ZONA NO kosong",IF(ISNA(MATCH(T238&amp;"|"&amp;R238,LAYOUT!$E$2:$E$80,0)),"CEK ZONA NO di luar layout",IF(S238&lt;&gt;INDEX(LAYOUT!$D$2:$D$80,MATCH(T238&amp;"|"&amp;R238,LAYOUT!$E$2:$E$80,0)),"CEK JENIS ZONA",IF($D238="","Zona STOCK",IF($E238="","CEK SKU DESCRIPTION kosong","OK")))))))</f>
        <v/>
      </c>
      <c r="V238" s="11" t="n"/>
      <c r="W238" s="11" t="n"/>
      <c r="X238" s="11" t="n"/>
      <c r="Y238" s="12">
        <f>IF(V238="","",IFERROR(INDEX(DAFTAR_FIXTURE!$B$2:$B$51,MATCH(V238,DAFTAR_FIXTURE!$A$2:$A$51,0)),""))</f>
        <v/>
      </c>
      <c r="Z238" s="12">
        <f>IF(V238="","",IF(Y238="","CEK ID FIXTURE tidak ada di DAFTAR_FIXTURE",IF(W238="","CEK ZONA NO kosong",IF(ISNA(MATCH(Y238&amp;"|"&amp;W238,LAYOUT!$E$2:$E$80,0)),"CEK ZONA NO di luar layout",IF(X238&lt;&gt;INDEX(LAYOUT!$D$2:$D$80,MATCH(Y238&amp;"|"&amp;W238,LAYOUT!$E$2:$E$80,0)),"CEK JENIS ZONA",IF($D238="","Zona STOCK",IF($E238="","CEK SKU DESCRIPTION kosong","OK")))))))</f>
        <v/>
      </c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1" t="n"/>
      <c r="M239" s="11" t="n"/>
      <c r="N239" s="11" t="n"/>
      <c r="O239" s="12">
        <f>IF(L239="","",IFERROR(INDEX(DAFTAR_FIXTURE!$B$2:$B$51,MATCH(L239,DAFTAR_FIXTURE!$A$2:$A$51,0)),""))</f>
        <v/>
      </c>
      <c r="P239" s="12">
        <f>IF(AND($D239="",L239=""),"",IF(L239="",IF(AND(Q239="",V239=""),"Belum ditempatkan",""),IF(O239="","CEK ID FIXTURE tidak ada di DAFTAR_FIXTURE",IF(M239="","CEK ZONA NO kosong",IF(ISNA(MATCH(O239&amp;"|"&amp;M239,LAYOUT!$E$2:$E$80,0)),"CEK ZONA NO di luar layout",IF(N239&lt;&gt;INDEX(LAYOUT!$D$2:$D$80,MATCH(O239&amp;"|"&amp;M239,LAYOUT!$E$2:$E$80,0)),"CEK JENIS ZONA",IF($D239="","Zona STOCK",IF($E239="","CEK SKU DESCRIPTION kosong","OK"))))))))</f>
        <v/>
      </c>
      <c r="Q239" s="11" t="n"/>
      <c r="R239" s="11" t="n"/>
      <c r="S239" s="11" t="n"/>
      <c r="T239" s="12">
        <f>IF(Q239="","",IFERROR(INDEX(DAFTAR_FIXTURE!$B$2:$B$51,MATCH(Q239,DAFTAR_FIXTURE!$A$2:$A$51,0)),""))</f>
        <v/>
      </c>
      <c r="U239" s="12">
        <f>IF(Q239="","",IF(T239="","CEK ID FIXTURE tidak ada di DAFTAR_FIXTURE",IF(R239="","CEK ZONA NO kosong",IF(ISNA(MATCH(T239&amp;"|"&amp;R239,LAYOUT!$E$2:$E$80,0)),"CEK ZONA NO di luar layout",IF(S239&lt;&gt;INDEX(LAYOUT!$D$2:$D$80,MATCH(T239&amp;"|"&amp;R239,LAYOUT!$E$2:$E$80,0)),"CEK JENIS ZONA",IF($D239="","Zona STOCK",IF($E239="","CEK SKU DESCRIPTION kosong","OK")))))))</f>
        <v/>
      </c>
      <c r="V239" s="11" t="n"/>
      <c r="W239" s="11" t="n"/>
      <c r="X239" s="11" t="n"/>
      <c r="Y239" s="12">
        <f>IF(V239="","",IFERROR(INDEX(DAFTAR_FIXTURE!$B$2:$B$51,MATCH(V239,DAFTAR_FIXTURE!$A$2:$A$51,0)),""))</f>
        <v/>
      </c>
      <c r="Z239" s="12">
        <f>IF(V239="","",IF(Y239="","CEK ID FIXTURE tidak ada di DAFTAR_FIXTURE",IF(W239="","CEK ZONA NO kosong",IF(ISNA(MATCH(Y239&amp;"|"&amp;W239,LAYOUT!$E$2:$E$80,0)),"CEK ZONA NO di luar layout",IF(X239&lt;&gt;INDEX(LAYOUT!$D$2:$D$80,MATCH(Y239&amp;"|"&amp;W239,LAYOUT!$E$2:$E$80,0)),"CEK JENIS ZONA",IF($D239="","Zona STOCK",IF($E239="","CEK SKU DESCRIPTION kosong","OK")))))))</f>
        <v/>
      </c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1" t="n"/>
      <c r="M240" s="11" t="n"/>
      <c r="N240" s="11" t="n"/>
      <c r="O240" s="12">
        <f>IF(L240="","",IFERROR(INDEX(DAFTAR_FIXTURE!$B$2:$B$51,MATCH(L240,DAFTAR_FIXTURE!$A$2:$A$51,0)),""))</f>
        <v/>
      </c>
      <c r="P240" s="12">
        <f>IF(AND($D240="",L240=""),"",IF(L240="",IF(AND(Q240="",V240=""),"Belum ditempatkan",""),IF(O240="","CEK ID FIXTURE tidak ada di DAFTAR_FIXTURE",IF(M240="","CEK ZONA NO kosong",IF(ISNA(MATCH(O240&amp;"|"&amp;M240,LAYOUT!$E$2:$E$80,0)),"CEK ZONA NO di luar layout",IF(N240&lt;&gt;INDEX(LAYOUT!$D$2:$D$80,MATCH(O240&amp;"|"&amp;M240,LAYOUT!$E$2:$E$80,0)),"CEK JENIS ZONA",IF($D240="","Zona STOCK",IF($E240="","CEK SKU DESCRIPTION kosong","OK"))))))))</f>
        <v/>
      </c>
      <c r="Q240" s="11" t="n"/>
      <c r="R240" s="11" t="n"/>
      <c r="S240" s="11" t="n"/>
      <c r="T240" s="12">
        <f>IF(Q240="","",IFERROR(INDEX(DAFTAR_FIXTURE!$B$2:$B$51,MATCH(Q240,DAFTAR_FIXTURE!$A$2:$A$51,0)),""))</f>
        <v/>
      </c>
      <c r="U240" s="12">
        <f>IF(Q240="","",IF(T240="","CEK ID FIXTURE tidak ada di DAFTAR_FIXTURE",IF(R240="","CEK ZONA NO kosong",IF(ISNA(MATCH(T240&amp;"|"&amp;R240,LAYOUT!$E$2:$E$80,0)),"CEK ZONA NO di luar layout",IF(S240&lt;&gt;INDEX(LAYOUT!$D$2:$D$80,MATCH(T240&amp;"|"&amp;R240,LAYOUT!$E$2:$E$80,0)),"CEK JENIS ZONA",IF($D240="","Zona STOCK",IF($E240="","CEK SKU DESCRIPTION kosong","OK")))))))</f>
        <v/>
      </c>
      <c r="V240" s="11" t="n"/>
      <c r="W240" s="11" t="n"/>
      <c r="X240" s="11" t="n"/>
      <c r="Y240" s="12">
        <f>IF(V240="","",IFERROR(INDEX(DAFTAR_FIXTURE!$B$2:$B$51,MATCH(V240,DAFTAR_FIXTURE!$A$2:$A$51,0)),""))</f>
        <v/>
      </c>
      <c r="Z240" s="12">
        <f>IF(V240="","",IF(Y240="","CEK ID FIXTURE tidak ada di DAFTAR_FIXTURE",IF(W240="","CEK ZONA NO kosong",IF(ISNA(MATCH(Y240&amp;"|"&amp;W240,LAYOUT!$E$2:$E$80,0)),"CEK ZONA NO di luar layout",IF(X240&lt;&gt;INDEX(LAYOUT!$D$2:$D$80,MATCH(Y240&amp;"|"&amp;W240,LAYOUT!$E$2:$E$80,0)),"CEK JENIS ZONA",IF($D240="","Zona STOCK",IF($E240="","CEK SKU DESCRIPTION kosong","OK")))))))</f>
        <v/>
      </c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1" t="n"/>
      <c r="M241" s="11" t="n"/>
      <c r="N241" s="11" t="n"/>
      <c r="O241" s="12">
        <f>IF(L241="","",IFERROR(INDEX(DAFTAR_FIXTURE!$B$2:$B$51,MATCH(L241,DAFTAR_FIXTURE!$A$2:$A$51,0)),""))</f>
        <v/>
      </c>
      <c r="P241" s="12">
        <f>IF(AND($D241="",L241=""),"",IF(L241="",IF(AND(Q241="",V241=""),"Belum ditempatkan",""),IF(O241="","CEK ID FIXTURE tidak ada di DAFTAR_FIXTURE",IF(M241="","CEK ZONA NO kosong",IF(ISNA(MATCH(O241&amp;"|"&amp;M241,LAYOUT!$E$2:$E$80,0)),"CEK ZONA NO di luar layout",IF(N241&lt;&gt;INDEX(LAYOUT!$D$2:$D$80,MATCH(O241&amp;"|"&amp;M241,LAYOUT!$E$2:$E$80,0)),"CEK JENIS ZONA",IF($D241="","Zona STOCK",IF($E241="","CEK SKU DESCRIPTION kosong","OK"))))))))</f>
        <v/>
      </c>
      <c r="Q241" s="11" t="n"/>
      <c r="R241" s="11" t="n"/>
      <c r="S241" s="11" t="n"/>
      <c r="T241" s="12">
        <f>IF(Q241="","",IFERROR(INDEX(DAFTAR_FIXTURE!$B$2:$B$51,MATCH(Q241,DAFTAR_FIXTURE!$A$2:$A$51,0)),""))</f>
        <v/>
      </c>
      <c r="U241" s="12">
        <f>IF(Q241="","",IF(T241="","CEK ID FIXTURE tidak ada di DAFTAR_FIXTURE",IF(R241="","CEK ZONA NO kosong",IF(ISNA(MATCH(T241&amp;"|"&amp;R241,LAYOUT!$E$2:$E$80,0)),"CEK ZONA NO di luar layout",IF(S241&lt;&gt;INDEX(LAYOUT!$D$2:$D$80,MATCH(T241&amp;"|"&amp;R241,LAYOUT!$E$2:$E$80,0)),"CEK JENIS ZONA",IF($D241="","Zona STOCK",IF($E241="","CEK SKU DESCRIPTION kosong","OK")))))))</f>
        <v/>
      </c>
      <c r="V241" s="11" t="n"/>
      <c r="W241" s="11" t="n"/>
      <c r="X241" s="11" t="n"/>
      <c r="Y241" s="12">
        <f>IF(V241="","",IFERROR(INDEX(DAFTAR_FIXTURE!$B$2:$B$51,MATCH(V241,DAFTAR_FIXTURE!$A$2:$A$51,0)),""))</f>
        <v/>
      </c>
      <c r="Z241" s="12">
        <f>IF(V241="","",IF(Y241="","CEK ID FIXTURE tidak ada di DAFTAR_FIXTURE",IF(W241="","CEK ZONA NO kosong",IF(ISNA(MATCH(Y241&amp;"|"&amp;W241,LAYOUT!$E$2:$E$80,0)),"CEK ZONA NO di luar layout",IF(X241&lt;&gt;INDEX(LAYOUT!$D$2:$D$80,MATCH(Y241&amp;"|"&amp;W241,LAYOUT!$E$2:$E$80,0)),"CEK JENIS ZONA",IF($D241="","Zona STOCK",IF($E241="","CEK SKU DESCRIPTION kosong","OK")))))))</f>
        <v/>
      </c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1" t="n"/>
      <c r="M242" s="11" t="n"/>
      <c r="N242" s="11" t="n"/>
      <c r="O242" s="12">
        <f>IF(L242="","",IFERROR(INDEX(DAFTAR_FIXTURE!$B$2:$B$51,MATCH(L242,DAFTAR_FIXTURE!$A$2:$A$51,0)),""))</f>
        <v/>
      </c>
      <c r="P242" s="12">
        <f>IF(AND($D242="",L242=""),"",IF(L242="",IF(AND(Q242="",V242=""),"Belum ditempatkan",""),IF(O242="","CEK ID FIXTURE tidak ada di DAFTAR_FIXTURE",IF(M242="","CEK ZONA NO kosong",IF(ISNA(MATCH(O242&amp;"|"&amp;M242,LAYOUT!$E$2:$E$80,0)),"CEK ZONA NO di luar layout",IF(N242&lt;&gt;INDEX(LAYOUT!$D$2:$D$80,MATCH(O242&amp;"|"&amp;M242,LAYOUT!$E$2:$E$80,0)),"CEK JENIS ZONA",IF($D242="","Zona STOCK",IF($E242="","CEK SKU DESCRIPTION kosong","OK"))))))))</f>
        <v/>
      </c>
      <c r="Q242" s="11" t="n"/>
      <c r="R242" s="11" t="n"/>
      <c r="S242" s="11" t="n"/>
      <c r="T242" s="12">
        <f>IF(Q242="","",IFERROR(INDEX(DAFTAR_FIXTURE!$B$2:$B$51,MATCH(Q242,DAFTAR_FIXTURE!$A$2:$A$51,0)),""))</f>
        <v/>
      </c>
      <c r="U242" s="12">
        <f>IF(Q242="","",IF(T242="","CEK ID FIXTURE tidak ada di DAFTAR_FIXTURE",IF(R242="","CEK ZONA NO kosong",IF(ISNA(MATCH(T242&amp;"|"&amp;R242,LAYOUT!$E$2:$E$80,0)),"CEK ZONA NO di luar layout",IF(S242&lt;&gt;INDEX(LAYOUT!$D$2:$D$80,MATCH(T242&amp;"|"&amp;R242,LAYOUT!$E$2:$E$80,0)),"CEK JENIS ZONA",IF($D242="","Zona STOCK",IF($E242="","CEK SKU DESCRIPTION kosong","OK")))))))</f>
        <v/>
      </c>
      <c r="V242" s="11" t="n"/>
      <c r="W242" s="11" t="n"/>
      <c r="X242" s="11" t="n"/>
      <c r="Y242" s="12">
        <f>IF(V242="","",IFERROR(INDEX(DAFTAR_FIXTURE!$B$2:$B$51,MATCH(V242,DAFTAR_FIXTURE!$A$2:$A$51,0)),""))</f>
        <v/>
      </c>
      <c r="Z242" s="12">
        <f>IF(V242="","",IF(Y242="","CEK ID FIXTURE tidak ada di DAFTAR_FIXTURE",IF(W242="","CEK ZONA NO kosong",IF(ISNA(MATCH(Y242&amp;"|"&amp;W242,LAYOUT!$E$2:$E$80,0)),"CEK ZONA NO di luar layout",IF(X242&lt;&gt;INDEX(LAYOUT!$D$2:$D$80,MATCH(Y242&amp;"|"&amp;W242,LAYOUT!$E$2:$E$80,0)),"CEK JENIS ZONA",IF($D242="","Zona STOCK",IF($E242="","CEK SKU DESCRIPTION kosong","OK")))))))</f>
        <v/>
      </c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1" t="n"/>
      <c r="M243" s="11" t="n"/>
      <c r="N243" s="11" t="n"/>
      <c r="O243" s="12">
        <f>IF(L243="","",IFERROR(INDEX(DAFTAR_FIXTURE!$B$2:$B$51,MATCH(L243,DAFTAR_FIXTURE!$A$2:$A$51,0)),""))</f>
        <v/>
      </c>
      <c r="P243" s="12">
        <f>IF(AND($D243="",L243=""),"",IF(L243="",IF(AND(Q243="",V243=""),"Belum ditempatkan",""),IF(O243="","CEK ID FIXTURE tidak ada di DAFTAR_FIXTURE",IF(M243="","CEK ZONA NO kosong",IF(ISNA(MATCH(O243&amp;"|"&amp;M243,LAYOUT!$E$2:$E$80,0)),"CEK ZONA NO di luar layout",IF(N243&lt;&gt;INDEX(LAYOUT!$D$2:$D$80,MATCH(O243&amp;"|"&amp;M243,LAYOUT!$E$2:$E$80,0)),"CEK JENIS ZONA",IF($D243="","Zona STOCK",IF($E243="","CEK SKU DESCRIPTION kosong","OK"))))))))</f>
        <v/>
      </c>
      <c r="Q243" s="11" t="n"/>
      <c r="R243" s="11" t="n"/>
      <c r="S243" s="11" t="n"/>
      <c r="T243" s="12">
        <f>IF(Q243="","",IFERROR(INDEX(DAFTAR_FIXTURE!$B$2:$B$51,MATCH(Q243,DAFTAR_FIXTURE!$A$2:$A$51,0)),""))</f>
        <v/>
      </c>
      <c r="U243" s="12">
        <f>IF(Q243="","",IF(T243="","CEK ID FIXTURE tidak ada di DAFTAR_FIXTURE",IF(R243="","CEK ZONA NO kosong",IF(ISNA(MATCH(T243&amp;"|"&amp;R243,LAYOUT!$E$2:$E$80,0)),"CEK ZONA NO di luar layout",IF(S243&lt;&gt;INDEX(LAYOUT!$D$2:$D$80,MATCH(T243&amp;"|"&amp;R243,LAYOUT!$E$2:$E$80,0)),"CEK JENIS ZONA",IF($D243="","Zona STOCK",IF($E243="","CEK SKU DESCRIPTION kosong","OK")))))))</f>
        <v/>
      </c>
      <c r="V243" s="11" t="n"/>
      <c r="W243" s="11" t="n"/>
      <c r="X243" s="11" t="n"/>
      <c r="Y243" s="12">
        <f>IF(V243="","",IFERROR(INDEX(DAFTAR_FIXTURE!$B$2:$B$51,MATCH(V243,DAFTAR_FIXTURE!$A$2:$A$51,0)),""))</f>
        <v/>
      </c>
      <c r="Z243" s="12">
        <f>IF(V243="","",IF(Y243="","CEK ID FIXTURE tidak ada di DAFTAR_FIXTURE",IF(W243="","CEK ZONA NO kosong",IF(ISNA(MATCH(Y243&amp;"|"&amp;W243,LAYOUT!$E$2:$E$80,0)),"CEK ZONA NO di luar layout",IF(X243&lt;&gt;INDEX(LAYOUT!$D$2:$D$80,MATCH(Y243&amp;"|"&amp;W243,LAYOUT!$E$2:$E$80,0)),"CEK JENIS ZONA",IF($D243="","Zona STOCK",IF($E243="","CEK SKU DESCRIPTION kosong","OK")))))))</f>
        <v/>
      </c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1" t="n"/>
      <c r="M244" s="11" t="n"/>
      <c r="N244" s="11" t="n"/>
      <c r="O244" s="12">
        <f>IF(L244="","",IFERROR(INDEX(DAFTAR_FIXTURE!$B$2:$B$51,MATCH(L244,DAFTAR_FIXTURE!$A$2:$A$51,0)),""))</f>
        <v/>
      </c>
      <c r="P244" s="12">
        <f>IF(AND($D244="",L244=""),"",IF(L244="",IF(AND(Q244="",V244=""),"Belum ditempatkan",""),IF(O244="","CEK ID FIXTURE tidak ada di DAFTAR_FIXTURE",IF(M244="","CEK ZONA NO kosong",IF(ISNA(MATCH(O244&amp;"|"&amp;M244,LAYOUT!$E$2:$E$80,0)),"CEK ZONA NO di luar layout",IF(N244&lt;&gt;INDEX(LAYOUT!$D$2:$D$80,MATCH(O244&amp;"|"&amp;M244,LAYOUT!$E$2:$E$80,0)),"CEK JENIS ZONA",IF($D244="","Zona STOCK",IF($E244="","CEK SKU DESCRIPTION kosong","OK"))))))))</f>
        <v/>
      </c>
      <c r="Q244" s="11" t="n"/>
      <c r="R244" s="11" t="n"/>
      <c r="S244" s="11" t="n"/>
      <c r="T244" s="12">
        <f>IF(Q244="","",IFERROR(INDEX(DAFTAR_FIXTURE!$B$2:$B$51,MATCH(Q244,DAFTAR_FIXTURE!$A$2:$A$51,0)),""))</f>
        <v/>
      </c>
      <c r="U244" s="12">
        <f>IF(Q244="","",IF(T244="","CEK ID FIXTURE tidak ada di DAFTAR_FIXTURE",IF(R244="","CEK ZONA NO kosong",IF(ISNA(MATCH(T244&amp;"|"&amp;R244,LAYOUT!$E$2:$E$80,0)),"CEK ZONA NO di luar layout",IF(S244&lt;&gt;INDEX(LAYOUT!$D$2:$D$80,MATCH(T244&amp;"|"&amp;R244,LAYOUT!$E$2:$E$80,0)),"CEK JENIS ZONA",IF($D244="","Zona STOCK",IF($E244="","CEK SKU DESCRIPTION kosong","OK")))))))</f>
        <v/>
      </c>
      <c r="V244" s="11" t="n"/>
      <c r="W244" s="11" t="n"/>
      <c r="X244" s="11" t="n"/>
      <c r="Y244" s="12">
        <f>IF(V244="","",IFERROR(INDEX(DAFTAR_FIXTURE!$B$2:$B$51,MATCH(V244,DAFTAR_FIXTURE!$A$2:$A$51,0)),""))</f>
        <v/>
      </c>
      <c r="Z244" s="12">
        <f>IF(V244="","",IF(Y244="","CEK ID FIXTURE tidak ada di DAFTAR_FIXTURE",IF(W244="","CEK ZONA NO kosong",IF(ISNA(MATCH(Y244&amp;"|"&amp;W244,LAYOUT!$E$2:$E$80,0)),"CEK ZONA NO di luar layout",IF(X244&lt;&gt;INDEX(LAYOUT!$D$2:$D$80,MATCH(Y244&amp;"|"&amp;W244,LAYOUT!$E$2:$E$80,0)),"CEK JENIS ZONA",IF($D244="","Zona STOCK",IF($E244="","CEK SKU DESCRIPTION kosong","OK")))))))</f>
        <v/>
      </c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1" t="n"/>
      <c r="M245" s="11" t="n"/>
      <c r="N245" s="11" t="n"/>
      <c r="O245" s="12">
        <f>IF(L245="","",IFERROR(INDEX(DAFTAR_FIXTURE!$B$2:$B$51,MATCH(L245,DAFTAR_FIXTURE!$A$2:$A$51,0)),""))</f>
        <v/>
      </c>
      <c r="P245" s="12">
        <f>IF(AND($D245="",L245=""),"",IF(L245="",IF(AND(Q245="",V245=""),"Belum ditempatkan",""),IF(O245="","CEK ID FIXTURE tidak ada di DAFTAR_FIXTURE",IF(M245="","CEK ZONA NO kosong",IF(ISNA(MATCH(O245&amp;"|"&amp;M245,LAYOUT!$E$2:$E$80,0)),"CEK ZONA NO di luar layout",IF(N245&lt;&gt;INDEX(LAYOUT!$D$2:$D$80,MATCH(O245&amp;"|"&amp;M245,LAYOUT!$E$2:$E$80,0)),"CEK JENIS ZONA",IF($D245="","Zona STOCK",IF($E245="","CEK SKU DESCRIPTION kosong","OK"))))))))</f>
        <v/>
      </c>
      <c r="Q245" s="11" t="n"/>
      <c r="R245" s="11" t="n"/>
      <c r="S245" s="11" t="n"/>
      <c r="T245" s="12">
        <f>IF(Q245="","",IFERROR(INDEX(DAFTAR_FIXTURE!$B$2:$B$51,MATCH(Q245,DAFTAR_FIXTURE!$A$2:$A$51,0)),""))</f>
        <v/>
      </c>
      <c r="U245" s="12">
        <f>IF(Q245="","",IF(T245="","CEK ID FIXTURE tidak ada di DAFTAR_FIXTURE",IF(R245="","CEK ZONA NO kosong",IF(ISNA(MATCH(T245&amp;"|"&amp;R245,LAYOUT!$E$2:$E$80,0)),"CEK ZONA NO di luar layout",IF(S245&lt;&gt;INDEX(LAYOUT!$D$2:$D$80,MATCH(T245&amp;"|"&amp;R245,LAYOUT!$E$2:$E$80,0)),"CEK JENIS ZONA",IF($D245="","Zona STOCK",IF($E245="","CEK SKU DESCRIPTION kosong","OK")))))))</f>
        <v/>
      </c>
      <c r="V245" s="11" t="n"/>
      <c r="W245" s="11" t="n"/>
      <c r="X245" s="11" t="n"/>
      <c r="Y245" s="12">
        <f>IF(V245="","",IFERROR(INDEX(DAFTAR_FIXTURE!$B$2:$B$51,MATCH(V245,DAFTAR_FIXTURE!$A$2:$A$51,0)),""))</f>
        <v/>
      </c>
      <c r="Z245" s="12">
        <f>IF(V245="","",IF(Y245="","CEK ID FIXTURE tidak ada di DAFTAR_FIXTURE",IF(W245="","CEK ZONA NO kosong",IF(ISNA(MATCH(Y245&amp;"|"&amp;W245,LAYOUT!$E$2:$E$80,0)),"CEK ZONA NO di luar layout",IF(X245&lt;&gt;INDEX(LAYOUT!$D$2:$D$80,MATCH(Y245&amp;"|"&amp;W245,LAYOUT!$E$2:$E$80,0)),"CEK JENIS ZONA",IF($D245="","Zona STOCK",IF($E245="","CEK SKU DESCRIPTION kosong","OK")))))))</f>
        <v/>
      </c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1" t="n"/>
      <c r="M246" s="11" t="n"/>
      <c r="N246" s="11" t="n"/>
      <c r="O246" s="12">
        <f>IF(L246="","",IFERROR(INDEX(DAFTAR_FIXTURE!$B$2:$B$51,MATCH(L246,DAFTAR_FIXTURE!$A$2:$A$51,0)),""))</f>
        <v/>
      </c>
      <c r="P246" s="12">
        <f>IF(AND($D246="",L246=""),"",IF(L246="",IF(AND(Q246="",V246=""),"Belum ditempatkan",""),IF(O246="","CEK ID FIXTURE tidak ada di DAFTAR_FIXTURE",IF(M246="","CEK ZONA NO kosong",IF(ISNA(MATCH(O246&amp;"|"&amp;M246,LAYOUT!$E$2:$E$80,0)),"CEK ZONA NO di luar layout",IF(N246&lt;&gt;INDEX(LAYOUT!$D$2:$D$80,MATCH(O246&amp;"|"&amp;M246,LAYOUT!$E$2:$E$80,0)),"CEK JENIS ZONA",IF($D246="","Zona STOCK",IF($E246="","CEK SKU DESCRIPTION kosong","OK"))))))))</f>
        <v/>
      </c>
      <c r="Q246" s="11" t="n"/>
      <c r="R246" s="11" t="n"/>
      <c r="S246" s="11" t="n"/>
      <c r="T246" s="12">
        <f>IF(Q246="","",IFERROR(INDEX(DAFTAR_FIXTURE!$B$2:$B$51,MATCH(Q246,DAFTAR_FIXTURE!$A$2:$A$51,0)),""))</f>
        <v/>
      </c>
      <c r="U246" s="12">
        <f>IF(Q246="","",IF(T246="","CEK ID FIXTURE tidak ada di DAFTAR_FIXTURE",IF(R246="","CEK ZONA NO kosong",IF(ISNA(MATCH(T246&amp;"|"&amp;R246,LAYOUT!$E$2:$E$80,0)),"CEK ZONA NO di luar layout",IF(S246&lt;&gt;INDEX(LAYOUT!$D$2:$D$80,MATCH(T246&amp;"|"&amp;R246,LAYOUT!$E$2:$E$80,0)),"CEK JENIS ZONA",IF($D246="","Zona STOCK",IF($E246="","CEK SKU DESCRIPTION kosong","OK")))))))</f>
        <v/>
      </c>
      <c r="V246" s="11" t="n"/>
      <c r="W246" s="11" t="n"/>
      <c r="X246" s="11" t="n"/>
      <c r="Y246" s="12">
        <f>IF(V246="","",IFERROR(INDEX(DAFTAR_FIXTURE!$B$2:$B$51,MATCH(V246,DAFTAR_FIXTURE!$A$2:$A$51,0)),""))</f>
        <v/>
      </c>
      <c r="Z246" s="12">
        <f>IF(V246="","",IF(Y246="","CEK ID FIXTURE tidak ada di DAFTAR_FIXTURE",IF(W246="","CEK ZONA NO kosong",IF(ISNA(MATCH(Y246&amp;"|"&amp;W246,LAYOUT!$E$2:$E$80,0)),"CEK ZONA NO di luar layout",IF(X246&lt;&gt;INDEX(LAYOUT!$D$2:$D$80,MATCH(Y246&amp;"|"&amp;W246,LAYOUT!$E$2:$E$80,0)),"CEK JENIS ZONA",IF($D246="","Zona STOCK",IF($E246="","CEK SKU DESCRIPTION kosong","OK")))))))</f>
        <v/>
      </c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1" t="n"/>
      <c r="M247" s="11" t="n"/>
      <c r="N247" s="11" t="n"/>
      <c r="O247" s="12">
        <f>IF(L247="","",IFERROR(INDEX(DAFTAR_FIXTURE!$B$2:$B$51,MATCH(L247,DAFTAR_FIXTURE!$A$2:$A$51,0)),""))</f>
        <v/>
      </c>
      <c r="P247" s="12">
        <f>IF(AND($D247="",L247=""),"",IF(L247="",IF(AND(Q247="",V247=""),"Belum ditempatkan",""),IF(O247="","CEK ID FIXTURE tidak ada di DAFTAR_FIXTURE",IF(M247="","CEK ZONA NO kosong",IF(ISNA(MATCH(O247&amp;"|"&amp;M247,LAYOUT!$E$2:$E$80,0)),"CEK ZONA NO di luar layout",IF(N247&lt;&gt;INDEX(LAYOUT!$D$2:$D$80,MATCH(O247&amp;"|"&amp;M247,LAYOUT!$E$2:$E$80,0)),"CEK JENIS ZONA",IF($D247="","Zona STOCK",IF($E247="","CEK SKU DESCRIPTION kosong","OK"))))))))</f>
        <v/>
      </c>
      <c r="Q247" s="11" t="n"/>
      <c r="R247" s="11" t="n"/>
      <c r="S247" s="11" t="n"/>
      <c r="T247" s="12">
        <f>IF(Q247="","",IFERROR(INDEX(DAFTAR_FIXTURE!$B$2:$B$51,MATCH(Q247,DAFTAR_FIXTURE!$A$2:$A$51,0)),""))</f>
        <v/>
      </c>
      <c r="U247" s="12">
        <f>IF(Q247="","",IF(T247="","CEK ID FIXTURE tidak ada di DAFTAR_FIXTURE",IF(R247="","CEK ZONA NO kosong",IF(ISNA(MATCH(T247&amp;"|"&amp;R247,LAYOUT!$E$2:$E$80,0)),"CEK ZONA NO di luar layout",IF(S247&lt;&gt;INDEX(LAYOUT!$D$2:$D$80,MATCH(T247&amp;"|"&amp;R247,LAYOUT!$E$2:$E$80,0)),"CEK JENIS ZONA",IF($D247="","Zona STOCK",IF($E247="","CEK SKU DESCRIPTION kosong","OK")))))))</f>
        <v/>
      </c>
      <c r="V247" s="11" t="n"/>
      <c r="W247" s="11" t="n"/>
      <c r="X247" s="11" t="n"/>
      <c r="Y247" s="12">
        <f>IF(V247="","",IFERROR(INDEX(DAFTAR_FIXTURE!$B$2:$B$51,MATCH(V247,DAFTAR_FIXTURE!$A$2:$A$51,0)),""))</f>
        <v/>
      </c>
      <c r="Z247" s="12">
        <f>IF(V247="","",IF(Y247="","CEK ID FIXTURE tidak ada di DAFTAR_FIXTURE",IF(W247="","CEK ZONA NO kosong",IF(ISNA(MATCH(Y247&amp;"|"&amp;W247,LAYOUT!$E$2:$E$80,0)),"CEK ZONA NO di luar layout",IF(X247&lt;&gt;INDEX(LAYOUT!$D$2:$D$80,MATCH(Y247&amp;"|"&amp;W247,LAYOUT!$E$2:$E$80,0)),"CEK JENIS ZONA",IF($D247="","Zona STOCK",IF($E247="","CEK SKU DESCRIPTION kosong","OK")))))))</f>
        <v/>
      </c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1" t="n"/>
      <c r="M248" s="11" t="n"/>
      <c r="N248" s="11" t="n"/>
      <c r="O248" s="12">
        <f>IF(L248="","",IFERROR(INDEX(DAFTAR_FIXTURE!$B$2:$B$51,MATCH(L248,DAFTAR_FIXTURE!$A$2:$A$51,0)),""))</f>
        <v/>
      </c>
      <c r="P248" s="12">
        <f>IF(AND($D248="",L248=""),"",IF(L248="",IF(AND(Q248="",V248=""),"Belum ditempatkan",""),IF(O248="","CEK ID FIXTURE tidak ada di DAFTAR_FIXTURE",IF(M248="","CEK ZONA NO kosong",IF(ISNA(MATCH(O248&amp;"|"&amp;M248,LAYOUT!$E$2:$E$80,0)),"CEK ZONA NO di luar layout",IF(N248&lt;&gt;INDEX(LAYOUT!$D$2:$D$80,MATCH(O248&amp;"|"&amp;M248,LAYOUT!$E$2:$E$80,0)),"CEK JENIS ZONA",IF($D248="","Zona STOCK",IF($E248="","CEK SKU DESCRIPTION kosong","OK"))))))))</f>
        <v/>
      </c>
      <c r="Q248" s="11" t="n"/>
      <c r="R248" s="11" t="n"/>
      <c r="S248" s="11" t="n"/>
      <c r="T248" s="12">
        <f>IF(Q248="","",IFERROR(INDEX(DAFTAR_FIXTURE!$B$2:$B$51,MATCH(Q248,DAFTAR_FIXTURE!$A$2:$A$51,0)),""))</f>
        <v/>
      </c>
      <c r="U248" s="12">
        <f>IF(Q248="","",IF(T248="","CEK ID FIXTURE tidak ada di DAFTAR_FIXTURE",IF(R248="","CEK ZONA NO kosong",IF(ISNA(MATCH(T248&amp;"|"&amp;R248,LAYOUT!$E$2:$E$80,0)),"CEK ZONA NO di luar layout",IF(S248&lt;&gt;INDEX(LAYOUT!$D$2:$D$80,MATCH(T248&amp;"|"&amp;R248,LAYOUT!$E$2:$E$80,0)),"CEK JENIS ZONA",IF($D248="","Zona STOCK",IF($E248="","CEK SKU DESCRIPTION kosong","OK")))))))</f>
        <v/>
      </c>
      <c r="V248" s="11" t="n"/>
      <c r="W248" s="11" t="n"/>
      <c r="X248" s="11" t="n"/>
      <c r="Y248" s="12">
        <f>IF(V248="","",IFERROR(INDEX(DAFTAR_FIXTURE!$B$2:$B$51,MATCH(V248,DAFTAR_FIXTURE!$A$2:$A$51,0)),""))</f>
        <v/>
      </c>
      <c r="Z248" s="12">
        <f>IF(V248="","",IF(Y248="","CEK ID FIXTURE tidak ada di DAFTAR_FIXTURE",IF(W248="","CEK ZONA NO kosong",IF(ISNA(MATCH(Y248&amp;"|"&amp;W248,LAYOUT!$E$2:$E$80,0)),"CEK ZONA NO di luar layout",IF(X248&lt;&gt;INDEX(LAYOUT!$D$2:$D$80,MATCH(Y248&amp;"|"&amp;W248,LAYOUT!$E$2:$E$80,0)),"CEK JENIS ZONA",IF($D248="","Zona STOCK",IF($E248="","CEK SKU DESCRIPTION kosong","OK")))))))</f>
        <v/>
      </c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1" t="n"/>
      <c r="M249" s="11" t="n"/>
      <c r="N249" s="11" t="n"/>
      <c r="O249" s="12">
        <f>IF(L249="","",IFERROR(INDEX(DAFTAR_FIXTURE!$B$2:$B$51,MATCH(L249,DAFTAR_FIXTURE!$A$2:$A$51,0)),""))</f>
        <v/>
      </c>
      <c r="P249" s="12">
        <f>IF(AND($D249="",L249=""),"",IF(L249="",IF(AND(Q249="",V249=""),"Belum ditempatkan",""),IF(O249="","CEK ID FIXTURE tidak ada di DAFTAR_FIXTURE",IF(M249="","CEK ZONA NO kosong",IF(ISNA(MATCH(O249&amp;"|"&amp;M249,LAYOUT!$E$2:$E$80,0)),"CEK ZONA NO di luar layout",IF(N249&lt;&gt;INDEX(LAYOUT!$D$2:$D$80,MATCH(O249&amp;"|"&amp;M249,LAYOUT!$E$2:$E$80,0)),"CEK JENIS ZONA",IF($D249="","Zona STOCK",IF($E249="","CEK SKU DESCRIPTION kosong","OK"))))))))</f>
        <v/>
      </c>
      <c r="Q249" s="11" t="n"/>
      <c r="R249" s="11" t="n"/>
      <c r="S249" s="11" t="n"/>
      <c r="T249" s="12">
        <f>IF(Q249="","",IFERROR(INDEX(DAFTAR_FIXTURE!$B$2:$B$51,MATCH(Q249,DAFTAR_FIXTURE!$A$2:$A$51,0)),""))</f>
        <v/>
      </c>
      <c r="U249" s="12">
        <f>IF(Q249="","",IF(T249="","CEK ID FIXTURE tidak ada di DAFTAR_FIXTURE",IF(R249="","CEK ZONA NO kosong",IF(ISNA(MATCH(T249&amp;"|"&amp;R249,LAYOUT!$E$2:$E$80,0)),"CEK ZONA NO di luar layout",IF(S249&lt;&gt;INDEX(LAYOUT!$D$2:$D$80,MATCH(T249&amp;"|"&amp;R249,LAYOUT!$E$2:$E$80,0)),"CEK JENIS ZONA",IF($D249="","Zona STOCK",IF($E249="","CEK SKU DESCRIPTION kosong","OK")))))))</f>
        <v/>
      </c>
      <c r="V249" s="11" t="n"/>
      <c r="W249" s="11" t="n"/>
      <c r="X249" s="11" t="n"/>
      <c r="Y249" s="12">
        <f>IF(V249="","",IFERROR(INDEX(DAFTAR_FIXTURE!$B$2:$B$51,MATCH(V249,DAFTAR_FIXTURE!$A$2:$A$51,0)),""))</f>
        <v/>
      </c>
      <c r="Z249" s="12">
        <f>IF(V249="","",IF(Y249="","CEK ID FIXTURE tidak ada di DAFTAR_FIXTURE",IF(W249="","CEK ZONA NO kosong",IF(ISNA(MATCH(Y249&amp;"|"&amp;W249,LAYOUT!$E$2:$E$80,0)),"CEK ZONA NO di luar layout",IF(X249&lt;&gt;INDEX(LAYOUT!$D$2:$D$80,MATCH(Y249&amp;"|"&amp;W249,LAYOUT!$E$2:$E$80,0)),"CEK JENIS ZONA",IF($D249="","Zona STOCK",IF($E249="","CEK SKU DESCRIPTION kosong","OK")))))))</f>
        <v/>
      </c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1" t="n"/>
      <c r="M250" s="11" t="n"/>
      <c r="N250" s="11" t="n"/>
      <c r="O250" s="12">
        <f>IF(L250="","",IFERROR(INDEX(DAFTAR_FIXTURE!$B$2:$B$51,MATCH(L250,DAFTAR_FIXTURE!$A$2:$A$51,0)),""))</f>
        <v/>
      </c>
      <c r="P250" s="12">
        <f>IF(AND($D250="",L250=""),"",IF(L250="",IF(AND(Q250="",V250=""),"Belum ditempatkan",""),IF(O250="","CEK ID FIXTURE tidak ada di DAFTAR_FIXTURE",IF(M250="","CEK ZONA NO kosong",IF(ISNA(MATCH(O250&amp;"|"&amp;M250,LAYOUT!$E$2:$E$80,0)),"CEK ZONA NO di luar layout",IF(N250&lt;&gt;INDEX(LAYOUT!$D$2:$D$80,MATCH(O250&amp;"|"&amp;M250,LAYOUT!$E$2:$E$80,0)),"CEK JENIS ZONA",IF($D250="","Zona STOCK",IF($E250="","CEK SKU DESCRIPTION kosong","OK"))))))))</f>
        <v/>
      </c>
      <c r="Q250" s="11" t="n"/>
      <c r="R250" s="11" t="n"/>
      <c r="S250" s="11" t="n"/>
      <c r="T250" s="12">
        <f>IF(Q250="","",IFERROR(INDEX(DAFTAR_FIXTURE!$B$2:$B$51,MATCH(Q250,DAFTAR_FIXTURE!$A$2:$A$51,0)),""))</f>
        <v/>
      </c>
      <c r="U250" s="12">
        <f>IF(Q250="","",IF(T250="","CEK ID FIXTURE tidak ada di DAFTAR_FIXTURE",IF(R250="","CEK ZONA NO kosong",IF(ISNA(MATCH(T250&amp;"|"&amp;R250,LAYOUT!$E$2:$E$80,0)),"CEK ZONA NO di luar layout",IF(S250&lt;&gt;INDEX(LAYOUT!$D$2:$D$80,MATCH(T250&amp;"|"&amp;R250,LAYOUT!$E$2:$E$80,0)),"CEK JENIS ZONA",IF($D250="","Zona STOCK",IF($E250="","CEK SKU DESCRIPTION kosong","OK")))))))</f>
        <v/>
      </c>
      <c r="V250" s="11" t="n"/>
      <c r="W250" s="11" t="n"/>
      <c r="X250" s="11" t="n"/>
      <c r="Y250" s="12">
        <f>IF(V250="","",IFERROR(INDEX(DAFTAR_FIXTURE!$B$2:$B$51,MATCH(V250,DAFTAR_FIXTURE!$A$2:$A$51,0)),""))</f>
        <v/>
      </c>
      <c r="Z250" s="12">
        <f>IF(V250="","",IF(Y250="","CEK ID FIXTURE tidak ada di DAFTAR_FIXTURE",IF(W250="","CEK ZONA NO kosong",IF(ISNA(MATCH(Y250&amp;"|"&amp;W250,LAYOUT!$E$2:$E$80,0)),"CEK ZONA NO di luar layout",IF(X250&lt;&gt;INDEX(LAYOUT!$D$2:$D$80,MATCH(Y250&amp;"|"&amp;W250,LAYOUT!$E$2:$E$80,0)),"CEK JENIS ZONA",IF($D250="","Zona STOCK",IF($E250="","CEK SKU DESCRIPTION kosong","OK")))))))</f>
        <v/>
      </c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1" t="n"/>
      <c r="M251" s="11" t="n"/>
      <c r="N251" s="11" t="n"/>
      <c r="O251" s="12">
        <f>IF(L251="","",IFERROR(INDEX(DAFTAR_FIXTURE!$B$2:$B$51,MATCH(L251,DAFTAR_FIXTURE!$A$2:$A$51,0)),""))</f>
        <v/>
      </c>
      <c r="P251" s="12">
        <f>IF(AND($D251="",L251=""),"",IF(L251="",IF(AND(Q251="",V251=""),"Belum ditempatkan",""),IF(O251="","CEK ID FIXTURE tidak ada di DAFTAR_FIXTURE",IF(M251="","CEK ZONA NO kosong",IF(ISNA(MATCH(O251&amp;"|"&amp;M251,LAYOUT!$E$2:$E$80,0)),"CEK ZONA NO di luar layout",IF(N251&lt;&gt;INDEX(LAYOUT!$D$2:$D$80,MATCH(O251&amp;"|"&amp;M251,LAYOUT!$E$2:$E$80,0)),"CEK JENIS ZONA",IF($D251="","Zona STOCK",IF($E251="","CEK SKU DESCRIPTION kosong","OK"))))))))</f>
        <v/>
      </c>
      <c r="Q251" s="11" t="n"/>
      <c r="R251" s="11" t="n"/>
      <c r="S251" s="11" t="n"/>
      <c r="T251" s="12">
        <f>IF(Q251="","",IFERROR(INDEX(DAFTAR_FIXTURE!$B$2:$B$51,MATCH(Q251,DAFTAR_FIXTURE!$A$2:$A$51,0)),""))</f>
        <v/>
      </c>
      <c r="U251" s="12">
        <f>IF(Q251="","",IF(T251="","CEK ID FIXTURE tidak ada di DAFTAR_FIXTURE",IF(R251="","CEK ZONA NO kosong",IF(ISNA(MATCH(T251&amp;"|"&amp;R251,LAYOUT!$E$2:$E$80,0)),"CEK ZONA NO di luar layout",IF(S251&lt;&gt;INDEX(LAYOUT!$D$2:$D$80,MATCH(T251&amp;"|"&amp;R251,LAYOUT!$E$2:$E$80,0)),"CEK JENIS ZONA",IF($D251="","Zona STOCK",IF($E251="","CEK SKU DESCRIPTION kosong","OK")))))))</f>
        <v/>
      </c>
      <c r="V251" s="11" t="n"/>
      <c r="W251" s="11" t="n"/>
      <c r="X251" s="11" t="n"/>
      <c r="Y251" s="12">
        <f>IF(V251="","",IFERROR(INDEX(DAFTAR_FIXTURE!$B$2:$B$51,MATCH(V251,DAFTAR_FIXTURE!$A$2:$A$51,0)),""))</f>
        <v/>
      </c>
      <c r="Z251" s="12">
        <f>IF(V251="","",IF(Y251="","CEK ID FIXTURE tidak ada di DAFTAR_FIXTURE",IF(W251="","CEK ZONA NO kosong",IF(ISNA(MATCH(Y251&amp;"|"&amp;W251,LAYOUT!$E$2:$E$80,0)),"CEK ZONA NO di luar layout",IF(X251&lt;&gt;INDEX(LAYOUT!$D$2:$D$80,MATCH(Y251&amp;"|"&amp;W251,LAYOUT!$E$2:$E$80,0)),"CEK JENIS ZONA",IF($D251="","Zona STOCK",IF($E251="","CEK SKU DESCRIPTION kosong","OK")))))))</f>
        <v/>
      </c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1" t="n"/>
      <c r="M252" s="11" t="n"/>
      <c r="N252" s="11" t="n"/>
      <c r="O252" s="12">
        <f>IF(L252="","",IFERROR(INDEX(DAFTAR_FIXTURE!$B$2:$B$51,MATCH(L252,DAFTAR_FIXTURE!$A$2:$A$51,0)),""))</f>
        <v/>
      </c>
      <c r="P252" s="12">
        <f>IF(AND($D252="",L252=""),"",IF(L252="",IF(AND(Q252="",V252=""),"Belum ditempatkan",""),IF(O252="","CEK ID FIXTURE tidak ada di DAFTAR_FIXTURE",IF(M252="","CEK ZONA NO kosong",IF(ISNA(MATCH(O252&amp;"|"&amp;M252,LAYOUT!$E$2:$E$80,0)),"CEK ZONA NO di luar layout",IF(N252&lt;&gt;INDEX(LAYOUT!$D$2:$D$80,MATCH(O252&amp;"|"&amp;M252,LAYOUT!$E$2:$E$80,0)),"CEK JENIS ZONA",IF($D252="","Zona STOCK",IF($E252="","CEK SKU DESCRIPTION kosong","OK"))))))))</f>
        <v/>
      </c>
      <c r="Q252" s="11" t="n"/>
      <c r="R252" s="11" t="n"/>
      <c r="S252" s="11" t="n"/>
      <c r="T252" s="12">
        <f>IF(Q252="","",IFERROR(INDEX(DAFTAR_FIXTURE!$B$2:$B$51,MATCH(Q252,DAFTAR_FIXTURE!$A$2:$A$51,0)),""))</f>
        <v/>
      </c>
      <c r="U252" s="12">
        <f>IF(Q252="","",IF(T252="","CEK ID FIXTURE tidak ada di DAFTAR_FIXTURE",IF(R252="","CEK ZONA NO kosong",IF(ISNA(MATCH(T252&amp;"|"&amp;R252,LAYOUT!$E$2:$E$80,0)),"CEK ZONA NO di luar layout",IF(S252&lt;&gt;INDEX(LAYOUT!$D$2:$D$80,MATCH(T252&amp;"|"&amp;R252,LAYOUT!$E$2:$E$80,0)),"CEK JENIS ZONA",IF($D252="","Zona STOCK",IF($E252="","CEK SKU DESCRIPTION kosong","OK")))))))</f>
        <v/>
      </c>
      <c r="V252" s="11" t="n"/>
      <c r="W252" s="11" t="n"/>
      <c r="X252" s="11" t="n"/>
      <c r="Y252" s="12">
        <f>IF(V252="","",IFERROR(INDEX(DAFTAR_FIXTURE!$B$2:$B$51,MATCH(V252,DAFTAR_FIXTURE!$A$2:$A$51,0)),""))</f>
        <v/>
      </c>
      <c r="Z252" s="12">
        <f>IF(V252="","",IF(Y252="","CEK ID FIXTURE tidak ada di DAFTAR_FIXTURE",IF(W252="","CEK ZONA NO kosong",IF(ISNA(MATCH(Y252&amp;"|"&amp;W252,LAYOUT!$E$2:$E$80,0)),"CEK ZONA NO di luar layout",IF(X252&lt;&gt;INDEX(LAYOUT!$D$2:$D$80,MATCH(Y252&amp;"|"&amp;W252,LAYOUT!$E$2:$E$80,0)),"CEK JENIS ZONA",IF($D252="","Zona STOCK",IF($E252="","CEK SKU DESCRIPTION kosong","OK")))))))</f>
        <v/>
      </c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1" t="n"/>
      <c r="M253" s="11" t="n"/>
      <c r="N253" s="11" t="n"/>
      <c r="O253" s="12">
        <f>IF(L253="","",IFERROR(INDEX(DAFTAR_FIXTURE!$B$2:$B$51,MATCH(L253,DAFTAR_FIXTURE!$A$2:$A$51,0)),""))</f>
        <v/>
      </c>
      <c r="P253" s="12">
        <f>IF(AND($D253="",L253=""),"",IF(L253="",IF(AND(Q253="",V253=""),"Belum ditempatkan",""),IF(O253="","CEK ID FIXTURE tidak ada di DAFTAR_FIXTURE",IF(M253="","CEK ZONA NO kosong",IF(ISNA(MATCH(O253&amp;"|"&amp;M253,LAYOUT!$E$2:$E$80,0)),"CEK ZONA NO di luar layout",IF(N253&lt;&gt;INDEX(LAYOUT!$D$2:$D$80,MATCH(O253&amp;"|"&amp;M253,LAYOUT!$E$2:$E$80,0)),"CEK JENIS ZONA",IF($D253="","Zona STOCK",IF($E253="","CEK SKU DESCRIPTION kosong","OK"))))))))</f>
        <v/>
      </c>
      <c r="Q253" s="11" t="n"/>
      <c r="R253" s="11" t="n"/>
      <c r="S253" s="11" t="n"/>
      <c r="T253" s="12">
        <f>IF(Q253="","",IFERROR(INDEX(DAFTAR_FIXTURE!$B$2:$B$51,MATCH(Q253,DAFTAR_FIXTURE!$A$2:$A$51,0)),""))</f>
        <v/>
      </c>
      <c r="U253" s="12">
        <f>IF(Q253="","",IF(T253="","CEK ID FIXTURE tidak ada di DAFTAR_FIXTURE",IF(R253="","CEK ZONA NO kosong",IF(ISNA(MATCH(T253&amp;"|"&amp;R253,LAYOUT!$E$2:$E$80,0)),"CEK ZONA NO di luar layout",IF(S253&lt;&gt;INDEX(LAYOUT!$D$2:$D$80,MATCH(T253&amp;"|"&amp;R253,LAYOUT!$E$2:$E$80,0)),"CEK JENIS ZONA",IF($D253="","Zona STOCK",IF($E253="","CEK SKU DESCRIPTION kosong","OK")))))))</f>
        <v/>
      </c>
      <c r="V253" s="11" t="n"/>
      <c r="W253" s="11" t="n"/>
      <c r="X253" s="11" t="n"/>
      <c r="Y253" s="12">
        <f>IF(V253="","",IFERROR(INDEX(DAFTAR_FIXTURE!$B$2:$B$51,MATCH(V253,DAFTAR_FIXTURE!$A$2:$A$51,0)),""))</f>
        <v/>
      </c>
      <c r="Z253" s="12">
        <f>IF(V253="","",IF(Y253="","CEK ID FIXTURE tidak ada di DAFTAR_FIXTURE",IF(W253="","CEK ZONA NO kosong",IF(ISNA(MATCH(Y253&amp;"|"&amp;W253,LAYOUT!$E$2:$E$80,0)),"CEK ZONA NO di luar layout",IF(X253&lt;&gt;INDEX(LAYOUT!$D$2:$D$80,MATCH(Y253&amp;"|"&amp;W253,LAYOUT!$E$2:$E$80,0)),"CEK JENIS ZONA",IF($D253="","Zona STOCK",IF($E253="","CEK SKU DESCRIPTION kosong","OK")))))))</f>
        <v/>
      </c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1" t="n"/>
      <c r="M254" s="11" t="n"/>
      <c r="N254" s="11" t="n"/>
      <c r="O254" s="12">
        <f>IF(L254="","",IFERROR(INDEX(DAFTAR_FIXTURE!$B$2:$B$51,MATCH(L254,DAFTAR_FIXTURE!$A$2:$A$51,0)),""))</f>
        <v/>
      </c>
      <c r="P254" s="12">
        <f>IF(AND($D254="",L254=""),"",IF(L254="",IF(AND(Q254="",V254=""),"Belum ditempatkan",""),IF(O254="","CEK ID FIXTURE tidak ada di DAFTAR_FIXTURE",IF(M254="","CEK ZONA NO kosong",IF(ISNA(MATCH(O254&amp;"|"&amp;M254,LAYOUT!$E$2:$E$80,0)),"CEK ZONA NO di luar layout",IF(N254&lt;&gt;INDEX(LAYOUT!$D$2:$D$80,MATCH(O254&amp;"|"&amp;M254,LAYOUT!$E$2:$E$80,0)),"CEK JENIS ZONA",IF($D254="","Zona STOCK",IF($E254="","CEK SKU DESCRIPTION kosong","OK"))))))))</f>
        <v/>
      </c>
      <c r="Q254" s="11" t="n"/>
      <c r="R254" s="11" t="n"/>
      <c r="S254" s="11" t="n"/>
      <c r="T254" s="12">
        <f>IF(Q254="","",IFERROR(INDEX(DAFTAR_FIXTURE!$B$2:$B$51,MATCH(Q254,DAFTAR_FIXTURE!$A$2:$A$51,0)),""))</f>
        <v/>
      </c>
      <c r="U254" s="12">
        <f>IF(Q254="","",IF(T254="","CEK ID FIXTURE tidak ada di DAFTAR_FIXTURE",IF(R254="","CEK ZONA NO kosong",IF(ISNA(MATCH(T254&amp;"|"&amp;R254,LAYOUT!$E$2:$E$80,0)),"CEK ZONA NO di luar layout",IF(S254&lt;&gt;INDEX(LAYOUT!$D$2:$D$80,MATCH(T254&amp;"|"&amp;R254,LAYOUT!$E$2:$E$80,0)),"CEK JENIS ZONA",IF($D254="","Zona STOCK",IF($E254="","CEK SKU DESCRIPTION kosong","OK")))))))</f>
        <v/>
      </c>
      <c r="V254" s="11" t="n"/>
      <c r="W254" s="11" t="n"/>
      <c r="X254" s="11" t="n"/>
      <c r="Y254" s="12">
        <f>IF(V254="","",IFERROR(INDEX(DAFTAR_FIXTURE!$B$2:$B$51,MATCH(V254,DAFTAR_FIXTURE!$A$2:$A$51,0)),""))</f>
        <v/>
      </c>
      <c r="Z254" s="12">
        <f>IF(V254="","",IF(Y254="","CEK ID FIXTURE tidak ada di DAFTAR_FIXTURE",IF(W254="","CEK ZONA NO kosong",IF(ISNA(MATCH(Y254&amp;"|"&amp;W254,LAYOUT!$E$2:$E$80,0)),"CEK ZONA NO di luar layout",IF(X254&lt;&gt;INDEX(LAYOUT!$D$2:$D$80,MATCH(Y254&amp;"|"&amp;W254,LAYOUT!$E$2:$E$80,0)),"CEK JENIS ZONA",IF($D254="","Zona STOCK",IF($E254="","CEK SKU DESCRIPTION kosong","OK")))))))</f>
        <v/>
      </c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1" t="n"/>
      <c r="M255" s="11" t="n"/>
      <c r="N255" s="11" t="n"/>
      <c r="O255" s="12">
        <f>IF(L255="","",IFERROR(INDEX(DAFTAR_FIXTURE!$B$2:$B$51,MATCH(L255,DAFTAR_FIXTURE!$A$2:$A$51,0)),""))</f>
        <v/>
      </c>
      <c r="P255" s="12">
        <f>IF(AND($D255="",L255=""),"",IF(L255="",IF(AND(Q255="",V255=""),"Belum ditempatkan",""),IF(O255="","CEK ID FIXTURE tidak ada di DAFTAR_FIXTURE",IF(M255="","CEK ZONA NO kosong",IF(ISNA(MATCH(O255&amp;"|"&amp;M255,LAYOUT!$E$2:$E$80,0)),"CEK ZONA NO di luar layout",IF(N255&lt;&gt;INDEX(LAYOUT!$D$2:$D$80,MATCH(O255&amp;"|"&amp;M255,LAYOUT!$E$2:$E$80,0)),"CEK JENIS ZONA",IF($D255="","Zona STOCK",IF($E255="","CEK SKU DESCRIPTION kosong","OK"))))))))</f>
        <v/>
      </c>
      <c r="Q255" s="11" t="n"/>
      <c r="R255" s="11" t="n"/>
      <c r="S255" s="11" t="n"/>
      <c r="T255" s="12">
        <f>IF(Q255="","",IFERROR(INDEX(DAFTAR_FIXTURE!$B$2:$B$51,MATCH(Q255,DAFTAR_FIXTURE!$A$2:$A$51,0)),""))</f>
        <v/>
      </c>
      <c r="U255" s="12">
        <f>IF(Q255="","",IF(T255="","CEK ID FIXTURE tidak ada di DAFTAR_FIXTURE",IF(R255="","CEK ZONA NO kosong",IF(ISNA(MATCH(T255&amp;"|"&amp;R255,LAYOUT!$E$2:$E$80,0)),"CEK ZONA NO di luar layout",IF(S255&lt;&gt;INDEX(LAYOUT!$D$2:$D$80,MATCH(T255&amp;"|"&amp;R255,LAYOUT!$E$2:$E$80,0)),"CEK JENIS ZONA",IF($D255="","Zona STOCK",IF($E255="","CEK SKU DESCRIPTION kosong","OK")))))))</f>
        <v/>
      </c>
      <c r="V255" s="11" t="n"/>
      <c r="W255" s="11" t="n"/>
      <c r="X255" s="11" t="n"/>
      <c r="Y255" s="12">
        <f>IF(V255="","",IFERROR(INDEX(DAFTAR_FIXTURE!$B$2:$B$51,MATCH(V255,DAFTAR_FIXTURE!$A$2:$A$51,0)),""))</f>
        <v/>
      </c>
      <c r="Z255" s="12">
        <f>IF(V255="","",IF(Y255="","CEK ID FIXTURE tidak ada di DAFTAR_FIXTURE",IF(W255="","CEK ZONA NO kosong",IF(ISNA(MATCH(Y255&amp;"|"&amp;W255,LAYOUT!$E$2:$E$80,0)),"CEK ZONA NO di luar layout",IF(X255&lt;&gt;INDEX(LAYOUT!$D$2:$D$80,MATCH(Y255&amp;"|"&amp;W255,LAYOUT!$E$2:$E$80,0)),"CEK JENIS ZONA",IF($D255="","Zona STOCK",IF($E255="","CEK SKU DESCRIPTION kosong","OK")))))))</f>
        <v/>
      </c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1" t="n"/>
      <c r="M256" s="11" t="n"/>
      <c r="N256" s="11" t="n"/>
      <c r="O256" s="12">
        <f>IF(L256="","",IFERROR(INDEX(DAFTAR_FIXTURE!$B$2:$B$51,MATCH(L256,DAFTAR_FIXTURE!$A$2:$A$51,0)),""))</f>
        <v/>
      </c>
      <c r="P256" s="12">
        <f>IF(AND($D256="",L256=""),"",IF(L256="",IF(AND(Q256="",V256=""),"Belum ditempatkan",""),IF(O256="","CEK ID FIXTURE tidak ada di DAFTAR_FIXTURE",IF(M256="","CEK ZONA NO kosong",IF(ISNA(MATCH(O256&amp;"|"&amp;M256,LAYOUT!$E$2:$E$80,0)),"CEK ZONA NO di luar layout",IF(N256&lt;&gt;INDEX(LAYOUT!$D$2:$D$80,MATCH(O256&amp;"|"&amp;M256,LAYOUT!$E$2:$E$80,0)),"CEK JENIS ZONA",IF($D256="","Zona STOCK",IF($E256="","CEK SKU DESCRIPTION kosong","OK"))))))))</f>
        <v/>
      </c>
      <c r="Q256" s="11" t="n"/>
      <c r="R256" s="11" t="n"/>
      <c r="S256" s="11" t="n"/>
      <c r="T256" s="12">
        <f>IF(Q256="","",IFERROR(INDEX(DAFTAR_FIXTURE!$B$2:$B$51,MATCH(Q256,DAFTAR_FIXTURE!$A$2:$A$51,0)),""))</f>
        <v/>
      </c>
      <c r="U256" s="12">
        <f>IF(Q256="","",IF(T256="","CEK ID FIXTURE tidak ada di DAFTAR_FIXTURE",IF(R256="","CEK ZONA NO kosong",IF(ISNA(MATCH(T256&amp;"|"&amp;R256,LAYOUT!$E$2:$E$80,0)),"CEK ZONA NO di luar layout",IF(S256&lt;&gt;INDEX(LAYOUT!$D$2:$D$80,MATCH(T256&amp;"|"&amp;R256,LAYOUT!$E$2:$E$80,0)),"CEK JENIS ZONA",IF($D256="","Zona STOCK",IF($E256="","CEK SKU DESCRIPTION kosong","OK")))))))</f>
        <v/>
      </c>
      <c r="V256" s="11" t="n"/>
      <c r="W256" s="11" t="n"/>
      <c r="X256" s="11" t="n"/>
      <c r="Y256" s="12">
        <f>IF(V256="","",IFERROR(INDEX(DAFTAR_FIXTURE!$B$2:$B$51,MATCH(V256,DAFTAR_FIXTURE!$A$2:$A$51,0)),""))</f>
        <v/>
      </c>
      <c r="Z256" s="12">
        <f>IF(V256="","",IF(Y256="","CEK ID FIXTURE tidak ada di DAFTAR_FIXTURE",IF(W256="","CEK ZONA NO kosong",IF(ISNA(MATCH(Y256&amp;"|"&amp;W256,LAYOUT!$E$2:$E$80,0)),"CEK ZONA NO di luar layout",IF(X256&lt;&gt;INDEX(LAYOUT!$D$2:$D$80,MATCH(Y256&amp;"|"&amp;W256,LAYOUT!$E$2:$E$80,0)),"CEK JENIS ZONA",IF($D256="","Zona STOCK",IF($E256="","CEK SKU DESCRIPTION kosong","OK")))))))</f>
        <v/>
      </c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1" t="n"/>
      <c r="M257" s="11" t="n"/>
      <c r="N257" s="11" t="n"/>
      <c r="O257" s="12">
        <f>IF(L257="","",IFERROR(INDEX(DAFTAR_FIXTURE!$B$2:$B$51,MATCH(L257,DAFTAR_FIXTURE!$A$2:$A$51,0)),""))</f>
        <v/>
      </c>
      <c r="P257" s="12">
        <f>IF(AND($D257="",L257=""),"",IF(L257="",IF(AND(Q257="",V257=""),"Belum ditempatkan",""),IF(O257="","CEK ID FIXTURE tidak ada di DAFTAR_FIXTURE",IF(M257="","CEK ZONA NO kosong",IF(ISNA(MATCH(O257&amp;"|"&amp;M257,LAYOUT!$E$2:$E$80,0)),"CEK ZONA NO di luar layout",IF(N257&lt;&gt;INDEX(LAYOUT!$D$2:$D$80,MATCH(O257&amp;"|"&amp;M257,LAYOUT!$E$2:$E$80,0)),"CEK JENIS ZONA",IF($D257="","Zona STOCK",IF($E257="","CEK SKU DESCRIPTION kosong","OK"))))))))</f>
        <v/>
      </c>
      <c r="Q257" s="11" t="n"/>
      <c r="R257" s="11" t="n"/>
      <c r="S257" s="11" t="n"/>
      <c r="T257" s="12">
        <f>IF(Q257="","",IFERROR(INDEX(DAFTAR_FIXTURE!$B$2:$B$51,MATCH(Q257,DAFTAR_FIXTURE!$A$2:$A$51,0)),""))</f>
        <v/>
      </c>
      <c r="U257" s="12">
        <f>IF(Q257="","",IF(T257="","CEK ID FIXTURE tidak ada di DAFTAR_FIXTURE",IF(R257="","CEK ZONA NO kosong",IF(ISNA(MATCH(T257&amp;"|"&amp;R257,LAYOUT!$E$2:$E$80,0)),"CEK ZONA NO di luar layout",IF(S257&lt;&gt;INDEX(LAYOUT!$D$2:$D$80,MATCH(T257&amp;"|"&amp;R257,LAYOUT!$E$2:$E$80,0)),"CEK JENIS ZONA",IF($D257="","Zona STOCK",IF($E257="","CEK SKU DESCRIPTION kosong","OK")))))))</f>
        <v/>
      </c>
      <c r="V257" s="11" t="n"/>
      <c r="W257" s="11" t="n"/>
      <c r="X257" s="11" t="n"/>
      <c r="Y257" s="12">
        <f>IF(V257="","",IFERROR(INDEX(DAFTAR_FIXTURE!$B$2:$B$51,MATCH(V257,DAFTAR_FIXTURE!$A$2:$A$51,0)),""))</f>
        <v/>
      </c>
      <c r="Z257" s="12">
        <f>IF(V257="","",IF(Y257="","CEK ID FIXTURE tidak ada di DAFTAR_FIXTURE",IF(W257="","CEK ZONA NO kosong",IF(ISNA(MATCH(Y257&amp;"|"&amp;W257,LAYOUT!$E$2:$E$80,0)),"CEK ZONA NO di luar layout",IF(X257&lt;&gt;INDEX(LAYOUT!$D$2:$D$80,MATCH(Y257&amp;"|"&amp;W257,LAYOUT!$E$2:$E$80,0)),"CEK JENIS ZONA",IF($D257="","Zona STOCK",IF($E257="","CEK SKU DESCRIPTION kosong","OK")))))))</f>
        <v/>
      </c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1" t="n"/>
      <c r="M258" s="11" t="n"/>
      <c r="N258" s="11" t="n"/>
      <c r="O258" s="12">
        <f>IF(L258="","",IFERROR(INDEX(DAFTAR_FIXTURE!$B$2:$B$51,MATCH(L258,DAFTAR_FIXTURE!$A$2:$A$51,0)),""))</f>
        <v/>
      </c>
      <c r="P258" s="12">
        <f>IF(AND($D258="",L258=""),"",IF(L258="",IF(AND(Q258="",V258=""),"Belum ditempatkan",""),IF(O258="","CEK ID FIXTURE tidak ada di DAFTAR_FIXTURE",IF(M258="","CEK ZONA NO kosong",IF(ISNA(MATCH(O258&amp;"|"&amp;M258,LAYOUT!$E$2:$E$80,0)),"CEK ZONA NO di luar layout",IF(N258&lt;&gt;INDEX(LAYOUT!$D$2:$D$80,MATCH(O258&amp;"|"&amp;M258,LAYOUT!$E$2:$E$80,0)),"CEK JENIS ZONA",IF($D258="","Zona STOCK",IF($E258="","CEK SKU DESCRIPTION kosong","OK"))))))))</f>
        <v/>
      </c>
      <c r="Q258" s="11" t="n"/>
      <c r="R258" s="11" t="n"/>
      <c r="S258" s="11" t="n"/>
      <c r="T258" s="12">
        <f>IF(Q258="","",IFERROR(INDEX(DAFTAR_FIXTURE!$B$2:$B$51,MATCH(Q258,DAFTAR_FIXTURE!$A$2:$A$51,0)),""))</f>
        <v/>
      </c>
      <c r="U258" s="12">
        <f>IF(Q258="","",IF(T258="","CEK ID FIXTURE tidak ada di DAFTAR_FIXTURE",IF(R258="","CEK ZONA NO kosong",IF(ISNA(MATCH(T258&amp;"|"&amp;R258,LAYOUT!$E$2:$E$80,0)),"CEK ZONA NO di luar layout",IF(S258&lt;&gt;INDEX(LAYOUT!$D$2:$D$80,MATCH(T258&amp;"|"&amp;R258,LAYOUT!$E$2:$E$80,0)),"CEK JENIS ZONA",IF($D258="","Zona STOCK",IF($E258="","CEK SKU DESCRIPTION kosong","OK")))))))</f>
        <v/>
      </c>
      <c r="V258" s="11" t="n"/>
      <c r="W258" s="11" t="n"/>
      <c r="X258" s="11" t="n"/>
      <c r="Y258" s="12">
        <f>IF(V258="","",IFERROR(INDEX(DAFTAR_FIXTURE!$B$2:$B$51,MATCH(V258,DAFTAR_FIXTURE!$A$2:$A$51,0)),""))</f>
        <v/>
      </c>
      <c r="Z258" s="12">
        <f>IF(V258="","",IF(Y258="","CEK ID FIXTURE tidak ada di DAFTAR_FIXTURE",IF(W258="","CEK ZONA NO kosong",IF(ISNA(MATCH(Y258&amp;"|"&amp;W258,LAYOUT!$E$2:$E$80,0)),"CEK ZONA NO di luar layout",IF(X258&lt;&gt;INDEX(LAYOUT!$D$2:$D$80,MATCH(Y258&amp;"|"&amp;W258,LAYOUT!$E$2:$E$80,0)),"CEK JENIS ZONA",IF($D258="","Zona STOCK",IF($E258="","CEK SKU DESCRIPTION kosong","OK")))))))</f>
        <v/>
      </c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1" t="n"/>
      <c r="M259" s="11" t="n"/>
      <c r="N259" s="11" t="n"/>
      <c r="O259" s="12">
        <f>IF(L259="","",IFERROR(INDEX(DAFTAR_FIXTURE!$B$2:$B$51,MATCH(L259,DAFTAR_FIXTURE!$A$2:$A$51,0)),""))</f>
        <v/>
      </c>
      <c r="P259" s="12">
        <f>IF(AND($D259="",L259=""),"",IF(L259="",IF(AND(Q259="",V259=""),"Belum ditempatkan",""),IF(O259="","CEK ID FIXTURE tidak ada di DAFTAR_FIXTURE",IF(M259="","CEK ZONA NO kosong",IF(ISNA(MATCH(O259&amp;"|"&amp;M259,LAYOUT!$E$2:$E$80,0)),"CEK ZONA NO di luar layout",IF(N259&lt;&gt;INDEX(LAYOUT!$D$2:$D$80,MATCH(O259&amp;"|"&amp;M259,LAYOUT!$E$2:$E$80,0)),"CEK JENIS ZONA",IF($D259="","Zona STOCK",IF($E259="","CEK SKU DESCRIPTION kosong","OK"))))))))</f>
        <v/>
      </c>
      <c r="Q259" s="11" t="n"/>
      <c r="R259" s="11" t="n"/>
      <c r="S259" s="11" t="n"/>
      <c r="T259" s="12">
        <f>IF(Q259="","",IFERROR(INDEX(DAFTAR_FIXTURE!$B$2:$B$51,MATCH(Q259,DAFTAR_FIXTURE!$A$2:$A$51,0)),""))</f>
        <v/>
      </c>
      <c r="U259" s="12">
        <f>IF(Q259="","",IF(T259="","CEK ID FIXTURE tidak ada di DAFTAR_FIXTURE",IF(R259="","CEK ZONA NO kosong",IF(ISNA(MATCH(T259&amp;"|"&amp;R259,LAYOUT!$E$2:$E$80,0)),"CEK ZONA NO di luar layout",IF(S259&lt;&gt;INDEX(LAYOUT!$D$2:$D$80,MATCH(T259&amp;"|"&amp;R259,LAYOUT!$E$2:$E$80,0)),"CEK JENIS ZONA",IF($D259="","Zona STOCK",IF($E259="","CEK SKU DESCRIPTION kosong","OK")))))))</f>
        <v/>
      </c>
      <c r="V259" s="11" t="n"/>
      <c r="W259" s="11" t="n"/>
      <c r="X259" s="11" t="n"/>
      <c r="Y259" s="12">
        <f>IF(V259="","",IFERROR(INDEX(DAFTAR_FIXTURE!$B$2:$B$51,MATCH(V259,DAFTAR_FIXTURE!$A$2:$A$51,0)),""))</f>
        <v/>
      </c>
      <c r="Z259" s="12">
        <f>IF(V259="","",IF(Y259="","CEK ID FIXTURE tidak ada di DAFTAR_FIXTURE",IF(W259="","CEK ZONA NO kosong",IF(ISNA(MATCH(Y259&amp;"|"&amp;W259,LAYOUT!$E$2:$E$80,0)),"CEK ZONA NO di luar layout",IF(X259&lt;&gt;INDEX(LAYOUT!$D$2:$D$80,MATCH(Y259&amp;"|"&amp;W259,LAYOUT!$E$2:$E$80,0)),"CEK JENIS ZONA",IF($D259="","Zona STOCK",IF($E259="","CEK SKU DESCRIPTION kosong","OK")))))))</f>
        <v/>
      </c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1" t="n"/>
      <c r="M260" s="11" t="n"/>
      <c r="N260" s="11" t="n"/>
      <c r="O260" s="12">
        <f>IF(L260="","",IFERROR(INDEX(DAFTAR_FIXTURE!$B$2:$B$51,MATCH(L260,DAFTAR_FIXTURE!$A$2:$A$51,0)),""))</f>
        <v/>
      </c>
      <c r="P260" s="12">
        <f>IF(AND($D260="",L260=""),"",IF(L260="",IF(AND(Q260="",V260=""),"Belum ditempatkan",""),IF(O260="","CEK ID FIXTURE tidak ada di DAFTAR_FIXTURE",IF(M260="","CEK ZONA NO kosong",IF(ISNA(MATCH(O260&amp;"|"&amp;M260,LAYOUT!$E$2:$E$80,0)),"CEK ZONA NO di luar layout",IF(N260&lt;&gt;INDEX(LAYOUT!$D$2:$D$80,MATCH(O260&amp;"|"&amp;M260,LAYOUT!$E$2:$E$80,0)),"CEK JENIS ZONA",IF($D260="","Zona STOCK",IF($E260="","CEK SKU DESCRIPTION kosong","OK"))))))))</f>
        <v/>
      </c>
      <c r="Q260" s="11" t="n"/>
      <c r="R260" s="11" t="n"/>
      <c r="S260" s="11" t="n"/>
      <c r="T260" s="12">
        <f>IF(Q260="","",IFERROR(INDEX(DAFTAR_FIXTURE!$B$2:$B$51,MATCH(Q260,DAFTAR_FIXTURE!$A$2:$A$51,0)),""))</f>
        <v/>
      </c>
      <c r="U260" s="12">
        <f>IF(Q260="","",IF(T260="","CEK ID FIXTURE tidak ada di DAFTAR_FIXTURE",IF(R260="","CEK ZONA NO kosong",IF(ISNA(MATCH(T260&amp;"|"&amp;R260,LAYOUT!$E$2:$E$80,0)),"CEK ZONA NO di luar layout",IF(S260&lt;&gt;INDEX(LAYOUT!$D$2:$D$80,MATCH(T260&amp;"|"&amp;R260,LAYOUT!$E$2:$E$80,0)),"CEK JENIS ZONA",IF($D260="","Zona STOCK",IF($E260="","CEK SKU DESCRIPTION kosong","OK")))))))</f>
        <v/>
      </c>
      <c r="V260" s="11" t="n"/>
      <c r="W260" s="11" t="n"/>
      <c r="X260" s="11" t="n"/>
      <c r="Y260" s="12">
        <f>IF(V260="","",IFERROR(INDEX(DAFTAR_FIXTURE!$B$2:$B$51,MATCH(V260,DAFTAR_FIXTURE!$A$2:$A$51,0)),""))</f>
        <v/>
      </c>
      <c r="Z260" s="12">
        <f>IF(V260="","",IF(Y260="","CEK ID FIXTURE tidak ada di DAFTAR_FIXTURE",IF(W260="","CEK ZONA NO kosong",IF(ISNA(MATCH(Y260&amp;"|"&amp;W260,LAYOUT!$E$2:$E$80,0)),"CEK ZONA NO di luar layout",IF(X260&lt;&gt;INDEX(LAYOUT!$D$2:$D$80,MATCH(Y260&amp;"|"&amp;W260,LAYOUT!$E$2:$E$80,0)),"CEK JENIS ZONA",IF($D260="","Zona STOCK",IF($E260="","CEK SKU DESCRIPTION kosong","OK")))))))</f>
        <v/>
      </c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1" t="n"/>
      <c r="M261" s="11" t="n"/>
      <c r="N261" s="11" t="n"/>
      <c r="O261" s="12">
        <f>IF(L261="","",IFERROR(INDEX(DAFTAR_FIXTURE!$B$2:$B$51,MATCH(L261,DAFTAR_FIXTURE!$A$2:$A$51,0)),""))</f>
        <v/>
      </c>
      <c r="P261" s="12">
        <f>IF(AND($D261="",L261=""),"",IF(L261="",IF(AND(Q261="",V261=""),"Belum ditempatkan",""),IF(O261="","CEK ID FIXTURE tidak ada di DAFTAR_FIXTURE",IF(M261="","CEK ZONA NO kosong",IF(ISNA(MATCH(O261&amp;"|"&amp;M261,LAYOUT!$E$2:$E$80,0)),"CEK ZONA NO di luar layout",IF(N261&lt;&gt;INDEX(LAYOUT!$D$2:$D$80,MATCH(O261&amp;"|"&amp;M261,LAYOUT!$E$2:$E$80,0)),"CEK JENIS ZONA",IF($D261="","Zona STOCK",IF($E261="","CEK SKU DESCRIPTION kosong","OK"))))))))</f>
        <v/>
      </c>
      <c r="Q261" s="11" t="n"/>
      <c r="R261" s="11" t="n"/>
      <c r="S261" s="11" t="n"/>
      <c r="T261" s="12">
        <f>IF(Q261="","",IFERROR(INDEX(DAFTAR_FIXTURE!$B$2:$B$51,MATCH(Q261,DAFTAR_FIXTURE!$A$2:$A$51,0)),""))</f>
        <v/>
      </c>
      <c r="U261" s="12">
        <f>IF(Q261="","",IF(T261="","CEK ID FIXTURE tidak ada di DAFTAR_FIXTURE",IF(R261="","CEK ZONA NO kosong",IF(ISNA(MATCH(T261&amp;"|"&amp;R261,LAYOUT!$E$2:$E$80,0)),"CEK ZONA NO di luar layout",IF(S261&lt;&gt;INDEX(LAYOUT!$D$2:$D$80,MATCH(T261&amp;"|"&amp;R261,LAYOUT!$E$2:$E$80,0)),"CEK JENIS ZONA",IF($D261="","Zona STOCK",IF($E261="","CEK SKU DESCRIPTION kosong","OK")))))))</f>
        <v/>
      </c>
      <c r="V261" s="11" t="n"/>
      <c r="W261" s="11" t="n"/>
      <c r="X261" s="11" t="n"/>
      <c r="Y261" s="12">
        <f>IF(V261="","",IFERROR(INDEX(DAFTAR_FIXTURE!$B$2:$B$51,MATCH(V261,DAFTAR_FIXTURE!$A$2:$A$51,0)),""))</f>
        <v/>
      </c>
      <c r="Z261" s="12">
        <f>IF(V261="","",IF(Y261="","CEK ID FIXTURE tidak ada di DAFTAR_FIXTURE",IF(W261="","CEK ZONA NO kosong",IF(ISNA(MATCH(Y261&amp;"|"&amp;W261,LAYOUT!$E$2:$E$80,0)),"CEK ZONA NO di luar layout",IF(X261&lt;&gt;INDEX(LAYOUT!$D$2:$D$80,MATCH(Y261&amp;"|"&amp;W261,LAYOUT!$E$2:$E$80,0)),"CEK JENIS ZONA",IF($D261="","Zona STOCK",IF($E261="","CEK SKU DESCRIPTION kosong","OK")))))))</f>
        <v/>
      </c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1" t="n"/>
      <c r="M262" s="11" t="n"/>
      <c r="N262" s="11" t="n"/>
      <c r="O262" s="12">
        <f>IF(L262="","",IFERROR(INDEX(DAFTAR_FIXTURE!$B$2:$B$51,MATCH(L262,DAFTAR_FIXTURE!$A$2:$A$51,0)),""))</f>
        <v/>
      </c>
      <c r="P262" s="12">
        <f>IF(AND($D262="",L262=""),"",IF(L262="",IF(AND(Q262="",V262=""),"Belum ditempatkan",""),IF(O262="","CEK ID FIXTURE tidak ada di DAFTAR_FIXTURE",IF(M262="","CEK ZONA NO kosong",IF(ISNA(MATCH(O262&amp;"|"&amp;M262,LAYOUT!$E$2:$E$80,0)),"CEK ZONA NO di luar layout",IF(N262&lt;&gt;INDEX(LAYOUT!$D$2:$D$80,MATCH(O262&amp;"|"&amp;M262,LAYOUT!$E$2:$E$80,0)),"CEK JENIS ZONA",IF($D262="","Zona STOCK",IF($E262="","CEK SKU DESCRIPTION kosong","OK"))))))))</f>
        <v/>
      </c>
      <c r="Q262" s="11" t="n"/>
      <c r="R262" s="11" t="n"/>
      <c r="S262" s="11" t="n"/>
      <c r="T262" s="12">
        <f>IF(Q262="","",IFERROR(INDEX(DAFTAR_FIXTURE!$B$2:$B$51,MATCH(Q262,DAFTAR_FIXTURE!$A$2:$A$51,0)),""))</f>
        <v/>
      </c>
      <c r="U262" s="12">
        <f>IF(Q262="","",IF(T262="","CEK ID FIXTURE tidak ada di DAFTAR_FIXTURE",IF(R262="","CEK ZONA NO kosong",IF(ISNA(MATCH(T262&amp;"|"&amp;R262,LAYOUT!$E$2:$E$80,0)),"CEK ZONA NO di luar layout",IF(S262&lt;&gt;INDEX(LAYOUT!$D$2:$D$80,MATCH(T262&amp;"|"&amp;R262,LAYOUT!$E$2:$E$80,0)),"CEK JENIS ZONA",IF($D262="","Zona STOCK",IF($E262="","CEK SKU DESCRIPTION kosong","OK")))))))</f>
        <v/>
      </c>
      <c r="V262" s="11" t="n"/>
      <c r="W262" s="11" t="n"/>
      <c r="X262" s="11" t="n"/>
      <c r="Y262" s="12">
        <f>IF(V262="","",IFERROR(INDEX(DAFTAR_FIXTURE!$B$2:$B$51,MATCH(V262,DAFTAR_FIXTURE!$A$2:$A$51,0)),""))</f>
        <v/>
      </c>
      <c r="Z262" s="12">
        <f>IF(V262="","",IF(Y262="","CEK ID FIXTURE tidak ada di DAFTAR_FIXTURE",IF(W262="","CEK ZONA NO kosong",IF(ISNA(MATCH(Y262&amp;"|"&amp;W262,LAYOUT!$E$2:$E$80,0)),"CEK ZONA NO di luar layout",IF(X262&lt;&gt;INDEX(LAYOUT!$D$2:$D$80,MATCH(Y262&amp;"|"&amp;W262,LAYOUT!$E$2:$E$80,0)),"CEK JENIS ZONA",IF($D262="","Zona STOCK",IF($E262="","CEK SKU DESCRIPTION kosong","OK")))))))</f>
        <v/>
      </c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1" t="n"/>
      <c r="M263" s="11" t="n"/>
      <c r="N263" s="11" t="n"/>
      <c r="O263" s="12">
        <f>IF(L263="","",IFERROR(INDEX(DAFTAR_FIXTURE!$B$2:$B$51,MATCH(L263,DAFTAR_FIXTURE!$A$2:$A$51,0)),""))</f>
        <v/>
      </c>
      <c r="P263" s="12">
        <f>IF(AND($D263="",L263=""),"",IF(L263="",IF(AND(Q263="",V263=""),"Belum ditempatkan",""),IF(O263="","CEK ID FIXTURE tidak ada di DAFTAR_FIXTURE",IF(M263="","CEK ZONA NO kosong",IF(ISNA(MATCH(O263&amp;"|"&amp;M263,LAYOUT!$E$2:$E$80,0)),"CEK ZONA NO di luar layout",IF(N263&lt;&gt;INDEX(LAYOUT!$D$2:$D$80,MATCH(O263&amp;"|"&amp;M263,LAYOUT!$E$2:$E$80,0)),"CEK JENIS ZONA",IF($D263="","Zona STOCK",IF($E263="","CEK SKU DESCRIPTION kosong","OK"))))))))</f>
        <v/>
      </c>
      <c r="Q263" s="11" t="n"/>
      <c r="R263" s="11" t="n"/>
      <c r="S263" s="11" t="n"/>
      <c r="T263" s="12">
        <f>IF(Q263="","",IFERROR(INDEX(DAFTAR_FIXTURE!$B$2:$B$51,MATCH(Q263,DAFTAR_FIXTURE!$A$2:$A$51,0)),""))</f>
        <v/>
      </c>
      <c r="U263" s="12">
        <f>IF(Q263="","",IF(T263="","CEK ID FIXTURE tidak ada di DAFTAR_FIXTURE",IF(R263="","CEK ZONA NO kosong",IF(ISNA(MATCH(T263&amp;"|"&amp;R263,LAYOUT!$E$2:$E$80,0)),"CEK ZONA NO di luar layout",IF(S263&lt;&gt;INDEX(LAYOUT!$D$2:$D$80,MATCH(T263&amp;"|"&amp;R263,LAYOUT!$E$2:$E$80,0)),"CEK JENIS ZONA",IF($D263="","Zona STOCK",IF($E263="","CEK SKU DESCRIPTION kosong","OK")))))))</f>
        <v/>
      </c>
      <c r="V263" s="11" t="n"/>
      <c r="W263" s="11" t="n"/>
      <c r="X263" s="11" t="n"/>
      <c r="Y263" s="12">
        <f>IF(V263="","",IFERROR(INDEX(DAFTAR_FIXTURE!$B$2:$B$51,MATCH(V263,DAFTAR_FIXTURE!$A$2:$A$51,0)),""))</f>
        <v/>
      </c>
      <c r="Z263" s="12">
        <f>IF(V263="","",IF(Y263="","CEK ID FIXTURE tidak ada di DAFTAR_FIXTURE",IF(W263="","CEK ZONA NO kosong",IF(ISNA(MATCH(Y263&amp;"|"&amp;W263,LAYOUT!$E$2:$E$80,0)),"CEK ZONA NO di luar layout",IF(X263&lt;&gt;INDEX(LAYOUT!$D$2:$D$80,MATCH(Y263&amp;"|"&amp;W263,LAYOUT!$E$2:$E$80,0)),"CEK JENIS ZONA",IF($D263="","Zona STOCK",IF($E263="","CEK SKU DESCRIPTION kosong","OK")))))))</f>
        <v/>
      </c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1" t="n"/>
      <c r="M264" s="11" t="n"/>
      <c r="N264" s="11" t="n"/>
      <c r="O264" s="12">
        <f>IF(L264="","",IFERROR(INDEX(DAFTAR_FIXTURE!$B$2:$B$51,MATCH(L264,DAFTAR_FIXTURE!$A$2:$A$51,0)),""))</f>
        <v/>
      </c>
      <c r="P264" s="12">
        <f>IF(AND($D264="",L264=""),"",IF(L264="",IF(AND(Q264="",V264=""),"Belum ditempatkan",""),IF(O264="","CEK ID FIXTURE tidak ada di DAFTAR_FIXTURE",IF(M264="","CEK ZONA NO kosong",IF(ISNA(MATCH(O264&amp;"|"&amp;M264,LAYOUT!$E$2:$E$80,0)),"CEK ZONA NO di luar layout",IF(N264&lt;&gt;INDEX(LAYOUT!$D$2:$D$80,MATCH(O264&amp;"|"&amp;M264,LAYOUT!$E$2:$E$80,0)),"CEK JENIS ZONA",IF($D264="","Zona STOCK",IF($E264="","CEK SKU DESCRIPTION kosong","OK"))))))))</f>
        <v/>
      </c>
      <c r="Q264" s="11" t="n"/>
      <c r="R264" s="11" t="n"/>
      <c r="S264" s="11" t="n"/>
      <c r="T264" s="12">
        <f>IF(Q264="","",IFERROR(INDEX(DAFTAR_FIXTURE!$B$2:$B$51,MATCH(Q264,DAFTAR_FIXTURE!$A$2:$A$51,0)),""))</f>
        <v/>
      </c>
      <c r="U264" s="12">
        <f>IF(Q264="","",IF(T264="","CEK ID FIXTURE tidak ada di DAFTAR_FIXTURE",IF(R264="","CEK ZONA NO kosong",IF(ISNA(MATCH(T264&amp;"|"&amp;R264,LAYOUT!$E$2:$E$80,0)),"CEK ZONA NO di luar layout",IF(S264&lt;&gt;INDEX(LAYOUT!$D$2:$D$80,MATCH(T264&amp;"|"&amp;R264,LAYOUT!$E$2:$E$80,0)),"CEK JENIS ZONA",IF($D264="","Zona STOCK",IF($E264="","CEK SKU DESCRIPTION kosong","OK")))))))</f>
        <v/>
      </c>
      <c r="V264" s="11" t="n"/>
      <c r="W264" s="11" t="n"/>
      <c r="X264" s="11" t="n"/>
      <c r="Y264" s="12">
        <f>IF(V264="","",IFERROR(INDEX(DAFTAR_FIXTURE!$B$2:$B$51,MATCH(V264,DAFTAR_FIXTURE!$A$2:$A$51,0)),""))</f>
        <v/>
      </c>
      <c r="Z264" s="12">
        <f>IF(V264="","",IF(Y264="","CEK ID FIXTURE tidak ada di DAFTAR_FIXTURE",IF(W264="","CEK ZONA NO kosong",IF(ISNA(MATCH(Y264&amp;"|"&amp;W264,LAYOUT!$E$2:$E$80,0)),"CEK ZONA NO di luar layout",IF(X264&lt;&gt;INDEX(LAYOUT!$D$2:$D$80,MATCH(Y264&amp;"|"&amp;W264,LAYOUT!$E$2:$E$80,0)),"CEK JENIS ZONA",IF($D264="","Zona STOCK",IF($E264="","CEK SKU DESCRIPTION kosong","OK")))))))</f>
        <v/>
      </c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1" t="n"/>
      <c r="M265" s="11" t="n"/>
      <c r="N265" s="11" t="n"/>
      <c r="O265" s="12">
        <f>IF(L265="","",IFERROR(INDEX(DAFTAR_FIXTURE!$B$2:$B$51,MATCH(L265,DAFTAR_FIXTURE!$A$2:$A$51,0)),""))</f>
        <v/>
      </c>
      <c r="P265" s="12">
        <f>IF(AND($D265="",L265=""),"",IF(L265="",IF(AND(Q265="",V265=""),"Belum ditempatkan",""),IF(O265="","CEK ID FIXTURE tidak ada di DAFTAR_FIXTURE",IF(M265="","CEK ZONA NO kosong",IF(ISNA(MATCH(O265&amp;"|"&amp;M265,LAYOUT!$E$2:$E$80,0)),"CEK ZONA NO di luar layout",IF(N265&lt;&gt;INDEX(LAYOUT!$D$2:$D$80,MATCH(O265&amp;"|"&amp;M265,LAYOUT!$E$2:$E$80,0)),"CEK JENIS ZONA",IF($D265="","Zona STOCK",IF($E265="","CEK SKU DESCRIPTION kosong","OK"))))))))</f>
        <v/>
      </c>
      <c r="Q265" s="11" t="n"/>
      <c r="R265" s="11" t="n"/>
      <c r="S265" s="11" t="n"/>
      <c r="T265" s="12">
        <f>IF(Q265="","",IFERROR(INDEX(DAFTAR_FIXTURE!$B$2:$B$51,MATCH(Q265,DAFTAR_FIXTURE!$A$2:$A$51,0)),""))</f>
        <v/>
      </c>
      <c r="U265" s="12">
        <f>IF(Q265="","",IF(T265="","CEK ID FIXTURE tidak ada di DAFTAR_FIXTURE",IF(R265="","CEK ZONA NO kosong",IF(ISNA(MATCH(T265&amp;"|"&amp;R265,LAYOUT!$E$2:$E$80,0)),"CEK ZONA NO di luar layout",IF(S265&lt;&gt;INDEX(LAYOUT!$D$2:$D$80,MATCH(T265&amp;"|"&amp;R265,LAYOUT!$E$2:$E$80,0)),"CEK JENIS ZONA",IF($D265="","Zona STOCK",IF($E265="","CEK SKU DESCRIPTION kosong","OK")))))))</f>
        <v/>
      </c>
      <c r="V265" s="11" t="n"/>
      <c r="W265" s="11" t="n"/>
      <c r="X265" s="11" t="n"/>
      <c r="Y265" s="12">
        <f>IF(V265="","",IFERROR(INDEX(DAFTAR_FIXTURE!$B$2:$B$51,MATCH(V265,DAFTAR_FIXTURE!$A$2:$A$51,0)),""))</f>
        <v/>
      </c>
      <c r="Z265" s="12">
        <f>IF(V265="","",IF(Y265="","CEK ID FIXTURE tidak ada di DAFTAR_FIXTURE",IF(W265="","CEK ZONA NO kosong",IF(ISNA(MATCH(Y265&amp;"|"&amp;W265,LAYOUT!$E$2:$E$80,0)),"CEK ZONA NO di luar layout",IF(X265&lt;&gt;INDEX(LAYOUT!$D$2:$D$80,MATCH(Y265&amp;"|"&amp;W265,LAYOUT!$E$2:$E$80,0)),"CEK JENIS ZONA",IF($D265="","Zona STOCK",IF($E265="","CEK SKU DESCRIPTION kosong","OK")))))))</f>
        <v/>
      </c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1" t="n"/>
      <c r="M266" s="11" t="n"/>
      <c r="N266" s="11" t="n"/>
      <c r="O266" s="12">
        <f>IF(L266="","",IFERROR(INDEX(DAFTAR_FIXTURE!$B$2:$B$51,MATCH(L266,DAFTAR_FIXTURE!$A$2:$A$51,0)),""))</f>
        <v/>
      </c>
      <c r="P266" s="12">
        <f>IF(AND($D266="",L266=""),"",IF(L266="",IF(AND(Q266="",V266=""),"Belum ditempatkan",""),IF(O266="","CEK ID FIXTURE tidak ada di DAFTAR_FIXTURE",IF(M266="","CEK ZONA NO kosong",IF(ISNA(MATCH(O266&amp;"|"&amp;M266,LAYOUT!$E$2:$E$80,0)),"CEK ZONA NO di luar layout",IF(N266&lt;&gt;INDEX(LAYOUT!$D$2:$D$80,MATCH(O266&amp;"|"&amp;M266,LAYOUT!$E$2:$E$80,0)),"CEK JENIS ZONA",IF($D266="","Zona STOCK",IF($E266="","CEK SKU DESCRIPTION kosong","OK"))))))))</f>
        <v/>
      </c>
      <c r="Q266" s="11" t="n"/>
      <c r="R266" s="11" t="n"/>
      <c r="S266" s="11" t="n"/>
      <c r="T266" s="12">
        <f>IF(Q266="","",IFERROR(INDEX(DAFTAR_FIXTURE!$B$2:$B$51,MATCH(Q266,DAFTAR_FIXTURE!$A$2:$A$51,0)),""))</f>
        <v/>
      </c>
      <c r="U266" s="12">
        <f>IF(Q266="","",IF(T266="","CEK ID FIXTURE tidak ada di DAFTAR_FIXTURE",IF(R266="","CEK ZONA NO kosong",IF(ISNA(MATCH(T266&amp;"|"&amp;R266,LAYOUT!$E$2:$E$80,0)),"CEK ZONA NO di luar layout",IF(S266&lt;&gt;INDEX(LAYOUT!$D$2:$D$80,MATCH(T266&amp;"|"&amp;R266,LAYOUT!$E$2:$E$80,0)),"CEK JENIS ZONA",IF($D266="","Zona STOCK",IF($E266="","CEK SKU DESCRIPTION kosong","OK")))))))</f>
        <v/>
      </c>
      <c r="V266" s="11" t="n"/>
      <c r="W266" s="11" t="n"/>
      <c r="X266" s="11" t="n"/>
      <c r="Y266" s="12">
        <f>IF(V266="","",IFERROR(INDEX(DAFTAR_FIXTURE!$B$2:$B$51,MATCH(V266,DAFTAR_FIXTURE!$A$2:$A$51,0)),""))</f>
        <v/>
      </c>
      <c r="Z266" s="12">
        <f>IF(V266="","",IF(Y266="","CEK ID FIXTURE tidak ada di DAFTAR_FIXTURE",IF(W266="","CEK ZONA NO kosong",IF(ISNA(MATCH(Y266&amp;"|"&amp;W266,LAYOUT!$E$2:$E$80,0)),"CEK ZONA NO di luar layout",IF(X266&lt;&gt;INDEX(LAYOUT!$D$2:$D$80,MATCH(Y266&amp;"|"&amp;W266,LAYOUT!$E$2:$E$80,0)),"CEK JENIS ZONA",IF($D266="","Zona STOCK",IF($E266="","CEK SKU DESCRIPTION kosong","OK")))))))</f>
        <v/>
      </c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1" t="n"/>
      <c r="M267" s="11" t="n"/>
      <c r="N267" s="11" t="n"/>
      <c r="O267" s="12">
        <f>IF(L267="","",IFERROR(INDEX(DAFTAR_FIXTURE!$B$2:$B$51,MATCH(L267,DAFTAR_FIXTURE!$A$2:$A$51,0)),""))</f>
        <v/>
      </c>
      <c r="P267" s="12">
        <f>IF(AND($D267="",L267=""),"",IF(L267="",IF(AND(Q267="",V267=""),"Belum ditempatkan",""),IF(O267="","CEK ID FIXTURE tidak ada di DAFTAR_FIXTURE",IF(M267="","CEK ZONA NO kosong",IF(ISNA(MATCH(O267&amp;"|"&amp;M267,LAYOUT!$E$2:$E$80,0)),"CEK ZONA NO di luar layout",IF(N267&lt;&gt;INDEX(LAYOUT!$D$2:$D$80,MATCH(O267&amp;"|"&amp;M267,LAYOUT!$E$2:$E$80,0)),"CEK JENIS ZONA",IF($D267="","Zona STOCK",IF($E267="","CEK SKU DESCRIPTION kosong","OK"))))))))</f>
        <v/>
      </c>
      <c r="Q267" s="11" t="n"/>
      <c r="R267" s="11" t="n"/>
      <c r="S267" s="11" t="n"/>
      <c r="T267" s="12">
        <f>IF(Q267="","",IFERROR(INDEX(DAFTAR_FIXTURE!$B$2:$B$51,MATCH(Q267,DAFTAR_FIXTURE!$A$2:$A$51,0)),""))</f>
        <v/>
      </c>
      <c r="U267" s="12">
        <f>IF(Q267="","",IF(T267="","CEK ID FIXTURE tidak ada di DAFTAR_FIXTURE",IF(R267="","CEK ZONA NO kosong",IF(ISNA(MATCH(T267&amp;"|"&amp;R267,LAYOUT!$E$2:$E$80,0)),"CEK ZONA NO di luar layout",IF(S267&lt;&gt;INDEX(LAYOUT!$D$2:$D$80,MATCH(T267&amp;"|"&amp;R267,LAYOUT!$E$2:$E$80,0)),"CEK JENIS ZONA",IF($D267="","Zona STOCK",IF($E267="","CEK SKU DESCRIPTION kosong","OK")))))))</f>
        <v/>
      </c>
      <c r="V267" s="11" t="n"/>
      <c r="W267" s="11" t="n"/>
      <c r="X267" s="11" t="n"/>
      <c r="Y267" s="12">
        <f>IF(V267="","",IFERROR(INDEX(DAFTAR_FIXTURE!$B$2:$B$51,MATCH(V267,DAFTAR_FIXTURE!$A$2:$A$51,0)),""))</f>
        <v/>
      </c>
      <c r="Z267" s="12">
        <f>IF(V267="","",IF(Y267="","CEK ID FIXTURE tidak ada di DAFTAR_FIXTURE",IF(W267="","CEK ZONA NO kosong",IF(ISNA(MATCH(Y267&amp;"|"&amp;W267,LAYOUT!$E$2:$E$80,0)),"CEK ZONA NO di luar layout",IF(X267&lt;&gt;INDEX(LAYOUT!$D$2:$D$80,MATCH(Y267&amp;"|"&amp;W267,LAYOUT!$E$2:$E$80,0)),"CEK JENIS ZONA",IF($D267="","Zona STOCK",IF($E267="","CEK SKU DESCRIPTION kosong","OK")))))))</f>
        <v/>
      </c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1" t="n"/>
      <c r="M268" s="11" t="n"/>
      <c r="N268" s="11" t="n"/>
      <c r="O268" s="12">
        <f>IF(L268="","",IFERROR(INDEX(DAFTAR_FIXTURE!$B$2:$B$51,MATCH(L268,DAFTAR_FIXTURE!$A$2:$A$51,0)),""))</f>
        <v/>
      </c>
      <c r="P268" s="12">
        <f>IF(AND($D268="",L268=""),"",IF(L268="",IF(AND(Q268="",V268=""),"Belum ditempatkan",""),IF(O268="","CEK ID FIXTURE tidak ada di DAFTAR_FIXTURE",IF(M268="","CEK ZONA NO kosong",IF(ISNA(MATCH(O268&amp;"|"&amp;M268,LAYOUT!$E$2:$E$80,0)),"CEK ZONA NO di luar layout",IF(N268&lt;&gt;INDEX(LAYOUT!$D$2:$D$80,MATCH(O268&amp;"|"&amp;M268,LAYOUT!$E$2:$E$80,0)),"CEK JENIS ZONA",IF($D268="","Zona STOCK",IF($E268="","CEK SKU DESCRIPTION kosong","OK"))))))))</f>
        <v/>
      </c>
      <c r="Q268" s="11" t="n"/>
      <c r="R268" s="11" t="n"/>
      <c r="S268" s="11" t="n"/>
      <c r="T268" s="12">
        <f>IF(Q268="","",IFERROR(INDEX(DAFTAR_FIXTURE!$B$2:$B$51,MATCH(Q268,DAFTAR_FIXTURE!$A$2:$A$51,0)),""))</f>
        <v/>
      </c>
      <c r="U268" s="12">
        <f>IF(Q268="","",IF(T268="","CEK ID FIXTURE tidak ada di DAFTAR_FIXTURE",IF(R268="","CEK ZONA NO kosong",IF(ISNA(MATCH(T268&amp;"|"&amp;R268,LAYOUT!$E$2:$E$80,0)),"CEK ZONA NO di luar layout",IF(S268&lt;&gt;INDEX(LAYOUT!$D$2:$D$80,MATCH(T268&amp;"|"&amp;R268,LAYOUT!$E$2:$E$80,0)),"CEK JENIS ZONA",IF($D268="","Zona STOCK",IF($E268="","CEK SKU DESCRIPTION kosong","OK")))))))</f>
        <v/>
      </c>
      <c r="V268" s="11" t="n"/>
      <c r="W268" s="11" t="n"/>
      <c r="X268" s="11" t="n"/>
      <c r="Y268" s="12">
        <f>IF(V268="","",IFERROR(INDEX(DAFTAR_FIXTURE!$B$2:$B$51,MATCH(V268,DAFTAR_FIXTURE!$A$2:$A$51,0)),""))</f>
        <v/>
      </c>
      <c r="Z268" s="12">
        <f>IF(V268="","",IF(Y268="","CEK ID FIXTURE tidak ada di DAFTAR_FIXTURE",IF(W268="","CEK ZONA NO kosong",IF(ISNA(MATCH(Y268&amp;"|"&amp;W268,LAYOUT!$E$2:$E$80,0)),"CEK ZONA NO di luar layout",IF(X268&lt;&gt;INDEX(LAYOUT!$D$2:$D$80,MATCH(Y268&amp;"|"&amp;W268,LAYOUT!$E$2:$E$80,0)),"CEK JENIS ZONA",IF($D268="","Zona STOCK",IF($E268="","CEK SKU DESCRIPTION kosong","OK")))))))</f>
        <v/>
      </c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1" t="n"/>
      <c r="M269" s="11" t="n"/>
      <c r="N269" s="11" t="n"/>
      <c r="O269" s="12">
        <f>IF(L269="","",IFERROR(INDEX(DAFTAR_FIXTURE!$B$2:$B$51,MATCH(L269,DAFTAR_FIXTURE!$A$2:$A$51,0)),""))</f>
        <v/>
      </c>
      <c r="P269" s="12">
        <f>IF(AND($D269="",L269=""),"",IF(L269="",IF(AND(Q269="",V269=""),"Belum ditempatkan",""),IF(O269="","CEK ID FIXTURE tidak ada di DAFTAR_FIXTURE",IF(M269="","CEK ZONA NO kosong",IF(ISNA(MATCH(O269&amp;"|"&amp;M269,LAYOUT!$E$2:$E$80,0)),"CEK ZONA NO di luar layout",IF(N269&lt;&gt;INDEX(LAYOUT!$D$2:$D$80,MATCH(O269&amp;"|"&amp;M269,LAYOUT!$E$2:$E$80,0)),"CEK JENIS ZONA",IF($D269="","Zona STOCK",IF($E269="","CEK SKU DESCRIPTION kosong","OK"))))))))</f>
        <v/>
      </c>
      <c r="Q269" s="11" t="n"/>
      <c r="R269" s="11" t="n"/>
      <c r="S269" s="11" t="n"/>
      <c r="T269" s="12">
        <f>IF(Q269="","",IFERROR(INDEX(DAFTAR_FIXTURE!$B$2:$B$51,MATCH(Q269,DAFTAR_FIXTURE!$A$2:$A$51,0)),""))</f>
        <v/>
      </c>
      <c r="U269" s="12">
        <f>IF(Q269="","",IF(T269="","CEK ID FIXTURE tidak ada di DAFTAR_FIXTURE",IF(R269="","CEK ZONA NO kosong",IF(ISNA(MATCH(T269&amp;"|"&amp;R269,LAYOUT!$E$2:$E$80,0)),"CEK ZONA NO di luar layout",IF(S269&lt;&gt;INDEX(LAYOUT!$D$2:$D$80,MATCH(T269&amp;"|"&amp;R269,LAYOUT!$E$2:$E$80,0)),"CEK JENIS ZONA",IF($D269="","Zona STOCK",IF($E269="","CEK SKU DESCRIPTION kosong","OK")))))))</f>
        <v/>
      </c>
      <c r="V269" s="11" t="n"/>
      <c r="W269" s="11" t="n"/>
      <c r="X269" s="11" t="n"/>
      <c r="Y269" s="12">
        <f>IF(V269="","",IFERROR(INDEX(DAFTAR_FIXTURE!$B$2:$B$51,MATCH(V269,DAFTAR_FIXTURE!$A$2:$A$51,0)),""))</f>
        <v/>
      </c>
      <c r="Z269" s="12">
        <f>IF(V269="","",IF(Y269="","CEK ID FIXTURE tidak ada di DAFTAR_FIXTURE",IF(W269="","CEK ZONA NO kosong",IF(ISNA(MATCH(Y269&amp;"|"&amp;W269,LAYOUT!$E$2:$E$80,0)),"CEK ZONA NO di luar layout",IF(X269&lt;&gt;INDEX(LAYOUT!$D$2:$D$80,MATCH(Y269&amp;"|"&amp;W269,LAYOUT!$E$2:$E$80,0)),"CEK JENIS ZONA",IF($D269="","Zona STOCK",IF($E269="","CEK SKU DESCRIPTION kosong","OK")))))))</f>
        <v/>
      </c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1" t="n"/>
      <c r="M270" s="11" t="n"/>
      <c r="N270" s="11" t="n"/>
      <c r="O270" s="12">
        <f>IF(L270="","",IFERROR(INDEX(DAFTAR_FIXTURE!$B$2:$B$51,MATCH(L270,DAFTAR_FIXTURE!$A$2:$A$51,0)),""))</f>
        <v/>
      </c>
      <c r="P270" s="12">
        <f>IF(AND($D270="",L270=""),"",IF(L270="",IF(AND(Q270="",V270=""),"Belum ditempatkan",""),IF(O270="","CEK ID FIXTURE tidak ada di DAFTAR_FIXTURE",IF(M270="","CEK ZONA NO kosong",IF(ISNA(MATCH(O270&amp;"|"&amp;M270,LAYOUT!$E$2:$E$80,0)),"CEK ZONA NO di luar layout",IF(N270&lt;&gt;INDEX(LAYOUT!$D$2:$D$80,MATCH(O270&amp;"|"&amp;M270,LAYOUT!$E$2:$E$80,0)),"CEK JENIS ZONA",IF($D270="","Zona STOCK",IF($E270="","CEK SKU DESCRIPTION kosong","OK"))))))))</f>
        <v/>
      </c>
      <c r="Q270" s="11" t="n"/>
      <c r="R270" s="11" t="n"/>
      <c r="S270" s="11" t="n"/>
      <c r="T270" s="12">
        <f>IF(Q270="","",IFERROR(INDEX(DAFTAR_FIXTURE!$B$2:$B$51,MATCH(Q270,DAFTAR_FIXTURE!$A$2:$A$51,0)),""))</f>
        <v/>
      </c>
      <c r="U270" s="12">
        <f>IF(Q270="","",IF(T270="","CEK ID FIXTURE tidak ada di DAFTAR_FIXTURE",IF(R270="","CEK ZONA NO kosong",IF(ISNA(MATCH(T270&amp;"|"&amp;R270,LAYOUT!$E$2:$E$80,0)),"CEK ZONA NO di luar layout",IF(S270&lt;&gt;INDEX(LAYOUT!$D$2:$D$80,MATCH(T270&amp;"|"&amp;R270,LAYOUT!$E$2:$E$80,0)),"CEK JENIS ZONA",IF($D270="","Zona STOCK",IF($E270="","CEK SKU DESCRIPTION kosong","OK")))))))</f>
        <v/>
      </c>
      <c r="V270" s="11" t="n"/>
      <c r="W270" s="11" t="n"/>
      <c r="X270" s="11" t="n"/>
      <c r="Y270" s="12">
        <f>IF(V270="","",IFERROR(INDEX(DAFTAR_FIXTURE!$B$2:$B$51,MATCH(V270,DAFTAR_FIXTURE!$A$2:$A$51,0)),""))</f>
        <v/>
      </c>
      <c r="Z270" s="12">
        <f>IF(V270="","",IF(Y270="","CEK ID FIXTURE tidak ada di DAFTAR_FIXTURE",IF(W270="","CEK ZONA NO kosong",IF(ISNA(MATCH(Y270&amp;"|"&amp;W270,LAYOUT!$E$2:$E$80,0)),"CEK ZONA NO di luar layout",IF(X270&lt;&gt;INDEX(LAYOUT!$D$2:$D$80,MATCH(Y270&amp;"|"&amp;W270,LAYOUT!$E$2:$E$80,0)),"CEK JENIS ZONA",IF($D270="","Zona STOCK",IF($E270="","CEK SKU DESCRIPTION kosong","OK")))))))</f>
        <v/>
      </c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1" t="n"/>
      <c r="M271" s="11" t="n"/>
      <c r="N271" s="11" t="n"/>
      <c r="O271" s="12">
        <f>IF(L271="","",IFERROR(INDEX(DAFTAR_FIXTURE!$B$2:$B$51,MATCH(L271,DAFTAR_FIXTURE!$A$2:$A$51,0)),""))</f>
        <v/>
      </c>
      <c r="P271" s="12">
        <f>IF(AND($D271="",L271=""),"",IF(L271="",IF(AND(Q271="",V271=""),"Belum ditempatkan",""),IF(O271="","CEK ID FIXTURE tidak ada di DAFTAR_FIXTURE",IF(M271="","CEK ZONA NO kosong",IF(ISNA(MATCH(O271&amp;"|"&amp;M271,LAYOUT!$E$2:$E$80,0)),"CEK ZONA NO di luar layout",IF(N271&lt;&gt;INDEX(LAYOUT!$D$2:$D$80,MATCH(O271&amp;"|"&amp;M271,LAYOUT!$E$2:$E$80,0)),"CEK JENIS ZONA",IF($D271="","Zona STOCK",IF($E271="","CEK SKU DESCRIPTION kosong","OK"))))))))</f>
        <v/>
      </c>
      <c r="Q271" s="11" t="n"/>
      <c r="R271" s="11" t="n"/>
      <c r="S271" s="11" t="n"/>
      <c r="T271" s="12">
        <f>IF(Q271="","",IFERROR(INDEX(DAFTAR_FIXTURE!$B$2:$B$51,MATCH(Q271,DAFTAR_FIXTURE!$A$2:$A$51,0)),""))</f>
        <v/>
      </c>
      <c r="U271" s="12">
        <f>IF(Q271="","",IF(T271="","CEK ID FIXTURE tidak ada di DAFTAR_FIXTURE",IF(R271="","CEK ZONA NO kosong",IF(ISNA(MATCH(T271&amp;"|"&amp;R271,LAYOUT!$E$2:$E$80,0)),"CEK ZONA NO di luar layout",IF(S271&lt;&gt;INDEX(LAYOUT!$D$2:$D$80,MATCH(T271&amp;"|"&amp;R271,LAYOUT!$E$2:$E$80,0)),"CEK JENIS ZONA",IF($D271="","Zona STOCK",IF($E271="","CEK SKU DESCRIPTION kosong","OK")))))))</f>
        <v/>
      </c>
      <c r="V271" s="11" t="n"/>
      <c r="W271" s="11" t="n"/>
      <c r="X271" s="11" t="n"/>
      <c r="Y271" s="12">
        <f>IF(V271="","",IFERROR(INDEX(DAFTAR_FIXTURE!$B$2:$B$51,MATCH(V271,DAFTAR_FIXTURE!$A$2:$A$51,0)),""))</f>
        <v/>
      </c>
      <c r="Z271" s="12">
        <f>IF(V271="","",IF(Y271="","CEK ID FIXTURE tidak ada di DAFTAR_FIXTURE",IF(W271="","CEK ZONA NO kosong",IF(ISNA(MATCH(Y271&amp;"|"&amp;W271,LAYOUT!$E$2:$E$80,0)),"CEK ZONA NO di luar layout",IF(X271&lt;&gt;INDEX(LAYOUT!$D$2:$D$80,MATCH(Y271&amp;"|"&amp;W271,LAYOUT!$E$2:$E$80,0)),"CEK JENIS ZONA",IF($D271="","Zona STOCK",IF($E271="","CEK SKU DESCRIPTION kosong","OK")))))))</f>
        <v/>
      </c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1" t="n"/>
      <c r="M272" s="11" t="n"/>
      <c r="N272" s="11" t="n"/>
      <c r="O272" s="12">
        <f>IF(L272="","",IFERROR(INDEX(DAFTAR_FIXTURE!$B$2:$B$51,MATCH(L272,DAFTAR_FIXTURE!$A$2:$A$51,0)),""))</f>
        <v/>
      </c>
      <c r="P272" s="12">
        <f>IF(AND($D272="",L272=""),"",IF(L272="",IF(AND(Q272="",V272=""),"Belum ditempatkan",""),IF(O272="","CEK ID FIXTURE tidak ada di DAFTAR_FIXTURE",IF(M272="","CEK ZONA NO kosong",IF(ISNA(MATCH(O272&amp;"|"&amp;M272,LAYOUT!$E$2:$E$80,0)),"CEK ZONA NO di luar layout",IF(N272&lt;&gt;INDEX(LAYOUT!$D$2:$D$80,MATCH(O272&amp;"|"&amp;M272,LAYOUT!$E$2:$E$80,0)),"CEK JENIS ZONA",IF($D272="","Zona STOCK",IF($E272="","CEK SKU DESCRIPTION kosong","OK"))))))))</f>
        <v/>
      </c>
      <c r="Q272" s="11" t="n"/>
      <c r="R272" s="11" t="n"/>
      <c r="S272" s="11" t="n"/>
      <c r="T272" s="12">
        <f>IF(Q272="","",IFERROR(INDEX(DAFTAR_FIXTURE!$B$2:$B$51,MATCH(Q272,DAFTAR_FIXTURE!$A$2:$A$51,0)),""))</f>
        <v/>
      </c>
      <c r="U272" s="12">
        <f>IF(Q272="","",IF(T272="","CEK ID FIXTURE tidak ada di DAFTAR_FIXTURE",IF(R272="","CEK ZONA NO kosong",IF(ISNA(MATCH(T272&amp;"|"&amp;R272,LAYOUT!$E$2:$E$80,0)),"CEK ZONA NO di luar layout",IF(S272&lt;&gt;INDEX(LAYOUT!$D$2:$D$80,MATCH(T272&amp;"|"&amp;R272,LAYOUT!$E$2:$E$80,0)),"CEK JENIS ZONA",IF($D272="","Zona STOCK",IF($E272="","CEK SKU DESCRIPTION kosong","OK")))))))</f>
        <v/>
      </c>
      <c r="V272" s="11" t="n"/>
      <c r="W272" s="11" t="n"/>
      <c r="X272" s="11" t="n"/>
      <c r="Y272" s="12">
        <f>IF(V272="","",IFERROR(INDEX(DAFTAR_FIXTURE!$B$2:$B$51,MATCH(V272,DAFTAR_FIXTURE!$A$2:$A$51,0)),""))</f>
        <v/>
      </c>
      <c r="Z272" s="12">
        <f>IF(V272="","",IF(Y272="","CEK ID FIXTURE tidak ada di DAFTAR_FIXTURE",IF(W272="","CEK ZONA NO kosong",IF(ISNA(MATCH(Y272&amp;"|"&amp;W272,LAYOUT!$E$2:$E$80,0)),"CEK ZONA NO di luar layout",IF(X272&lt;&gt;INDEX(LAYOUT!$D$2:$D$80,MATCH(Y272&amp;"|"&amp;W272,LAYOUT!$E$2:$E$80,0)),"CEK JENIS ZONA",IF($D272="","Zona STOCK",IF($E272="","CEK SKU DESCRIPTION kosong","OK")))))))</f>
        <v/>
      </c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1" t="n"/>
      <c r="M273" s="11" t="n"/>
      <c r="N273" s="11" t="n"/>
      <c r="O273" s="12">
        <f>IF(L273="","",IFERROR(INDEX(DAFTAR_FIXTURE!$B$2:$B$51,MATCH(L273,DAFTAR_FIXTURE!$A$2:$A$51,0)),""))</f>
        <v/>
      </c>
      <c r="P273" s="12">
        <f>IF(AND($D273="",L273=""),"",IF(L273="",IF(AND(Q273="",V273=""),"Belum ditempatkan",""),IF(O273="","CEK ID FIXTURE tidak ada di DAFTAR_FIXTURE",IF(M273="","CEK ZONA NO kosong",IF(ISNA(MATCH(O273&amp;"|"&amp;M273,LAYOUT!$E$2:$E$80,0)),"CEK ZONA NO di luar layout",IF(N273&lt;&gt;INDEX(LAYOUT!$D$2:$D$80,MATCH(O273&amp;"|"&amp;M273,LAYOUT!$E$2:$E$80,0)),"CEK JENIS ZONA",IF($D273="","Zona STOCK",IF($E273="","CEK SKU DESCRIPTION kosong","OK"))))))))</f>
        <v/>
      </c>
      <c r="Q273" s="11" t="n"/>
      <c r="R273" s="11" t="n"/>
      <c r="S273" s="11" t="n"/>
      <c r="T273" s="12">
        <f>IF(Q273="","",IFERROR(INDEX(DAFTAR_FIXTURE!$B$2:$B$51,MATCH(Q273,DAFTAR_FIXTURE!$A$2:$A$51,0)),""))</f>
        <v/>
      </c>
      <c r="U273" s="12">
        <f>IF(Q273="","",IF(T273="","CEK ID FIXTURE tidak ada di DAFTAR_FIXTURE",IF(R273="","CEK ZONA NO kosong",IF(ISNA(MATCH(T273&amp;"|"&amp;R273,LAYOUT!$E$2:$E$80,0)),"CEK ZONA NO di luar layout",IF(S273&lt;&gt;INDEX(LAYOUT!$D$2:$D$80,MATCH(T273&amp;"|"&amp;R273,LAYOUT!$E$2:$E$80,0)),"CEK JENIS ZONA",IF($D273="","Zona STOCK",IF($E273="","CEK SKU DESCRIPTION kosong","OK")))))))</f>
        <v/>
      </c>
      <c r="V273" s="11" t="n"/>
      <c r="W273" s="11" t="n"/>
      <c r="X273" s="11" t="n"/>
      <c r="Y273" s="12">
        <f>IF(V273="","",IFERROR(INDEX(DAFTAR_FIXTURE!$B$2:$B$51,MATCH(V273,DAFTAR_FIXTURE!$A$2:$A$51,0)),""))</f>
        <v/>
      </c>
      <c r="Z273" s="12">
        <f>IF(V273="","",IF(Y273="","CEK ID FIXTURE tidak ada di DAFTAR_FIXTURE",IF(W273="","CEK ZONA NO kosong",IF(ISNA(MATCH(Y273&amp;"|"&amp;W273,LAYOUT!$E$2:$E$80,0)),"CEK ZONA NO di luar layout",IF(X273&lt;&gt;INDEX(LAYOUT!$D$2:$D$80,MATCH(Y273&amp;"|"&amp;W273,LAYOUT!$E$2:$E$80,0)),"CEK JENIS ZONA",IF($D273="","Zona STOCK",IF($E273="","CEK SKU DESCRIPTION kosong","OK")))))))</f>
        <v/>
      </c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1" t="n"/>
      <c r="M274" s="11" t="n"/>
      <c r="N274" s="11" t="n"/>
      <c r="O274" s="12">
        <f>IF(L274="","",IFERROR(INDEX(DAFTAR_FIXTURE!$B$2:$B$51,MATCH(L274,DAFTAR_FIXTURE!$A$2:$A$51,0)),""))</f>
        <v/>
      </c>
      <c r="P274" s="12">
        <f>IF(AND($D274="",L274=""),"",IF(L274="",IF(AND(Q274="",V274=""),"Belum ditempatkan",""),IF(O274="","CEK ID FIXTURE tidak ada di DAFTAR_FIXTURE",IF(M274="","CEK ZONA NO kosong",IF(ISNA(MATCH(O274&amp;"|"&amp;M274,LAYOUT!$E$2:$E$80,0)),"CEK ZONA NO di luar layout",IF(N274&lt;&gt;INDEX(LAYOUT!$D$2:$D$80,MATCH(O274&amp;"|"&amp;M274,LAYOUT!$E$2:$E$80,0)),"CEK JENIS ZONA",IF($D274="","Zona STOCK",IF($E274="","CEK SKU DESCRIPTION kosong","OK"))))))))</f>
        <v/>
      </c>
      <c r="Q274" s="11" t="n"/>
      <c r="R274" s="11" t="n"/>
      <c r="S274" s="11" t="n"/>
      <c r="T274" s="12">
        <f>IF(Q274="","",IFERROR(INDEX(DAFTAR_FIXTURE!$B$2:$B$51,MATCH(Q274,DAFTAR_FIXTURE!$A$2:$A$51,0)),""))</f>
        <v/>
      </c>
      <c r="U274" s="12">
        <f>IF(Q274="","",IF(T274="","CEK ID FIXTURE tidak ada di DAFTAR_FIXTURE",IF(R274="","CEK ZONA NO kosong",IF(ISNA(MATCH(T274&amp;"|"&amp;R274,LAYOUT!$E$2:$E$80,0)),"CEK ZONA NO di luar layout",IF(S274&lt;&gt;INDEX(LAYOUT!$D$2:$D$80,MATCH(T274&amp;"|"&amp;R274,LAYOUT!$E$2:$E$80,0)),"CEK JENIS ZONA",IF($D274="","Zona STOCK",IF($E274="","CEK SKU DESCRIPTION kosong","OK")))))))</f>
        <v/>
      </c>
      <c r="V274" s="11" t="n"/>
      <c r="W274" s="11" t="n"/>
      <c r="X274" s="11" t="n"/>
      <c r="Y274" s="12">
        <f>IF(V274="","",IFERROR(INDEX(DAFTAR_FIXTURE!$B$2:$B$51,MATCH(V274,DAFTAR_FIXTURE!$A$2:$A$51,0)),""))</f>
        <v/>
      </c>
      <c r="Z274" s="12">
        <f>IF(V274="","",IF(Y274="","CEK ID FIXTURE tidak ada di DAFTAR_FIXTURE",IF(W274="","CEK ZONA NO kosong",IF(ISNA(MATCH(Y274&amp;"|"&amp;W274,LAYOUT!$E$2:$E$80,0)),"CEK ZONA NO di luar layout",IF(X274&lt;&gt;INDEX(LAYOUT!$D$2:$D$80,MATCH(Y274&amp;"|"&amp;W274,LAYOUT!$E$2:$E$80,0)),"CEK JENIS ZONA",IF($D274="","Zona STOCK",IF($E274="","CEK SKU DESCRIPTION kosong","OK")))))))</f>
        <v/>
      </c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1" t="n"/>
      <c r="M275" s="11" t="n"/>
      <c r="N275" s="11" t="n"/>
      <c r="O275" s="12">
        <f>IF(L275="","",IFERROR(INDEX(DAFTAR_FIXTURE!$B$2:$B$51,MATCH(L275,DAFTAR_FIXTURE!$A$2:$A$51,0)),""))</f>
        <v/>
      </c>
      <c r="P275" s="12">
        <f>IF(AND($D275="",L275=""),"",IF(L275="",IF(AND(Q275="",V275=""),"Belum ditempatkan",""),IF(O275="","CEK ID FIXTURE tidak ada di DAFTAR_FIXTURE",IF(M275="","CEK ZONA NO kosong",IF(ISNA(MATCH(O275&amp;"|"&amp;M275,LAYOUT!$E$2:$E$80,0)),"CEK ZONA NO di luar layout",IF(N275&lt;&gt;INDEX(LAYOUT!$D$2:$D$80,MATCH(O275&amp;"|"&amp;M275,LAYOUT!$E$2:$E$80,0)),"CEK JENIS ZONA",IF($D275="","Zona STOCK",IF($E275="","CEK SKU DESCRIPTION kosong","OK"))))))))</f>
        <v/>
      </c>
      <c r="Q275" s="11" t="n"/>
      <c r="R275" s="11" t="n"/>
      <c r="S275" s="11" t="n"/>
      <c r="T275" s="12">
        <f>IF(Q275="","",IFERROR(INDEX(DAFTAR_FIXTURE!$B$2:$B$51,MATCH(Q275,DAFTAR_FIXTURE!$A$2:$A$51,0)),""))</f>
        <v/>
      </c>
      <c r="U275" s="12">
        <f>IF(Q275="","",IF(T275="","CEK ID FIXTURE tidak ada di DAFTAR_FIXTURE",IF(R275="","CEK ZONA NO kosong",IF(ISNA(MATCH(T275&amp;"|"&amp;R275,LAYOUT!$E$2:$E$80,0)),"CEK ZONA NO di luar layout",IF(S275&lt;&gt;INDEX(LAYOUT!$D$2:$D$80,MATCH(T275&amp;"|"&amp;R275,LAYOUT!$E$2:$E$80,0)),"CEK JENIS ZONA",IF($D275="","Zona STOCK",IF($E275="","CEK SKU DESCRIPTION kosong","OK")))))))</f>
        <v/>
      </c>
      <c r="V275" s="11" t="n"/>
      <c r="W275" s="11" t="n"/>
      <c r="X275" s="11" t="n"/>
      <c r="Y275" s="12">
        <f>IF(V275="","",IFERROR(INDEX(DAFTAR_FIXTURE!$B$2:$B$51,MATCH(V275,DAFTAR_FIXTURE!$A$2:$A$51,0)),""))</f>
        <v/>
      </c>
      <c r="Z275" s="12">
        <f>IF(V275="","",IF(Y275="","CEK ID FIXTURE tidak ada di DAFTAR_FIXTURE",IF(W275="","CEK ZONA NO kosong",IF(ISNA(MATCH(Y275&amp;"|"&amp;W275,LAYOUT!$E$2:$E$80,0)),"CEK ZONA NO di luar layout",IF(X275&lt;&gt;INDEX(LAYOUT!$D$2:$D$80,MATCH(Y275&amp;"|"&amp;W275,LAYOUT!$E$2:$E$80,0)),"CEK JENIS ZONA",IF($D275="","Zona STOCK",IF($E275="","CEK SKU DESCRIPTION kosong","OK")))))))</f>
        <v/>
      </c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1" t="n"/>
      <c r="M276" s="11" t="n"/>
      <c r="N276" s="11" t="n"/>
      <c r="O276" s="12">
        <f>IF(L276="","",IFERROR(INDEX(DAFTAR_FIXTURE!$B$2:$B$51,MATCH(L276,DAFTAR_FIXTURE!$A$2:$A$51,0)),""))</f>
        <v/>
      </c>
      <c r="P276" s="12">
        <f>IF(AND($D276="",L276=""),"",IF(L276="",IF(AND(Q276="",V276=""),"Belum ditempatkan",""),IF(O276="","CEK ID FIXTURE tidak ada di DAFTAR_FIXTURE",IF(M276="","CEK ZONA NO kosong",IF(ISNA(MATCH(O276&amp;"|"&amp;M276,LAYOUT!$E$2:$E$80,0)),"CEK ZONA NO di luar layout",IF(N276&lt;&gt;INDEX(LAYOUT!$D$2:$D$80,MATCH(O276&amp;"|"&amp;M276,LAYOUT!$E$2:$E$80,0)),"CEK JENIS ZONA",IF($D276="","Zona STOCK",IF($E276="","CEK SKU DESCRIPTION kosong","OK"))))))))</f>
        <v/>
      </c>
      <c r="Q276" s="11" t="n"/>
      <c r="R276" s="11" t="n"/>
      <c r="S276" s="11" t="n"/>
      <c r="T276" s="12">
        <f>IF(Q276="","",IFERROR(INDEX(DAFTAR_FIXTURE!$B$2:$B$51,MATCH(Q276,DAFTAR_FIXTURE!$A$2:$A$51,0)),""))</f>
        <v/>
      </c>
      <c r="U276" s="12">
        <f>IF(Q276="","",IF(T276="","CEK ID FIXTURE tidak ada di DAFTAR_FIXTURE",IF(R276="","CEK ZONA NO kosong",IF(ISNA(MATCH(T276&amp;"|"&amp;R276,LAYOUT!$E$2:$E$80,0)),"CEK ZONA NO di luar layout",IF(S276&lt;&gt;INDEX(LAYOUT!$D$2:$D$80,MATCH(T276&amp;"|"&amp;R276,LAYOUT!$E$2:$E$80,0)),"CEK JENIS ZONA",IF($D276="","Zona STOCK",IF($E276="","CEK SKU DESCRIPTION kosong","OK")))))))</f>
        <v/>
      </c>
      <c r="V276" s="11" t="n"/>
      <c r="W276" s="11" t="n"/>
      <c r="X276" s="11" t="n"/>
      <c r="Y276" s="12">
        <f>IF(V276="","",IFERROR(INDEX(DAFTAR_FIXTURE!$B$2:$B$51,MATCH(V276,DAFTAR_FIXTURE!$A$2:$A$51,0)),""))</f>
        <v/>
      </c>
      <c r="Z276" s="12">
        <f>IF(V276="","",IF(Y276="","CEK ID FIXTURE tidak ada di DAFTAR_FIXTURE",IF(W276="","CEK ZONA NO kosong",IF(ISNA(MATCH(Y276&amp;"|"&amp;W276,LAYOUT!$E$2:$E$80,0)),"CEK ZONA NO di luar layout",IF(X276&lt;&gt;INDEX(LAYOUT!$D$2:$D$80,MATCH(Y276&amp;"|"&amp;W276,LAYOUT!$E$2:$E$80,0)),"CEK JENIS ZONA",IF($D276="","Zona STOCK",IF($E276="","CEK SKU DESCRIPTION kosong","OK")))))))</f>
        <v/>
      </c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1" t="n"/>
      <c r="M277" s="11" t="n"/>
      <c r="N277" s="11" t="n"/>
      <c r="O277" s="12">
        <f>IF(L277="","",IFERROR(INDEX(DAFTAR_FIXTURE!$B$2:$B$51,MATCH(L277,DAFTAR_FIXTURE!$A$2:$A$51,0)),""))</f>
        <v/>
      </c>
      <c r="P277" s="12">
        <f>IF(AND($D277="",L277=""),"",IF(L277="",IF(AND(Q277="",V277=""),"Belum ditempatkan",""),IF(O277="","CEK ID FIXTURE tidak ada di DAFTAR_FIXTURE",IF(M277="","CEK ZONA NO kosong",IF(ISNA(MATCH(O277&amp;"|"&amp;M277,LAYOUT!$E$2:$E$80,0)),"CEK ZONA NO di luar layout",IF(N277&lt;&gt;INDEX(LAYOUT!$D$2:$D$80,MATCH(O277&amp;"|"&amp;M277,LAYOUT!$E$2:$E$80,0)),"CEK JENIS ZONA",IF($D277="","Zona STOCK",IF($E277="","CEK SKU DESCRIPTION kosong","OK"))))))))</f>
        <v/>
      </c>
      <c r="Q277" s="11" t="n"/>
      <c r="R277" s="11" t="n"/>
      <c r="S277" s="11" t="n"/>
      <c r="T277" s="12">
        <f>IF(Q277="","",IFERROR(INDEX(DAFTAR_FIXTURE!$B$2:$B$51,MATCH(Q277,DAFTAR_FIXTURE!$A$2:$A$51,0)),""))</f>
        <v/>
      </c>
      <c r="U277" s="12">
        <f>IF(Q277="","",IF(T277="","CEK ID FIXTURE tidak ada di DAFTAR_FIXTURE",IF(R277="","CEK ZONA NO kosong",IF(ISNA(MATCH(T277&amp;"|"&amp;R277,LAYOUT!$E$2:$E$80,0)),"CEK ZONA NO di luar layout",IF(S277&lt;&gt;INDEX(LAYOUT!$D$2:$D$80,MATCH(T277&amp;"|"&amp;R277,LAYOUT!$E$2:$E$80,0)),"CEK JENIS ZONA",IF($D277="","Zona STOCK",IF($E277="","CEK SKU DESCRIPTION kosong","OK")))))))</f>
        <v/>
      </c>
      <c r="V277" s="11" t="n"/>
      <c r="W277" s="11" t="n"/>
      <c r="X277" s="11" t="n"/>
      <c r="Y277" s="12">
        <f>IF(V277="","",IFERROR(INDEX(DAFTAR_FIXTURE!$B$2:$B$51,MATCH(V277,DAFTAR_FIXTURE!$A$2:$A$51,0)),""))</f>
        <v/>
      </c>
      <c r="Z277" s="12">
        <f>IF(V277="","",IF(Y277="","CEK ID FIXTURE tidak ada di DAFTAR_FIXTURE",IF(W277="","CEK ZONA NO kosong",IF(ISNA(MATCH(Y277&amp;"|"&amp;W277,LAYOUT!$E$2:$E$80,0)),"CEK ZONA NO di luar layout",IF(X277&lt;&gt;INDEX(LAYOUT!$D$2:$D$80,MATCH(Y277&amp;"|"&amp;W277,LAYOUT!$E$2:$E$80,0)),"CEK JENIS ZONA",IF($D277="","Zona STOCK",IF($E277="","CEK SKU DESCRIPTION kosong","OK")))))))</f>
        <v/>
      </c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1" t="n"/>
      <c r="M278" s="11" t="n"/>
      <c r="N278" s="11" t="n"/>
      <c r="O278" s="12">
        <f>IF(L278="","",IFERROR(INDEX(DAFTAR_FIXTURE!$B$2:$B$51,MATCH(L278,DAFTAR_FIXTURE!$A$2:$A$51,0)),""))</f>
        <v/>
      </c>
      <c r="P278" s="12">
        <f>IF(AND($D278="",L278=""),"",IF(L278="",IF(AND(Q278="",V278=""),"Belum ditempatkan",""),IF(O278="","CEK ID FIXTURE tidak ada di DAFTAR_FIXTURE",IF(M278="","CEK ZONA NO kosong",IF(ISNA(MATCH(O278&amp;"|"&amp;M278,LAYOUT!$E$2:$E$80,0)),"CEK ZONA NO di luar layout",IF(N278&lt;&gt;INDEX(LAYOUT!$D$2:$D$80,MATCH(O278&amp;"|"&amp;M278,LAYOUT!$E$2:$E$80,0)),"CEK JENIS ZONA",IF($D278="","Zona STOCK",IF($E278="","CEK SKU DESCRIPTION kosong","OK"))))))))</f>
        <v/>
      </c>
      <c r="Q278" s="11" t="n"/>
      <c r="R278" s="11" t="n"/>
      <c r="S278" s="11" t="n"/>
      <c r="T278" s="12">
        <f>IF(Q278="","",IFERROR(INDEX(DAFTAR_FIXTURE!$B$2:$B$51,MATCH(Q278,DAFTAR_FIXTURE!$A$2:$A$51,0)),""))</f>
        <v/>
      </c>
      <c r="U278" s="12">
        <f>IF(Q278="","",IF(T278="","CEK ID FIXTURE tidak ada di DAFTAR_FIXTURE",IF(R278="","CEK ZONA NO kosong",IF(ISNA(MATCH(T278&amp;"|"&amp;R278,LAYOUT!$E$2:$E$80,0)),"CEK ZONA NO di luar layout",IF(S278&lt;&gt;INDEX(LAYOUT!$D$2:$D$80,MATCH(T278&amp;"|"&amp;R278,LAYOUT!$E$2:$E$80,0)),"CEK JENIS ZONA",IF($D278="","Zona STOCK",IF($E278="","CEK SKU DESCRIPTION kosong","OK")))))))</f>
        <v/>
      </c>
      <c r="V278" s="11" t="n"/>
      <c r="W278" s="11" t="n"/>
      <c r="X278" s="11" t="n"/>
      <c r="Y278" s="12">
        <f>IF(V278="","",IFERROR(INDEX(DAFTAR_FIXTURE!$B$2:$B$51,MATCH(V278,DAFTAR_FIXTURE!$A$2:$A$51,0)),""))</f>
        <v/>
      </c>
      <c r="Z278" s="12">
        <f>IF(V278="","",IF(Y278="","CEK ID FIXTURE tidak ada di DAFTAR_FIXTURE",IF(W278="","CEK ZONA NO kosong",IF(ISNA(MATCH(Y278&amp;"|"&amp;W278,LAYOUT!$E$2:$E$80,0)),"CEK ZONA NO di luar layout",IF(X278&lt;&gt;INDEX(LAYOUT!$D$2:$D$80,MATCH(Y278&amp;"|"&amp;W278,LAYOUT!$E$2:$E$80,0)),"CEK JENIS ZONA",IF($D278="","Zona STOCK",IF($E278="","CEK SKU DESCRIPTION kosong","OK")))))))</f>
        <v/>
      </c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1" t="n"/>
      <c r="M279" s="11" t="n"/>
      <c r="N279" s="11" t="n"/>
      <c r="O279" s="12">
        <f>IF(L279="","",IFERROR(INDEX(DAFTAR_FIXTURE!$B$2:$B$51,MATCH(L279,DAFTAR_FIXTURE!$A$2:$A$51,0)),""))</f>
        <v/>
      </c>
      <c r="P279" s="12">
        <f>IF(AND($D279="",L279=""),"",IF(L279="",IF(AND(Q279="",V279=""),"Belum ditempatkan",""),IF(O279="","CEK ID FIXTURE tidak ada di DAFTAR_FIXTURE",IF(M279="","CEK ZONA NO kosong",IF(ISNA(MATCH(O279&amp;"|"&amp;M279,LAYOUT!$E$2:$E$80,0)),"CEK ZONA NO di luar layout",IF(N279&lt;&gt;INDEX(LAYOUT!$D$2:$D$80,MATCH(O279&amp;"|"&amp;M279,LAYOUT!$E$2:$E$80,0)),"CEK JENIS ZONA",IF($D279="","Zona STOCK",IF($E279="","CEK SKU DESCRIPTION kosong","OK"))))))))</f>
        <v/>
      </c>
      <c r="Q279" s="11" t="n"/>
      <c r="R279" s="11" t="n"/>
      <c r="S279" s="11" t="n"/>
      <c r="T279" s="12">
        <f>IF(Q279="","",IFERROR(INDEX(DAFTAR_FIXTURE!$B$2:$B$51,MATCH(Q279,DAFTAR_FIXTURE!$A$2:$A$51,0)),""))</f>
        <v/>
      </c>
      <c r="U279" s="12">
        <f>IF(Q279="","",IF(T279="","CEK ID FIXTURE tidak ada di DAFTAR_FIXTURE",IF(R279="","CEK ZONA NO kosong",IF(ISNA(MATCH(T279&amp;"|"&amp;R279,LAYOUT!$E$2:$E$80,0)),"CEK ZONA NO di luar layout",IF(S279&lt;&gt;INDEX(LAYOUT!$D$2:$D$80,MATCH(T279&amp;"|"&amp;R279,LAYOUT!$E$2:$E$80,0)),"CEK JENIS ZONA",IF($D279="","Zona STOCK",IF($E279="","CEK SKU DESCRIPTION kosong","OK")))))))</f>
        <v/>
      </c>
      <c r="V279" s="11" t="n"/>
      <c r="W279" s="11" t="n"/>
      <c r="X279" s="11" t="n"/>
      <c r="Y279" s="12">
        <f>IF(V279="","",IFERROR(INDEX(DAFTAR_FIXTURE!$B$2:$B$51,MATCH(V279,DAFTAR_FIXTURE!$A$2:$A$51,0)),""))</f>
        <v/>
      </c>
      <c r="Z279" s="12">
        <f>IF(V279="","",IF(Y279="","CEK ID FIXTURE tidak ada di DAFTAR_FIXTURE",IF(W279="","CEK ZONA NO kosong",IF(ISNA(MATCH(Y279&amp;"|"&amp;W279,LAYOUT!$E$2:$E$80,0)),"CEK ZONA NO di luar layout",IF(X279&lt;&gt;INDEX(LAYOUT!$D$2:$D$80,MATCH(Y279&amp;"|"&amp;W279,LAYOUT!$E$2:$E$80,0)),"CEK JENIS ZONA",IF($D279="","Zona STOCK",IF($E279="","CEK SKU DESCRIPTION kosong","OK")))))))</f>
        <v/>
      </c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1" t="n"/>
      <c r="M280" s="11" t="n"/>
      <c r="N280" s="11" t="n"/>
      <c r="O280" s="12">
        <f>IF(L280="","",IFERROR(INDEX(DAFTAR_FIXTURE!$B$2:$B$51,MATCH(L280,DAFTAR_FIXTURE!$A$2:$A$51,0)),""))</f>
        <v/>
      </c>
      <c r="P280" s="12">
        <f>IF(AND($D280="",L280=""),"",IF(L280="",IF(AND(Q280="",V280=""),"Belum ditempatkan",""),IF(O280="","CEK ID FIXTURE tidak ada di DAFTAR_FIXTURE",IF(M280="","CEK ZONA NO kosong",IF(ISNA(MATCH(O280&amp;"|"&amp;M280,LAYOUT!$E$2:$E$80,0)),"CEK ZONA NO di luar layout",IF(N280&lt;&gt;INDEX(LAYOUT!$D$2:$D$80,MATCH(O280&amp;"|"&amp;M280,LAYOUT!$E$2:$E$80,0)),"CEK JENIS ZONA",IF($D280="","Zona STOCK",IF($E280="","CEK SKU DESCRIPTION kosong","OK"))))))))</f>
        <v/>
      </c>
      <c r="Q280" s="11" t="n"/>
      <c r="R280" s="11" t="n"/>
      <c r="S280" s="11" t="n"/>
      <c r="T280" s="12">
        <f>IF(Q280="","",IFERROR(INDEX(DAFTAR_FIXTURE!$B$2:$B$51,MATCH(Q280,DAFTAR_FIXTURE!$A$2:$A$51,0)),""))</f>
        <v/>
      </c>
      <c r="U280" s="12">
        <f>IF(Q280="","",IF(T280="","CEK ID FIXTURE tidak ada di DAFTAR_FIXTURE",IF(R280="","CEK ZONA NO kosong",IF(ISNA(MATCH(T280&amp;"|"&amp;R280,LAYOUT!$E$2:$E$80,0)),"CEK ZONA NO di luar layout",IF(S280&lt;&gt;INDEX(LAYOUT!$D$2:$D$80,MATCH(T280&amp;"|"&amp;R280,LAYOUT!$E$2:$E$80,0)),"CEK JENIS ZONA",IF($D280="","Zona STOCK",IF($E280="","CEK SKU DESCRIPTION kosong","OK")))))))</f>
        <v/>
      </c>
      <c r="V280" s="11" t="n"/>
      <c r="W280" s="11" t="n"/>
      <c r="X280" s="11" t="n"/>
      <c r="Y280" s="12">
        <f>IF(V280="","",IFERROR(INDEX(DAFTAR_FIXTURE!$B$2:$B$51,MATCH(V280,DAFTAR_FIXTURE!$A$2:$A$51,0)),""))</f>
        <v/>
      </c>
      <c r="Z280" s="12">
        <f>IF(V280="","",IF(Y280="","CEK ID FIXTURE tidak ada di DAFTAR_FIXTURE",IF(W280="","CEK ZONA NO kosong",IF(ISNA(MATCH(Y280&amp;"|"&amp;W280,LAYOUT!$E$2:$E$80,0)),"CEK ZONA NO di luar layout",IF(X280&lt;&gt;INDEX(LAYOUT!$D$2:$D$80,MATCH(Y280&amp;"|"&amp;W280,LAYOUT!$E$2:$E$80,0)),"CEK JENIS ZONA",IF($D280="","Zona STOCK",IF($E280="","CEK SKU DESCRIPTION kosong","OK")))))))</f>
        <v/>
      </c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1" t="n"/>
      <c r="M281" s="11" t="n"/>
      <c r="N281" s="11" t="n"/>
      <c r="O281" s="12">
        <f>IF(L281="","",IFERROR(INDEX(DAFTAR_FIXTURE!$B$2:$B$51,MATCH(L281,DAFTAR_FIXTURE!$A$2:$A$51,0)),""))</f>
        <v/>
      </c>
      <c r="P281" s="12">
        <f>IF(AND($D281="",L281=""),"",IF(L281="",IF(AND(Q281="",V281=""),"Belum ditempatkan",""),IF(O281="","CEK ID FIXTURE tidak ada di DAFTAR_FIXTURE",IF(M281="","CEK ZONA NO kosong",IF(ISNA(MATCH(O281&amp;"|"&amp;M281,LAYOUT!$E$2:$E$80,0)),"CEK ZONA NO di luar layout",IF(N281&lt;&gt;INDEX(LAYOUT!$D$2:$D$80,MATCH(O281&amp;"|"&amp;M281,LAYOUT!$E$2:$E$80,0)),"CEK JENIS ZONA",IF($D281="","Zona STOCK",IF($E281="","CEK SKU DESCRIPTION kosong","OK"))))))))</f>
        <v/>
      </c>
      <c r="Q281" s="11" t="n"/>
      <c r="R281" s="11" t="n"/>
      <c r="S281" s="11" t="n"/>
      <c r="T281" s="12">
        <f>IF(Q281="","",IFERROR(INDEX(DAFTAR_FIXTURE!$B$2:$B$51,MATCH(Q281,DAFTAR_FIXTURE!$A$2:$A$51,0)),""))</f>
        <v/>
      </c>
      <c r="U281" s="12">
        <f>IF(Q281="","",IF(T281="","CEK ID FIXTURE tidak ada di DAFTAR_FIXTURE",IF(R281="","CEK ZONA NO kosong",IF(ISNA(MATCH(T281&amp;"|"&amp;R281,LAYOUT!$E$2:$E$80,0)),"CEK ZONA NO di luar layout",IF(S281&lt;&gt;INDEX(LAYOUT!$D$2:$D$80,MATCH(T281&amp;"|"&amp;R281,LAYOUT!$E$2:$E$80,0)),"CEK JENIS ZONA",IF($D281="","Zona STOCK",IF($E281="","CEK SKU DESCRIPTION kosong","OK")))))))</f>
        <v/>
      </c>
      <c r="V281" s="11" t="n"/>
      <c r="W281" s="11" t="n"/>
      <c r="X281" s="11" t="n"/>
      <c r="Y281" s="12">
        <f>IF(V281="","",IFERROR(INDEX(DAFTAR_FIXTURE!$B$2:$B$51,MATCH(V281,DAFTAR_FIXTURE!$A$2:$A$51,0)),""))</f>
        <v/>
      </c>
      <c r="Z281" s="12">
        <f>IF(V281="","",IF(Y281="","CEK ID FIXTURE tidak ada di DAFTAR_FIXTURE",IF(W281="","CEK ZONA NO kosong",IF(ISNA(MATCH(Y281&amp;"|"&amp;W281,LAYOUT!$E$2:$E$80,0)),"CEK ZONA NO di luar layout",IF(X281&lt;&gt;INDEX(LAYOUT!$D$2:$D$80,MATCH(Y281&amp;"|"&amp;W281,LAYOUT!$E$2:$E$80,0)),"CEK JENIS ZONA",IF($D281="","Zona STOCK",IF($E281="","CEK SKU DESCRIPTION kosong","OK")))))))</f>
        <v/>
      </c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1" t="n"/>
      <c r="M282" s="11" t="n"/>
      <c r="N282" s="11" t="n"/>
      <c r="O282" s="12">
        <f>IF(L282="","",IFERROR(INDEX(DAFTAR_FIXTURE!$B$2:$B$51,MATCH(L282,DAFTAR_FIXTURE!$A$2:$A$51,0)),""))</f>
        <v/>
      </c>
      <c r="P282" s="12">
        <f>IF(AND($D282="",L282=""),"",IF(L282="",IF(AND(Q282="",V282=""),"Belum ditempatkan",""),IF(O282="","CEK ID FIXTURE tidak ada di DAFTAR_FIXTURE",IF(M282="","CEK ZONA NO kosong",IF(ISNA(MATCH(O282&amp;"|"&amp;M282,LAYOUT!$E$2:$E$80,0)),"CEK ZONA NO di luar layout",IF(N282&lt;&gt;INDEX(LAYOUT!$D$2:$D$80,MATCH(O282&amp;"|"&amp;M282,LAYOUT!$E$2:$E$80,0)),"CEK JENIS ZONA",IF($D282="","Zona STOCK",IF($E282="","CEK SKU DESCRIPTION kosong","OK"))))))))</f>
        <v/>
      </c>
      <c r="Q282" s="11" t="n"/>
      <c r="R282" s="11" t="n"/>
      <c r="S282" s="11" t="n"/>
      <c r="T282" s="12">
        <f>IF(Q282="","",IFERROR(INDEX(DAFTAR_FIXTURE!$B$2:$B$51,MATCH(Q282,DAFTAR_FIXTURE!$A$2:$A$51,0)),""))</f>
        <v/>
      </c>
      <c r="U282" s="12">
        <f>IF(Q282="","",IF(T282="","CEK ID FIXTURE tidak ada di DAFTAR_FIXTURE",IF(R282="","CEK ZONA NO kosong",IF(ISNA(MATCH(T282&amp;"|"&amp;R282,LAYOUT!$E$2:$E$80,0)),"CEK ZONA NO di luar layout",IF(S282&lt;&gt;INDEX(LAYOUT!$D$2:$D$80,MATCH(T282&amp;"|"&amp;R282,LAYOUT!$E$2:$E$80,0)),"CEK JENIS ZONA",IF($D282="","Zona STOCK",IF($E282="","CEK SKU DESCRIPTION kosong","OK")))))))</f>
        <v/>
      </c>
      <c r="V282" s="11" t="n"/>
      <c r="W282" s="11" t="n"/>
      <c r="X282" s="11" t="n"/>
      <c r="Y282" s="12">
        <f>IF(V282="","",IFERROR(INDEX(DAFTAR_FIXTURE!$B$2:$B$51,MATCH(V282,DAFTAR_FIXTURE!$A$2:$A$51,0)),""))</f>
        <v/>
      </c>
      <c r="Z282" s="12">
        <f>IF(V282="","",IF(Y282="","CEK ID FIXTURE tidak ada di DAFTAR_FIXTURE",IF(W282="","CEK ZONA NO kosong",IF(ISNA(MATCH(Y282&amp;"|"&amp;W282,LAYOUT!$E$2:$E$80,0)),"CEK ZONA NO di luar layout",IF(X282&lt;&gt;INDEX(LAYOUT!$D$2:$D$80,MATCH(Y282&amp;"|"&amp;W282,LAYOUT!$E$2:$E$80,0)),"CEK JENIS ZONA",IF($D282="","Zona STOCK",IF($E282="","CEK SKU DESCRIPTION kosong","OK")))))))</f>
        <v/>
      </c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1" t="n"/>
      <c r="M283" s="11" t="n"/>
      <c r="N283" s="11" t="n"/>
      <c r="O283" s="12">
        <f>IF(L283="","",IFERROR(INDEX(DAFTAR_FIXTURE!$B$2:$B$51,MATCH(L283,DAFTAR_FIXTURE!$A$2:$A$51,0)),""))</f>
        <v/>
      </c>
      <c r="P283" s="12">
        <f>IF(AND($D283="",L283=""),"",IF(L283="",IF(AND(Q283="",V283=""),"Belum ditempatkan",""),IF(O283="","CEK ID FIXTURE tidak ada di DAFTAR_FIXTURE",IF(M283="","CEK ZONA NO kosong",IF(ISNA(MATCH(O283&amp;"|"&amp;M283,LAYOUT!$E$2:$E$80,0)),"CEK ZONA NO di luar layout",IF(N283&lt;&gt;INDEX(LAYOUT!$D$2:$D$80,MATCH(O283&amp;"|"&amp;M283,LAYOUT!$E$2:$E$80,0)),"CEK JENIS ZONA",IF($D283="","Zona STOCK",IF($E283="","CEK SKU DESCRIPTION kosong","OK"))))))))</f>
        <v/>
      </c>
      <c r="Q283" s="11" t="n"/>
      <c r="R283" s="11" t="n"/>
      <c r="S283" s="11" t="n"/>
      <c r="T283" s="12">
        <f>IF(Q283="","",IFERROR(INDEX(DAFTAR_FIXTURE!$B$2:$B$51,MATCH(Q283,DAFTAR_FIXTURE!$A$2:$A$51,0)),""))</f>
        <v/>
      </c>
      <c r="U283" s="12">
        <f>IF(Q283="","",IF(T283="","CEK ID FIXTURE tidak ada di DAFTAR_FIXTURE",IF(R283="","CEK ZONA NO kosong",IF(ISNA(MATCH(T283&amp;"|"&amp;R283,LAYOUT!$E$2:$E$80,0)),"CEK ZONA NO di luar layout",IF(S283&lt;&gt;INDEX(LAYOUT!$D$2:$D$80,MATCH(T283&amp;"|"&amp;R283,LAYOUT!$E$2:$E$80,0)),"CEK JENIS ZONA",IF($D283="","Zona STOCK",IF($E283="","CEK SKU DESCRIPTION kosong","OK")))))))</f>
        <v/>
      </c>
      <c r="V283" s="11" t="n"/>
      <c r="W283" s="11" t="n"/>
      <c r="X283" s="11" t="n"/>
      <c r="Y283" s="12">
        <f>IF(V283="","",IFERROR(INDEX(DAFTAR_FIXTURE!$B$2:$B$51,MATCH(V283,DAFTAR_FIXTURE!$A$2:$A$51,0)),""))</f>
        <v/>
      </c>
      <c r="Z283" s="12">
        <f>IF(V283="","",IF(Y283="","CEK ID FIXTURE tidak ada di DAFTAR_FIXTURE",IF(W283="","CEK ZONA NO kosong",IF(ISNA(MATCH(Y283&amp;"|"&amp;W283,LAYOUT!$E$2:$E$80,0)),"CEK ZONA NO di luar layout",IF(X283&lt;&gt;INDEX(LAYOUT!$D$2:$D$80,MATCH(Y283&amp;"|"&amp;W283,LAYOUT!$E$2:$E$80,0)),"CEK JENIS ZONA",IF($D283="","Zona STOCK",IF($E283="","CEK SKU DESCRIPTION kosong","OK")))))))</f>
        <v/>
      </c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1" t="n"/>
      <c r="M284" s="11" t="n"/>
      <c r="N284" s="11" t="n"/>
      <c r="O284" s="12">
        <f>IF(L284="","",IFERROR(INDEX(DAFTAR_FIXTURE!$B$2:$B$51,MATCH(L284,DAFTAR_FIXTURE!$A$2:$A$51,0)),""))</f>
        <v/>
      </c>
      <c r="P284" s="12">
        <f>IF(AND($D284="",L284=""),"",IF(L284="",IF(AND(Q284="",V284=""),"Belum ditempatkan",""),IF(O284="","CEK ID FIXTURE tidak ada di DAFTAR_FIXTURE",IF(M284="","CEK ZONA NO kosong",IF(ISNA(MATCH(O284&amp;"|"&amp;M284,LAYOUT!$E$2:$E$80,0)),"CEK ZONA NO di luar layout",IF(N284&lt;&gt;INDEX(LAYOUT!$D$2:$D$80,MATCH(O284&amp;"|"&amp;M284,LAYOUT!$E$2:$E$80,0)),"CEK JENIS ZONA",IF($D284="","Zona STOCK",IF($E284="","CEK SKU DESCRIPTION kosong","OK"))))))))</f>
        <v/>
      </c>
      <c r="Q284" s="11" t="n"/>
      <c r="R284" s="11" t="n"/>
      <c r="S284" s="11" t="n"/>
      <c r="T284" s="12">
        <f>IF(Q284="","",IFERROR(INDEX(DAFTAR_FIXTURE!$B$2:$B$51,MATCH(Q284,DAFTAR_FIXTURE!$A$2:$A$51,0)),""))</f>
        <v/>
      </c>
      <c r="U284" s="12">
        <f>IF(Q284="","",IF(T284="","CEK ID FIXTURE tidak ada di DAFTAR_FIXTURE",IF(R284="","CEK ZONA NO kosong",IF(ISNA(MATCH(T284&amp;"|"&amp;R284,LAYOUT!$E$2:$E$80,0)),"CEK ZONA NO di luar layout",IF(S284&lt;&gt;INDEX(LAYOUT!$D$2:$D$80,MATCH(T284&amp;"|"&amp;R284,LAYOUT!$E$2:$E$80,0)),"CEK JENIS ZONA",IF($D284="","Zona STOCK",IF($E284="","CEK SKU DESCRIPTION kosong","OK")))))))</f>
        <v/>
      </c>
      <c r="V284" s="11" t="n"/>
      <c r="W284" s="11" t="n"/>
      <c r="X284" s="11" t="n"/>
      <c r="Y284" s="12">
        <f>IF(V284="","",IFERROR(INDEX(DAFTAR_FIXTURE!$B$2:$B$51,MATCH(V284,DAFTAR_FIXTURE!$A$2:$A$51,0)),""))</f>
        <v/>
      </c>
      <c r="Z284" s="12">
        <f>IF(V284="","",IF(Y284="","CEK ID FIXTURE tidak ada di DAFTAR_FIXTURE",IF(W284="","CEK ZONA NO kosong",IF(ISNA(MATCH(Y284&amp;"|"&amp;W284,LAYOUT!$E$2:$E$80,0)),"CEK ZONA NO di luar layout",IF(X284&lt;&gt;INDEX(LAYOUT!$D$2:$D$80,MATCH(Y284&amp;"|"&amp;W284,LAYOUT!$E$2:$E$80,0)),"CEK JENIS ZONA",IF($D284="","Zona STOCK",IF($E284="","CEK SKU DESCRIPTION kosong","OK")))))))</f>
        <v/>
      </c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1" t="n"/>
      <c r="M285" s="11" t="n"/>
      <c r="N285" s="11" t="n"/>
      <c r="O285" s="12">
        <f>IF(L285="","",IFERROR(INDEX(DAFTAR_FIXTURE!$B$2:$B$51,MATCH(L285,DAFTAR_FIXTURE!$A$2:$A$51,0)),""))</f>
        <v/>
      </c>
      <c r="P285" s="12">
        <f>IF(AND($D285="",L285=""),"",IF(L285="",IF(AND(Q285="",V285=""),"Belum ditempatkan",""),IF(O285="","CEK ID FIXTURE tidak ada di DAFTAR_FIXTURE",IF(M285="","CEK ZONA NO kosong",IF(ISNA(MATCH(O285&amp;"|"&amp;M285,LAYOUT!$E$2:$E$80,0)),"CEK ZONA NO di luar layout",IF(N285&lt;&gt;INDEX(LAYOUT!$D$2:$D$80,MATCH(O285&amp;"|"&amp;M285,LAYOUT!$E$2:$E$80,0)),"CEK JENIS ZONA",IF($D285="","Zona STOCK",IF($E285="","CEK SKU DESCRIPTION kosong","OK"))))))))</f>
        <v/>
      </c>
      <c r="Q285" s="11" t="n"/>
      <c r="R285" s="11" t="n"/>
      <c r="S285" s="11" t="n"/>
      <c r="T285" s="12">
        <f>IF(Q285="","",IFERROR(INDEX(DAFTAR_FIXTURE!$B$2:$B$51,MATCH(Q285,DAFTAR_FIXTURE!$A$2:$A$51,0)),""))</f>
        <v/>
      </c>
      <c r="U285" s="12">
        <f>IF(Q285="","",IF(T285="","CEK ID FIXTURE tidak ada di DAFTAR_FIXTURE",IF(R285="","CEK ZONA NO kosong",IF(ISNA(MATCH(T285&amp;"|"&amp;R285,LAYOUT!$E$2:$E$80,0)),"CEK ZONA NO di luar layout",IF(S285&lt;&gt;INDEX(LAYOUT!$D$2:$D$80,MATCH(T285&amp;"|"&amp;R285,LAYOUT!$E$2:$E$80,0)),"CEK JENIS ZONA",IF($D285="","Zona STOCK",IF($E285="","CEK SKU DESCRIPTION kosong","OK")))))))</f>
        <v/>
      </c>
      <c r="V285" s="11" t="n"/>
      <c r="W285" s="11" t="n"/>
      <c r="X285" s="11" t="n"/>
      <c r="Y285" s="12">
        <f>IF(V285="","",IFERROR(INDEX(DAFTAR_FIXTURE!$B$2:$B$51,MATCH(V285,DAFTAR_FIXTURE!$A$2:$A$51,0)),""))</f>
        <v/>
      </c>
      <c r="Z285" s="12">
        <f>IF(V285="","",IF(Y285="","CEK ID FIXTURE tidak ada di DAFTAR_FIXTURE",IF(W285="","CEK ZONA NO kosong",IF(ISNA(MATCH(Y285&amp;"|"&amp;W285,LAYOUT!$E$2:$E$80,0)),"CEK ZONA NO di luar layout",IF(X285&lt;&gt;INDEX(LAYOUT!$D$2:$D$80,MATCH(Y285&amp;"|"&amp;W285,LAYOUT!$E$2:$E$80,0)),"CEK JENIS ZONA",IF($D285="","Zona STOCK",IF($E285="","CEK SKU DESCRIPTION kosong","OK")))))))</f>
        <v/>
      </c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1" t="n"/>
      <c r="M286" s="11" t="n"/>
      <c r="N286" s="11" t="n"/>
      <c r="O286" s="12">
        <f>IF(L286="","",IFERROR(INDEX(DAFTAR_FIXTURE!$B$2:$B$51,MATCH(L286,DAFTAR_FIXTURE!$A$2:$A$51,0)),""))</f>
        <v/>
      </c>
      <c r="P286" s="12">
        <f>IF(AND($D286="",L286=""),"",IF(L286="",IF(AND(Q286="",V286=""),"Belum ditempatkan",""),IF(O286="","CEK ID FIXTURE tidak ada di DAFTAR_FIXTURE",IF(M286="","CEK ZONA NO kosong",IF(ISNA(MATCH(O286&amp;"|"&amp;M286,LAYOUT!$E$2:$E$80,0)),"CEK ZONA NO di luar layout",IF(N286&lt;&gt;INDEX(LAYOUT!$D$2:$D$80,MATCH(O286&amp;"|"&amp;M286,LAYOUT!$E$2:$E$80,0)),"CEK JENIS ZONA",IF($D286="","Zona STOCK",IF($E286="","CEK SKU DESCRIPTION kosong","OK"))))))))</f>
        <v/>
      </c>
      <c r="Q286" s="11" t="n"/>
      <c r="R286" s="11" t="n"/>
      <c r="S286" s="11" t="n"/>
      <c r="T286" s="12">
        <f>IF(Q286="","",IFERROR(INDEX(DAFTAR_FIXTURE!$B$2:$B$51,MATCH(Q286,DAFTAR_FIXTURE!$A$2:$A$51,0)),""))</f>
        <v/>
      </c>
      <c r="U286" s="12">
        <f>IF(Q286="","",IF(T286="","CEK ID FIXTURE tidak ada di DAFTAR_FIXTURE",IF(R286="","CEK ZONA NO kosong",IF(ISNA(MATCH(T286&amp;"|"&amp;R286,LAYOUT!$E$2:$E$80,0)),"CEK ZONA NO di luar layout",IF(S286&lt;&gt;INDEX(LAYOUT!$D$2:$D$80,MATCH(T286&amp;"|"&amp;R286,LAYOUT!$E$2:$E$80,0)),"CEK JENIS ZONA",IF($D286="","Zona STOCK",IF($E286="","CEK SKU DESCRIPTION kosong","OK")))))))</f>
        <v/>
      </c>
      <c r="V286" s="11" t="n"/>
      <c r="W286" s="11" t="n"/>
      <c r="X286" s="11" t="n"/>
      <c r="Y286" s="12">
        <f>IF(V286="","",IFERROR(INDEX(DAFTAR_FIXTURE!$B$2:$B$51,MATCH(V286,DAFTAR_FIXTURE!$A$2:$A$51,0)),""))</f>
        <v/>
      </c>
      <c r="Z286" s="12">
        <f>IF(V286="","",IF(Y286="","CEK ID FIXTURE tidak ada di DAFTAR_FIXTURE",IF(W286="","CEK ZONA NO kosong",IF(ISNA(MATCH(Y286&amp;"|"&amp;W286,LAYOUT!$E$2:$E$80,0)),"CEK ZONA NO di luar layout",IF(X286&lt;&gt;INDEX(LAYOUT!$D$2:$D$80,MATCH(Y286&amp;"|"&amp;W286,LAYOUT!$E$2:$E$80,0)),"CEK JENIS ZONA",IF($D286="","Zona STOCK",IF($E286="","CEK SKU DESCRIPTION kosong","OK")))))))</f>
        <v/>
      </c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1" t="n"/>
      <c r="M287" s="11" t="n"/>
      <c r="N287" s="11" t="n"/>
      <c r="O287" s="12">
        <f>IF(L287="","",IFERROR(INDEX(DAFTAR_FIXTURE!$B$2:$B$51,MATCH(L287,DAFTAR_FIXTURE!$A$2:$A$51,0)),""))</f>
        <v/>
      </c>
      <c r="P287" s="12">
        <f>IF(AND($D287="",L287=""),"",IF(L287="",IF(AND(Q287="",V287=""),"Belum ditempatkan",""),IF(O287="","CEK ID FIXTURE tidak ada di DAFTAR_FIXTURE",IF(M287="","CEK ZONA NO kosong",IF(ISNA(MATCH(O287&amp;"|"&amp;M287,LAYOUT!$E$2:$E$80,0)),"CEK ZONA NO di luar layout",IF(N287&lt;&gt;INDEX(LAYOUT!$D$2:$D$80,MATCH(O287&amp;"|"&amp;M287,LAYOUT!$E$2:$E$80,0)),"CEK JENIS ZONA",IF($D287="","Zona STOCK",IF($E287="","CEK SKU DESCRIPTION kosong","OK"))))))))</f>
        <v/>
      </c>
      <c r="Q287" s="11" t="n"/>
      <c r="R287" s="11" t="n"/>
      <c r="S287" s="11" t="n"/>
      <c r="T287" s="12">
        <f>IF(Q287="","",IFERROR(INDEX(DAFTAR_FIXTURE!$B$2:$B$51,MATCH(Q287,DAFTAR_FIXTURE!$A$2:$A$51,0)),""))</f>
        <v/>
      </c>
      <c r="U287" s="12">
        <f>IF(Q287="","",IF(T287="","CEK ID FIXTURE tidak ada di DAFTAR_FIXTURE",IF(R287="","CEK ZONA NO kosong",IF(ISNA(MATCH(T287&amp;"|"&amp;R287,LAYOUT!$E$2:$E$80,0)),"CEK ZONA NO di luar layout",IF(S287&lt;&gt;INDEX(LAYOUT!$D$2:$D$80,MATCH(T287&amp;"|"&amp;R287,LAYOUT!$E$2:$E$80,0)),"CEK JENIS ZONA",IF($D287="","Zona STOCK",IF($E287="","CEK SKU DESCRIPTION kosong","OK")))))))</f>
        <v/>
      </c>
      <c r="V287" s="11" t="n"/>
      <c r="W287" s="11" t="n"/>
      <c r="X287" s="11" t="n"/>
      <c r="Y287" s="12">
        <f>IF(V287="","",IFERROR(INDEX(DAFTAR_FIXTURE!$B$2:$B$51,MATCH(V287,DAFTAR_FIXTURE!$A$2:$A$51,0)),""))</f>
        <v/>
      </c>
      <c r="Z287" s="12">
        <f>IF(V287="","",IF(Y287="","CEK ID FIXTURE tidak ada di DAFTAR_FIXTURE",IF(W287="","CEK ZONA NO kosong",IF(ISNA(MATCH(Y287&amp;"|"&amp;W287,LAYOUT!$E$2:$E$80,0)),"CEK ZONA NO di luar layout",IF(X287&lt;&gt;INDEX(LAYOUT!$D$2:$D$80,MATCH(Y287&amp;"|"&amp;W287,LAYOUT!$E$2:$E$80,0)),"CEK JENIS ZONA",IF($D287="","Zona STOCK",IF($E287="","CEK SKU DESCRIPTION kosong","OK")))))))</f>
        <v/>
      </c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1" t="n"/>
      <c r="M288" s="11" t="n"/>
      <c r="N288" s="11" t="n"/>
      <c r="O288" s="12">
        <f>IF(L288="","",IFERROR(INDEX(DAFTAR_FIXTURE!$B$2:$B$51,MATCH(L288,DAFTAR_FIXTURE!$A$2:$A$51,0)),""))</f>
        <v/>
      </c>
      <c r="P288" s="12">
        <f>IF(AND($D288="",L288=""),"",IF(L288="",IF(AND(Q288="",V288=""),"Belum ditempatkan",""),IF(O288="","CEK ID FIXTURE tidak ada di DAFTAR_FIXTURE",IF(M288="","CEK ZONA NO kosong",IF(ISNA(MATCH(O288&amp;"|"&amp;M288,LAYOUT!$E$2:$E$80,0)),"CEK ZONA NO di luar layout",IF(N288&lt;&gt;INDEX(LAYOUT!$D$2:$D$80,MATCH(O288&amp;"|"&amp;M288,LAYOUT!$E$2:$E$80,0)),"CEK JENIS ZONA",IF($D288="","Zona STOCK",IF($E288="","CEK SKU DESCRIPTION kosong","OK"))))))))</f>
        <v/>
      </c>
      <c r="Q288" s="11" t="n"/>
      <c r="R288" s="11" t="n"/>
      <c r="S288" s="11" t="n"/>
      <c r="T288" s="12">
        <f>IF(Q288="","",IFERROR(INDEX(DAFTAR_FIXTURE!$B$2:$B$51,MATCH(Q288,DAFTAR_FIXTURE!$A$2:$A$51,0)),""))</f>
        <v/>
      </c>
      <c r="U288" s="12">
        <f>IF(Q288="","",IF(T288="","CEK ID FIXTURE tidak ada di DAFTAR_FIXTURE",IF(R288="","CEK ZONA NO kosong",IF(ISNA(MATCH(T288&amp;"|"&amp;R288,LAYOUT!$E$2:$E$80,0)),"CEK ZONA NO di luar layout",IF(S288&lt;&gt;INDEX(LAYOUT!$D$2:$D$80,MATCH(T288&amp;"|"&amp;R288,LAYOUT!$E$2:$E$80,0)),"CEK JENIS ZONA",IF($D288="","Zona STOCK",IF($E288="","CEK SKU DESCRIPTION kosong","OK")))))))</f>
        <v/>
      </c>
      <c r="V288" s="11" t="n"/>
      <c r="W288" s="11" t="n"/>
      <c r="X288" s="11" t="n"/>
      <c r="Y288" s="12">
        <f>IF(V288="","",IFERROR(INDEX(DAFTAR_FIXTURE!$B$2:$B$51,MATCH(V288,DAFTAR_FIXTURE!$A$2:$A$51,0)),""))</f>
        <v/>
      </c>
      <c r="Z288" s="12">
        <f>IF(V288="","",IF(Y288="","CEK ID FIXTURE tidak ada di DAFTAR_FIXTURE",IF(W288="","CEK ZONA NO kosong",IF(ISNA(MATCH(Y288&amp;"|"&amp;W288,LAYOUT!$E$2:$E$80,0)),"CEK ZONA NO di luar layout",IF(X288&lt;&gt;INDEX(LAYOUT!$D$2:$D$80,MATCH(Y288&amp;"|"&amp;W288,LAYOUT!$E$2:$E$80,0)),"CEK JENIS ZONA",IF($D288="","Zona STOCK",IF($E288="","CEK SKU DESCRIPTION kosong","OK")))))))</f>
        <v/>
      </c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1" t="n"/>
      <c r="M289" s="11" t="n"/>
      <c r="N289" s="11" t="n"/>
      <c r="O289" s="12">
        <f>IF(L289="","",IFERROR(INDEX(DAFTAR_FIXTURE!$B$2:$B$51,MATCH(L289,DAFTAR_FIXTURE!$A$2:$A$51,0)),""))</f>
        <v/>
      </c>
      <c r="P289" s="12">
        <f>IF(AND($D289="",L289=""),"",IF(L289="",IF(AND(Q289="",V289=""),"Belum ditempatkan",""),IF(O289="","CEK ID FIXTURE tidak ada di DAFTAR_FIXTURE",IF(M289="","CEK ZONA NO kosong",IF(ISNA(MATCH(O289&amp;"|"&amp;M289,LAYOUT!$E$2:$E$80,0)),"CEK ZONA NO di luar layout",IF(N289&lt;&gt;INDEX(LAYOUT!$D$2:$D$80,MATCH(O289&amp;"|"&amp;M289,LAYOUT!$E$2:$E$80,0)),"CEK JENIS ZONA",IF($D289="","Zona STOCK",IF($E289="","CEK SKU DESCRIPTION kosong","OK"))))))))</f>
        <v/>
      </c>
      <c r="Q289" s="11" t="n"/>
      <c r="R289" s="11" t="n"/>
      <c r="S289" s="11" t="n"/>
      <c r="T289" s="12">
        <f>IF(Q289="","",IFERROR(INDEX(DAFTAR_FIXTURE!$B$2:$B$51,MATCH(Q289,DAFTAR_FIXTURE!$A$2:$A$51,0)),""))</f>
        <v/>
      </c>
      <c r="U289" s="12">
        <f>IF(Q289="","",IF(T289="","CEK ID FIXTURE tidak ada di DAFTAR_FIXTURE",IF(R289="","CEK ZONA NO kosong",IF(ISNA(MATCH(T289&amp;"|"&amp;R289,LAYOUT!$E$2:$E$80,0)),"CEK ZONA NO di luar layout",IF(S289&lt;&gt;INDEX(LAYOUT!$D$2:$D$80,MATCH(T289&amp;"|"&amp;R289,LAYOUT!$E$2:$E$80,0)),"CEK JENIS ZONA",IF($D289="","Zona STOCK",IF($E289="","CEK SKU DESCRIPTION kosong","OK")))))))</f>
        <v/>
      </c>
      <c r="V289" s="11" t="n"/>
      <c r="W289" s="11" t="n"/>
      <c r="X289" s="11" t="n"/>
      <c r="Y289" s="12">
        <f>IF(V289="","",IFERROR(INDEX(DAFTAR_FIXTURE!$B$2:$B$51,MATCH(V289,DAFTAR_FIXTURE!$A$2:$A$51,0)),""))</f>
        <v/>
      </c>
      <c r="Z289" s="12">
        <f>IF(V289="","",IF(Y289="","CEK ID FIXTURE tidak ada di DAFTAR_FIXTURE",IF(W289="","CEK ZONA NO kosong",IF(ISNA(MATCH(Y289&amp;"|"&amp;W289,LAYOUT!$E$2:$E$80,0)),"CEK ZONA NO di luar layout",IF(X289&lt;&gt;INDEX(LAYOUT!$D$2:$D$80,MATCH(Y289&amp;"|"&amp;W289,LAYOUT!$E$2:$E$80,0)),"CEK JENIS ZONA",IF($D289="","Zona STOCK",IF($E289="","CEK SKU DESCRIPTION kosong","OK")))))))</f>
        <v/>
      </c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1" t="n"/>
      <c r="M290" s="11" t="n"/>
      <c r="N290" s="11" t="n"/>
      <c r="O290" s="12">
        <f>IF(L290="","",IFERROR(INDEX(DAFTAR_FIXTURE!$B$2:$B$51,MATCH(L290,DAFTAR_FIXTURE!$A$2:$A$51,0)),""))</f>
        <v/>
      </c>
      <c r="P290" s="12">
        <f>IF(AND($D290="",L290=""),"",IF(L290="",IF(AND(Q290="",V290=""),"Belum ditempatkan",""),IF(O290="","CEK ID FIXTURE tidak ada di DAFTAR_FIXTURE",IF(M290="","CEK ZONA NO kosong",IF(ISNA(MATCH(O290&amp;"|"&amp;M290,LAYOUT!$E$2:$E$80,0)),"CEK ZONA NO di luar layout",IF(N290&lt;&gt;INDEX(LAYOUT!$D$2:$D$80,MATCH(O290&amp;"|"&amp;M290,LAYOUT!$E$2:$E$80,0)),"CEK JENIS ZONA",IF($D290="","Zona STOCK",IF($E290="","CEK SKU DESCRIPTION kosong","OK"))))))))</f>
        <v/>
      </c>
      <c r="Q290" s="11" t="n"/>
      <c r="R290" s="11" t="n"/>
      <c r="S290" s="11" t="n"/>
      <c r="T290" s="12">
        <f>IF(Q290="","",IFERROR(INDEX(DAFTAR_FIXTURE!$B$2:$B$51,MATCH(Q290,DAFTAR_FIXTURE!$A$2:$A$51,0)),""))</f>
        <v/>
      </c>
      <c r="U290" s="12">
        <f>IF(Q290="","",IF(T290="","CEK ID FIXTURE tidak ada di DAFTAR_FIXTURE",IF(R290="","CEK ZONA NO kosong",IF(ISNA(MATCH(T290&amp;"|"&amp;R290,LAYOUT!$E$2:$E$80,0)),"CEK ZONA NO di luar layout",IF(S290&lt;&gt;INDEX(LAYOUT!$D$2:$D$80,MATCH(T290&amp;"|"&amp;R290,LAYOUT!$E$2:$E$80,0)),"CEK JENIS ZONA",IF($D290="","Zona STOCK",IF($E290="","CEK SKU DESCRIPTION kosong","OK")))))))</f>
        <v/>
      </c>
      <c r="V290" s="11" t="n"/>
      <c r="W290" s="11" t="n"/>
      <c r="X290" s="11" t="n"/>
      <c r="Y290" s="12">
        <f>IF(V290="","",IFERROR(INDEX(DAFTAR_FIXTURE!$B$2:$B$51,MATCH(V290,DAFTAR_FIXTURE!$A$2:$A$51,0)),""))</f>
        <v/>
      </c>
      <c r="Z290" s="12">
        <f>IF(V290="","",IF(Y290="","CEK ID FIXTURE tidak ada di DAFTAR_FIXTURE",IF(W290="","CEK ZONA NO kosong",IF(ISNA(MATCH(Y290&amp;"|"&amp;W290,LAYOUT!$E$2:$E$80,0)),"CEK ZONA NO di luar layout",IF(X290&lt;&gt;INDEX(LAYOUT!$D$2:$D$80,MATCH(Y290&amp;"|"&amp;W290,LAYOUT!$E$2:$E$80,0)),"CEK JENIS ZONA",IF($D290="","Zona STOCK",IF($E290="","CEK SKU DESCRIPTION kosong","OK")))))))</f>
        <v/>
      </c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1" t="n"/>
      <c r="M291" s="11" t="n"/>
      <c r="N291" s="11" t="n"/>
      <c r="O291" s="12">
        <f>IF(L291="","",IFERROR(INDEX(DAFTAR_FIXTURE!$B$2:$B$51,MATCH(L291,DAFTAR_FIXTURE!$A$2:$A$51,0)),""))</f>
        <v/>
      </c>
      <c r="P291" s="12">
        <f>IF(AND($D291="",L291=""),"",IF(L291="",IF(AND(Q291="",V291=""),"Belum ditempatkan",""),IF(O291="","CEK ID FIXTURE tidak ada di DAFTAR_FIXTURE",IF(M291="","CEK ZONA NO kosong",IF(ISNA(MATCH(O291&amp;"|"&amp;M291,LAYOUT!$E$2:$E$80,0)),"CEK ZONA NO di luar layout",IF(N291&lt;&gt;INDEX(LAYOUT!$D$2:$D$80,MATCH(O291&amp;"|"&amp;M291,LAYOUT!$E$2:$E$80,0)),"CEK JENIS ZONA",IF($D291="","Zona STOCK",IF($E291="","CEK SKU DESCRIPTION kosong","OK"))))))))</f>
        <v/>
      </c>
      <c r="Q291" s="11" t="n"/>
      <c r="R291" s="11" t="n"/>
      <c r="S291" s="11" t="n"/>
      <c r="T291" s="12">
        <f>IF(Q291="","",IFERROR(INDEX(DAFTAR_FIXTURE!$B$2:$B$51,MATCH(Q291,DAFTAR_FIXTURE!$A$2:$A$51,0)),""))</f>
        <v/>
      </c>
      <c r="U291" s="12">
        <f>IF(Q291="","",IF(T291="","CEK ID FIXTURE tidak ada di DAFTAR_FIXTURE",IF(R291="","CEK ZONA NO kosong",IF(ISNA(MATCH(T291&amp;"|"&amp;R291,LAYOUT!$E$2:$E$80,0)),"CEK ZONA NO di luar layout",IF(S291&lt;&gt;INDEX(LAYOUT!$D$2:$D$80,MATCH(T291&amp;"|"&amp;R291,LAYOUT!$E$2:$E$80,0)),"CEK JENIS ZONA",IF($D291="","Zona STOCK",IF($E291="","CEK SKU DESCRIPTION kosong","OK")))))))</f>
        <v/>
      </c>
      <c r="V291" s="11" t="n"/>
      <c r="W291" s="11" t="n"/>
      <c r="X291" s="11" t="n"/>
      <c r="Y291" s="12">
        <f>IF(V291="","",IFERROR(INDEX(DAFTAR_FIXTURE!$B$2:$B$51,MATCH(V291,DAFTAR_FIXTURE!$A$2:$A$51,0)),""))</f>
        <v/>
      </c>
      <c r="Z291" s="12">
        <f>IF(V291="","",IF(Y291="","CEK ID FIXTURE tidak ada di DAFTAR_FIXTURE",IF(W291="","CEK ZONA NO kosong",IF(ISNA(MATCH(Y291&amp;"|"&amp;W291,LAYOUT!$E$2:$E$80,0)),"CEK ZONA NO di luar layout",IF(X291&lt;&gt;INDEX(LAYOUT!$D$2:$D$80,MATCH(Y291&amp;"|"&amp;W291,LAYOUT!$E$2:$E$80,0)),"CEK JENIS ZONA",IF($D291="","Zona STOCK",IF($E291="","CEK SKU DESCRIPTION kosong","OK")))))))</f>
        <v/>
      </c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1" t="n"/>
      <c r="M292" s="11" t="n"/>
      <c r="N292" s="11" t="n"/>
      <c r="O292" s="12">
        <f>IF(L292="","",IFERROR(INDEX(DAFTAR_FIXTURE!$B$2:$B$51,MATCH(L292,DAFTAR_FIXTURE!$A$2:$A$51,0)),""))</f>
        <v/>
      </c>
      <c r="P292" s="12">
        <f>IF(AND($D292="",L292=""),"",IF(L292="",IF(AND(Q292="",V292=""),"Belum ditempatkan",""),IF(O292="","CEK ID FIXTURE tidak ada di DAFTAR_FIXTURE",IF(M292="","CEK ZONA NO kosong",IF(ISNA(MATCH(O292&amp;"|"&amp;M292,LAYOUT!$E$2:$E$80,0)),"CEK ZONA NO di luar layout",IF(N292&lt;&gt;INDEX(LAYOUT!$D$2:$D$80,MATCH(O292&amp;"|"&amp;M292,LAYOUT!$E$2:$E$80,0)),"CEK JENIS ZONA",IF($D292="","Zona STOCK",IF($E292="","CEK SKU DESCRIPTION kosong","OK"))))))))</f>
        <v/>
      </c>
      <c r="Q292" s="11" t="n"/>
      <c r="R292" s="11" t="n"/>
      <c r="S292" s="11" t="n"/>
      <c r="T292" s="12">
        <f>IF(Q292="","",IFERROR(INDEX(DAFTAR_FIXTURE!$B$2:$B$51,MATCH(Q292,DAFTAR_FIXTURE!$A$2:$A$51,0)),""))</f>
        <v/>
      </c>
      <c r="U292" s="12">
        <f>IF(Q292="","",IF(T292="","CEK ID FIXTURE tidak ada di DAFTAR_FIXTURE",IF(R292="","CEK ZONA NO kosong",IF(ISNA(MATCH(T292&amp;"|"&amp;R292,LAYOUT!$E$2:$E$80,0)),"CEK ZONA NO di luar layout",IF(S292&lt;&gt;INDEX(LAYOUT!$D$2:$D$80,MATCH(T292&amp;"|"&amp;R292,LAYOUT!$E$2:$E$80,0)),"CEK JENIS ZONA",IF($D292="","Zona STOCK",IF($E292="","CEK SKU DESCRIPTION kosong","OK")))))))</f>
        <v/>
      </c>
      <c r="V292" s="11" t="n"/>
      <c r="W292" s="11" t="n"/>
      <c r="X292" s="11" t="n"/>
      <c r="Y292" s="12">
        <f>IF(V292="","",IFERROR(INDEX(DAFTAR_FIXTURE!$B$2:$B$51,MATCH(V292,DAFTAR_FIXTURE!$A$2:$A$51,0)),""))</f>
        <v/>
      </c>
      <c r="Z292" s="12">
        <f>IF(V292="","",IF(Y292="","CEK ID FIXTURE tidak ada di DAFTAR_FIXTURE",IF(W292="","CEK ZONA NO kosong",IF(ISNA(MATCH(Y292&amp;"|"&amp;W292,LAYOUT!$E$2:$E$80,0)),"CEK ZONA NO di luar layout",IF(X292&lt;&gt;INDEX(LAYOUT!$D$2:$D$80,MATCH(Y292&amp;"|"&amp;W292,LAYOUT!$E$2:$E$80,0)),"CEK JENIS ZONA",IF($D292="","Zona STOCK",IF($E292="","CEK SKU DESCRIPTION kosong","OK")))))))</f>
        <v/>
      </c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1" t="n"/>
      <c r="M293" s="11" t="n"/>
      <c r="N293" s="11" t="n"/>
      <c r="O293" s="12">
        <f>IF(L293="","",IFERROR(INDEX(DAFTAR_FIXTURE!$B$2:$B$51,MATCH(L293,DAFTAR_FIXTURE!$A$2:$A$51,0)),""))</f>
        <v/>
      </c>
      <c r="P293" s="12">
        <f>IF(AND($D293="",L293=""),"",IF(L293="",IF(AND(Q293="",V293=""),"Belum ditempatkan",""),IF(O293="","CEK ID FIXTURE tidak ada di DAFTAR_FIXTURE",IF(M293="","CEK ZONA NO kosong",IF(ISNA(MATCH(O293&amp;"|"&amp;M293,LAYOUT!$E$2:$E$80,0)),"CEK ZONA NO di luar layout",IF(N293&lt;&gt;INDEX(LAYOUT!$D$2:$D$80,MATCH(O293&amp;"|"&amp;M293,LAYOUT!$E$2:$E$80,0)),"CEK JENIS ZONA",IF($D293="","Zona STOCK",IF($E293="","CEK SKU DESCRIPTION kosong","OK"))))))))</f>
        <v/>
      </c>
      <c r="Q293" s="11" t="n"/>
      <c r="R293" s="11" t="n"/>
      <c r="S293" s="11" t="n"/>
      <c r="T293" s="12">
        <f>IF(Q293="","",IFERROR(INDEX(DAFTAR_FIXTURE!$B$2:$B$51,MATCH(Q293,DAFTAR_FIXTURE!$A$2:$A$51,0)),""))</f>
        <v/>
      </c>
      <c r="U293" s="12">
        <f>IF(Q293="","",IF(T293="","CEK ID FIXTURE tidak ada di DAFTAR_FIXTURE",IF(R293="","CEK ZONA NO kosong",IF(ISNA(MATCH(T293&amp;"|"&amp;R293,LAYOUT!$E$2:$E$80,0)),"CEK ZONA NO di luar layout",IF(S293&lt;&gt;INDEX(LAYOUT!$D$2:$D$80,MATCH(T293&amp;"|"&amp;R293,LAYOUT!$E$2:$E$80,0)),"CEK JENIS ZONA",IF($D293="","Zona STOCK",IF($E293="","CEK SKU DESCRIPTION kosong","OK")))))))</f>
        <v/>
      </c>
      <c r="V293" s="11" t="n"/>
      <c r="W293" s="11" t="n"/>
      <c r="X293" s="11" t="n"/>
      <c r="Y293" s="12">
        <f>IF(V293="","",IFERROR(INDEX(DAFTAR_FIXTURE!$B$2:$B$51,MATCH(V293,DAFTAR_FIXTURE!$A$2:$A$51,0)),""))</f>
        <v/>
      </c>
      <c r="Z293" s="12">
        <f>IF(V293="","",IF(Y293="","CEK ID FIXTURE tidak ada di DAFTAR_FIXTURE",IF(W293="","CEK ZONA NO kosong",IF(ISNA(MATCH(Y293&amp;"|"&amp;W293,LAYOUT!$E$2:$E$80,0)),"CEK ZONA NO di luar layout",IF(X293&lt;&gt;INDEX(LAYOUT!$D$2:$D$80,MATCH(Y293&amp;"|"&amp;W293,LAYOUT!$E$2:$E$80,0)),"CEK JENIS ZONA",IF($D293="","Zona STOCK",IF($E293="","CEK SKU DESCRIPTION kosong","OK")))))))</f>
        <v/>
      </c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1" t="n"/>
      <c r="M294" s="11" t="n"/>
      <c r="N294" s="11" t="n"/>
      <c r="O294" s="12">
        <f>IF(L294="","",IFERROR(INDEX(DAFTAR_FIXTURE!$B$2:$B$51,MATCH(L294,DAFTAR_FIXTURE!$A$2:$A$51,0)),""))</f>
        <v/>
      </c>
      <c r="P294" s="12">
        <f>IF(AND($D294="",L294=""),"",IF(L294="",IF(AND(Q294="",V294=""),"Belum ditempatkan",""),IF(O294="","CEK ID FIXTURE tidak ada di DAFTAR_FIXTURE",IF(M294="","CEK ZONA NO kosong",IF(ISNA(MATCH(O294&amp;"|"&amp;M294,LAYOUT!$E$2:$E$80,0)),"CEK ZONA NO di luar layout",IF(N294&lt;&gt;INDEX(LAYOUT!$D$2:$D$80,MATCH(O294&amp;"|"&amp;M294,LAYOUT!$E$2:$E$80,0)),"CEK JENIS ZONA",IF($D294="","Zona STOCK",IF($E294="","CEK SKU DESCRIPTION kosong","OK"))))))))</f>
        <v/>
      </c>
      <c r="Q294" s="11" t="n"/>
      <c r="R294" s="11" t="n"/>
      <c r="S294" s="11" t="n"/>
      <c r="T294" s="12">
        <f>IF(Q294="","",IFERROR(INDEX(DAFTAR_FIXTURE!$B$2:$B$51,MATCH(Q294,DAFTAR_FIXTURE!$A$2:$A$51,0)),""))</f>
        <v/>
      </c>
      <c r="U294" s="12">
        <f>IF(Q294="","",IF(T294="","CEK ID FIXTURE tidak ada di DAFTAR_FIXTURE",IF(R294="","CEK ZONA NO kosong",IF(ISNA(MATCH(T294&amp;"|"&amp;R294,LAYOUT!$E$2:$E$80,0)),"CEK ZONA NO di luar layout",IF(S294&lt;&gt;INDEX(LAYOUT!$D$2:$D$80,MATCH(T294&amp;"|"&amp;R294,LAYOUT!$E$2:$E$80,0)),"CEK JENIS ZONA",IF($D294="","Zona STOCK",IF($E294="","CEK SKU DESCRIPTION kosong","OK")))))))</f>
        <v/>
      </c>
      <c r="V294" s="11" t="n"/>
      <c r="W294" s="11" t="n"/>
      <c r="X294" s="11" t="n"/>
      <c r="Y294" s="12">
        <f>IF(V294="","",IFERROR(INDEX(DAFTAR_FIXTURE!$B$2:$B$51,MATCH(V294,DAFTAR_FIXTURE!$A$2:$A$51,0)),""))</f>
        <v/>
      </c>
      <c r="Z294" s="12">
        <f>IF(V294="","",IF(Y294="","CEK ID FIXTURE tidak ada di DAFTAR_FIXTURE",IF(W294="","CEK ZONA NO kosong",IF(ISNA(MATCH(Y294&amp;"|"&amp;W294,LAYOUT!$E$2:$E$80,0)),"CEK ZONA NO di luar layout",IF(X294&lt;&gt;INDEX(LAYOUT!$D$2:$D$80,MATCH(Y294&amp;"|"&amp;W294,LAYOUT!$E$2:$E$80,0)),"CEK JENIS ZONA",IF($D294="","Zona STOCK",IF($E294="","CEK SKU DESCRIPTION kosong","OK")))))))</f>
        <v/>
      </c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1" t="n"/>
      <c r="M295" s="11" t="n"/>
      <c r="N295" s="11" t="n"/>
      <c r="O295" s="12">
        <f>IF(L295="","",IFERROR(INDEX(DAFTAR_FIXTURE!$B$2:$B$51,MATCH(L295,DAFTAR_FIXTURE!$A$2:$A$51,0)),""))</f>
        <v/>
      </c>
      <c r="P295" s="12">
        <f>IF(AND($D295="",L295=""),"",IF(L295="",IF(AND(Q295="",V295=""),"Belum ditempatkan",""),IF(O295="","CEK ID FIXTURE tidak ada di DAFTAR_FIXTURE",IF(M295="","CEK ZONA NO kosong",IF(ISNA(MATCH(O295&amp;"|"&amp;M295,LAYOUT!$E$2:$E$80,0)),"CEK ZONA NO di luar layout",IF(N295&lt;&gt;INDEX(LAYOUT!$D$2:$D$80,MATCH(O295&amp;"|"&amp;M295,LAYOUT!$E$2:$E$80,0)),"CEK JENIS ZONA",IF($D295="","Zona STOCK",IF($E295="","CEK SKU DESCRIPTION kosong","OK"))))))))</f>
        <v/>
      </c>
      <c r="Q295" s="11" t="n"/>
      <c r="R295" s="11" t="n"/>
      <c r="S295" s="11" t="n"/>
      <c r="T295" s="12">
        <f>IF(Q295="","",IFERROR(INDEX(DAFTAR_FIXTURE!$B$2:$B$51,MATCH(Q295,DAFTAR_FIXTURE!$A$2:$A$51,0)),""))</f>
        <v/>
      </c>
      <c r="U295" s="12">
        <f>IF(Q295="","",IF(T295="","CEK ID FIXTURE tidak ada di DAFTAR_FIXTURE",IF(R295="","CEK ZONA NO kosong",IF(ISNA(MATCH(T295&amp;"|"&amp;R295,LAYOUT!$E$2:$E$80,0)),"CEK ZONA NO di luar layout",IF(S295&lt;&gt;INDEX(LAYOUT!$D$2:$D$80,MATCH(T295&amp;"|"&amp;R295,LAYOUT!$E$2:$E$80,0)),"CEK JENIS ZONA",IF($D295="","Zona STOCK",IF($E295="","CEK SKU DESCRIPTION kosong","OK")))))))</f>
        <v/>
      </c>
      <c r="V295" s="11" t="n"/>
      <c r="W295" s="11" t="n"/>
      <c r="X295" s="11" t="n"/>
      <c r="Y295" s="12">
        <f>IF(V295="","",IFERROR(INDEX(DAFTAR_FIXTURE!$B$2:$B$51,MATCH(V295,DAFTAR_FIXTURE!$A$2:$A$51,0)),""))</f>
        <v/>
      </c>
      <c r="Z295" s="12">
        <f>IF(V295="","",IF(Y295="","CEK ID FIXTURE tidak ada di DAFTAR_FIXTURE",IF(W295="","CEK ZONA NO kosong",IF(ISNA(MATCH(Y295&amp;"|"&amp;W295,LAYOUT!$E$2:$E$80,0)),"CEK ZONA NO di luar layout",IF(X295&lt;&gt;INDEX(LAYOUT!$D$2:$D$80,MATCH(Y295&amp;"|"&amp;W295,LAYOUT!$E$2:$E$80,0)),"CEK JENIS ZONA",IF($D295="","Zona STOCK",IF($E295="","CEK SKU DESCRIPTION kosong","OK")))))))</f>
        <v/>
      </c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1" t="n"/>
      <c r="M296" s="11" t="n"/>
      <c r="N296" s="11" t="n"/>
      <c r="O296" s="12">
        <f>IF(L296="","",IFERROR(INDEX(DAFTAR_FIXTURE!$B$2:$B$51,MATCH(L296,DAFTAR_FIXTURE!$A$2:$A$51,0)),""))</f>
        <v/>
      </c>
      <c r="P296" s="12">
        <f>IF(AND($D296="",L296=""),"",IF(L296="",IF(AND(Q296="",V296=""),"Belum ditempatkan",""),IF(O296="","CEK ID FIXTURE tidak ada di DAFTAR_FIXTURE",IF(M296="","CEK ZONA NO kosong",IF(ISNA(MATCH(O296&amp;"|"&amp;M296,LAYOUT!$E$2:$E$80,0)),"CEK ZONA NO di luar layout",IF(N296&lt;&gt;INDEX(LAYOUT!$D$2:$D$80,MATCH(O296&amp;"|"&amp;M296,LAYOUT!$E$2:$E$80,0)),"CEK JENIS ZONA",IF($D296="","Zona STOCK",IF($E296="","CEK SKU DESCRIPTION kosong","OK"))))))))</f>
        <v/>
      </c>
      <c r="Q296" s="11" t="n"/>
      <c r="R296" s="11" t="n"/>
      <c r="S296" s="11" t="n"/>
      <c r="T296" s="12">
        <f>IF(Q296="","",IFERROR(INDEX(DAFTAR_FIXTURE!$B$2:$B$51,MATCH(Q296,DAFTAR_FIXTURE!$A$2:$A$51,0)),""))</f>
        <v/>
      </c>
      <c r="U296" s="12">
        <f>IF(Q296="","",IF(T296="","CEK ID FIXTURE tidak ada di DAFTAR_FIXTURE",IF(R296="","CEK ZONA NO kosong",IF(ISNA(MATCH(T296&amp;"|"&amp;R296,LAYOUT!$E$2:$E$80,0)),"CEK ZONA NO di luar layout",IF(S296&lt;&gt;INDEX(LAYOUT!$D$2:$D$80,MATCH(T296&amp;"|"&amp;R296,LAYOUT!$E$2:$E$80,0)),"CEK JENIS ZONA",IF($D296="","Zona STOCK",IF($E296="","CEK SKU DESCRIPTION kosong","OK")))))))</f>
        <v/>
      </c>
      <c r="V296" s="11" t="n"/>
      <c r="W296" s="11" t="n"/>
      <c r="X296" s="11" t="n"/>
      <c r="Y296" s="12">
        <f>IF(V296="","",IFERROR(INDEX(DAFTAR_FIXTURE!$B$2:$B$51,MATCH(V296,DAFTAR_FIXTURE!$A$2:$A$51,0)),""))</f>
        <v/>
      </c>
      <c r="Z296" s="12">
        <f>IF(V296="","",IF(Y296="","CEK ID FIXTURE tidak ada di DAFTAR_FIXTURE",IF(W296="","CEK ZONA NO kosong",IF(ISNA(MATCH(Y296&amp;"|"&amp;W296,LAYOUT!$E$2:$E$80,0)),"CEK ZONA NO di luar layout",IF(X296&lt;&gt;INDEX(LAYOUT!$D$2:$D$80,MATCH(Y296&amp;"|"&amp;W296,LAYOUT!$E$2:$E$80,0)),"CEK JENIS ZONA",IF($D296="","Zona STOCK",IF($E296="","CEK SKU DESCRIPTION kosong","OK")))))))</f>
        <v/>
      </c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1" t="n"/>
      <c r="M297" s="11" t="n"/>
      <c r="N297" s="11" t="n"/>
      <c r="O297" s="12">
        <f>IF(L297="","",IFERROR(INDEX(DAFTAR_FIXTURE!$B$2:$B$51,MATCH(L297,DAFTAR_FIXTURE!$A$2:$A$51,0)),""))</f>
        <v/>
      </c>
      <c r="P297" s="12">
        <f>IF(AND($D297="",L297=""),"",IF(L297="",IF(AND(Q297="",V297=""),"Belum ditempatkan",""),IF(O297="","CEK ID FIXTURE tidak ada di DAFTAR_FIXTURE",IF(M297="","CEK ZONA NO kosong",IF(ISNA(MATCH(O297&amp;"|"&amp;M297,LAYOUT!$E$2:$E$80,0)),"CEK ZONA NO di luar layout",IF(N297&lt;&gt;INDEX(LAYOUT!$D$2:$D$80,MATCH(O297&amp;"|"&amp;M297,LAYOUT!$E$2:$E$80,0)),"CEK JENIS ZONA",IF($D297="","Zona STOCK",IF($E297="","CEK SKU DESCRIPTION kosong","OK"))))))))</f>
        <v/>
      </c>
      <c r="Q297" s="11" t="n"/>
      <c r="R297" s="11" t="n"/>
      <c r="S297" s="11" t="n"/>
      <c r="T297" s="12">
        <f>IF(Q297="","",IFERROR(INDEX(DAFTAR_FIXTURE!$B$2:$B$51,MATCH(Q297,DAFTAR_FIXTURE!$A$2:$A$51,0)),""))</f>
        <v/>
      </c>
      <c r="U297" s="12">
        <f>IF(Q297="","",IF(T297="","CEK ID FIXTURE tidak ada di DAFTAR_FIXTURE",IF(R297="","CEK ZONA NO kosong",IF(ISNA(MATCH(T297&amp;"|"&amp;R297,LAYOUT!$E$2:$E$80,0)),"CEK ZONA NO di luar layout",IF(S297&lt;&gt;INDEX(LAYOUT!$D$2:$D$80,MATCH(T297&amp;"|"&amp;R297,LAYOUT!$E$2:$E$80,0)),"CEK JENIS ZONA",IF($D297="","Zona STOCK",IF($E297="","CEK SKU DESCRIPTION kosong","OK")))))))</f>
        <v/>
      </c>
      <c r="V297" s="11" t="n"/>
      <c r="W297" s="11" t="n"/>
      <c r="X297" s="11" t="n"/>
      <c r="Y297" s="12">
        <f>IF(V297="","",IFERROR(INDEX(DAFTAR_FIXTURE!$B$2:$B$51,MATCH(V297,DAFTAR_FIXTURE!$A$2:$A$51,0)),""))</f>
        <v/>
      </c>
      <c r="Z297" s="12">
        <f>IF(V297="","",IF(Y297="","CEK ID FIXTURE tidak ada di DAFTAR_FIXTURE",IF(W297="","CEK ZONA NO kosong",IF(ISNA(MATCH(Y297&amp;"|"&amp;W297,LAYOUT!$E$2:$E$80,0)),"CEK ZONA NO di luar layout",IF(X297&lt;&gt;INDEX(LAYOUT!$D$2:$D$80,MATCH(Y297&amp;"|"&amp;W297,LAYOUT!$E$2:$E$80,0)),"CEK JENIS ZONA",IF($D297="","Zona STOCK",IF($E297="","CEK SKU DESCRIPTION kosong","OK")))))))</f>
        <v/>
      </c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1" t="n"/>
      <c r="M298" s="11" t="n"/>
      <c r="N298" s="11" t="n"/>
      <c r="O298" s="12">
        <f>IF(L298="","",IFERROR(INDEX(DAFTAR_FIXTURE!$B$2:$B$51,MATCH(L298,DAFTAR_FIXTURE!$A$2:$A$51,0)),""))</f>
        <v/>
      </c>
      <c r="P298" s="12">
        <f>IF(AND($D298="",L298=""),"",IF(L298="",IF(AND(Q298="",V298=""),"Belum ditempatkan",""),IF(O298="","CEK ID FIXTURE tidak ada di DAFTAR_FIXTURE",IF(M298="","CEK ZONA NO kosong",IF(ISNA(MATCH(O298&amp;"|"&amp;M298,LAYOUT!$E$2:$E$80,0)),"CEK ZONA NO di luar layout",IF(N298&lt;&gt;INDEX(LAYOUT!$D$2:$D$80,MATCH(O298&amp;"|"&amp;M298,LAYOUT!$E$2:$E$80,0)),"CEK JENIS ZONA",IF($D298="","Zona STOCK",IF($E298="","CEK SKU DESCRIPTION kosong","OK"))))))))</f>
        <v/>
      </c>
      <c r="Q298" s="11" t="n"/>
      <c r="R298" s="11" t="n"/>
      <c r="S298" s="11" t="n"/>
      <c r="T298" s="12">
        <f>IF(Q298="","",IFERROR(INDEX(DAFTAR_FIXTURE!$B$2:$B$51,MATCH(Q298,DAFTAR_FIXTURE!$A$2:$A$51,0)),""))</f>
        <v/>
      </c>
      <c r="U298" s="12">
        <f>IF(Q298="","",IF(T298="","CEK ID FIXTURE tidak ada di DAFTAR_FIXTURE",IF(R298="","CEK ZONA NO kosong",IF(ISNA(MATCH(T298&amp;"|"&amp;R298,LAYOUT!$E$2:$E$80,0)),"CEK ZONA NO di luar layout",IF(S298&lt;&gt;INDEX(LAYOUT!$D$2:$D$80,MATCH(T298&amp;"|"&amp;R298,LAYOUT!$E$2:$E$80,0)),"CEK JENIS ZONA",IF($D298="","Zona STOCK",IF($E298="","CEK SKU DESCRIPTION kosong","OK")))))))</f>
        <v/>
      </c>
      <c r="V298" s="11" t="n"/>
      <c r="W298" s="11" t="n"/>
      <c r="X298" s="11" t="n"/>
      <c r="Y298" s="12">
        <f>IF(V298="","",IFERROR(INDEX(DAFTAR_FIXTURE!$B$2:$B$51,MATCH(V298,DAFTAR_FIXTURE!$A$2:$A$51,0)),""))</f>
        <v/>
      </c>
      <c r="Z298" s="12">
        <f>IF(V298="","",IF(Y298="","CEK ID FIXTURE tidak ada di DAFTAR_FIXTURE",IF(W298="","CEK ZONA NO kosong",IF(ISNA(MATCH(Y298&amp;"|"&amp;W298,LAYOUT!$E$2:$E$80,0)),"CEK ZONA NO di luar layout",IF(X298&lt;&gt;INDEX(LAYOUT!$D$2:$D$80,MATCH(Y298&amp;"|"&amp;W298,LAYOUT!$E$2:$E$80,0)),"CEK JENIS ZONA",IF($D298="","Zona STOCK",IF($E298="","CEK SKU DESCRIPTION kosong","OK")))))))</f>
        <v/>
      </c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1" t="n"/>
      <c r="M299" s="11" t="n"/>
      <c r="N299" s="11" t="n"/>
      <c r="O299" s="12">
        <f>IF(L299="","",IFERROR(INDEX(DAFTAR_FIXTURE!$B$2:$B$51,MATCH(L299,DAFTAR_FIXTURE!$A$2:$A$51,0)),""))</f>
        <v/>
      </c>
      <c r="P299" s="12">
        <f>IF(AND($D299="",L299=""),"",IF(L299="",IF(AND(Q299="",V299=""),"Belum ditempatkan",""),IF(O299="","CEK ID FIXTURE tidak ada di DAFTAR_FIXTURE",IF(M299="","CEK ZONA NO kosong",IF(ISNA(MATCH(O299&amp;"|"&amp;M299,LAYOUT!$E$2:$E$80,0)),"CEK ZONA NO di luar layout",IF(N299&lt;&gt;INDEX(LAYOUT!$D$2:$D$80,MATCH(O299&amp;"|"&amp;M299,LAYOUT!$E$2:$E$80,0)),"CEK JENIS ZONA",IF($D299="","Zona STOCK",IF($E299="","CEK SKU DESCRIPTION kosong","OK"))))))))</f>
        <v/>
      </c>
      <c r="Q299" s="11" t="n"/>
      <c r="R299" s="11" t="n"/>
      <c r="S299" s="11" t="n"/>
      <c r="T299" s="12">
        <f>IF(Q299="","",IFERROR(INDEX(DAFTAR_FIXTURE!$B$2:$B$51,MATCH(Q299,DAFTAR_FIXTURE!$A$2:$A$51,0)),""))</f>
        <v/>
      </c>
      <c r="U299" s="12">
        <f>IF(Q299="","",IF(T299="","CEK ID FIXTURE tidak ada di DAFTAR_FIXTURE",IF(R299="","CEK ZONA NO kosong",IF(ISNA(MATCH(T299&amp;"|"&amp;R299,LAYOUT!$E$2:$E$80,0)),"CEK ZONA NO di luar layout",IF(S299&lt;&gt;INDEX(LAYOUT!$D$2:$D$80,MATCH(T299&amp;"|"&amp;R299,LAYOUT!$E$2:$E$80,0)),"CEK JENIS ZONA",IF($D299="","Zona STOCK",IF($E299="","CEK SKU DESCRIPTION kosong","OK")))))))</f>
        <v/>
      </c>
      <c r="V299" s="11" t="n"/>
      <c r="W299" s="11" t="n"/>
      <c r="X299" s="11" t="n"/>
      <c r="Y299" s="12">
        <f>IF(V299="","",IFERROR(INDEX(DAFTAR_FIXTURE!$B$2:$B$51,MATCH(V299,DAFTAR_FIXTURE!$A$2:$A$51,0)),""))</f>
        <v/>
      </c>
      <c r="Z299" s="12">
        <f>IF(V299="","",IF(Y299="","CEK ID FIXTURE tidak ada di DAFTAR_FIXTURE",IF(W299="","CEK ZONA NO kosong",IF(ISNA(MATCH(Y299&amp;"|"&amp;W299,LAYOUT!$E$2:$E$80,0)),"CEK ZONA NO di luar layout",IF(X299&lt;&gt;INDEX(LAYOUT!$D$2:$D$80,MATCH(Y299&amp;"|"&amp;W299,LAYOUT!$E$2:$E$80,0)),"CEK JENIS ZONA",IF($D299="","Zona STOCK",IF($E299="","CEK SKU DESCRIPTION kosong","OK")))))))</f>
        <v/>
      </c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1" t="n"/>
      <c r="M300" s="11" t="n"/>
      <c r="N300" s="11" t="n"/>
      <c r="O300" s="12">
        <f>IF(L300="","",IFERROR(INDEX(DAFTAR_FIXTURE!$B$2:$B$51,MATCH(L300,DAFTAR_FIXTURE!$A$2:$A$51,0)),""))</f>
        <v/>
      </c>
      <c r="P300" s="12">
        <f>IF(AND($D300="",L300=""),"",IF(L300="",IF(AND(Q300="",V300=""),"Belum ditempatkan",""),IF(O300="","CEK ID FIXTURE tidak ada di DAFTAR_FIXTURE",IF(M300="","CEK ZONA NO kosong",IF(ISNA(MATCH(O300&amp;"|"&amp;M300,LAYOUT!$E$2:$E$80,0)),"CEK ZONA NO di luar layout",IF(N300&lt;&gt;INDEX(LAYOUT!$D$2:$D$80,MATCH(O300&amp;"|"&amp;M300,LAYOUT!$E$2:$E$80,0)),"CEK JENIS ZONA",IF($D300="","Zona STOCK",IF($E300="","CEK SKU DESCRIPTION kosong","OK"))))))))</f>
        <v/>
      </c>
      <c r="Q300" s="11" t="n"/>
      <c r="R300" s="11" t="n"/>
      <c r="S300" s="11" t="n"/>
      <c r="T300" s="12">
        <f>IF(Q300="","",IFERROR(INDEX(DAFTAR_FIXTURE!$B$2:$B$51,MATCH(Q300,DAFTAR_FIXTURE!$A$2:$A$51,0)),""))</f>
        <v/>
      </c>
      <c r="U300" s="12">
        <f>IF(Q300="","",IF(T300="","CEK ID FIXTURE tidak ada di DAFTAR_FIXTURE",IF(R300="","CEK ZONA NO kosong",IF(ISNA(MATCH(T300&amp;"|"&amp;R300,LAYOUT!$E$2:$E$80,0)),"CEK ZONA NO di luar layout",IF(S300&lt;&gt;INDEX(LAYOUT!$D$2:$D$80,MATCH(T300&amp;"|"&amp;R300,LAYOUT!$E$2:$E$80,0)),"CEK JENIS ZONA",IF($D300="","Zona STOCK",IF($E300="","CEK SKU DESCRIPTION kosong","OK")))))))</f>
        <v/>
      </c>
      <c r="V300" s="11" t="n"/>
      <c r="W300" s="11" t="n"/>
      <c r="X300" s="11" t="n"/>
      <c r="Y300" s="12">
        <f>IF(V300="","",IFERROR(INDEX(DAFTAR_FIXTURE!$B$2:$B$51,MATCH(V300,DAFTAR_FIXTURE!$A$2:$A$51,0)),""))</f>
        <v/>
      </c>
      <c r="Z300" s="12">
        <f>IF(V300="","",IF(Y300="","CEK ID FIXTURE tidak ada di DAFTAR_FIXTURE",IF(W300="","CEK ZONA NO kosong",IF(ISNA(MATCH(Y300&amp;"|"&amp;W300,LAYOUT!$E$2:$E$80,0)),"CEK ZONA NO di luar layout",IF(X300&lt;&gt;INDEX(LAYOUT!$D$2:$D$80,MATCH(Y300&amp;"|"&amp;W300,LAYOUT!$E$2:$E$80,0)),"CEK JENIS ZONA",IF($D300="","Zona STOCK",IF($E300="","CEK SKU DESCRIPTION kosong","OK")))))))</f>
        <v/>
      </c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1" t="n"/>
      <c r="M301" s="11" t="n"/>
      <c r="N301" s="11" t="n"/>
      <c r="O301" s="12">
        <f>IF(L301="","",IFERROR(INDEX(DAFTAR_FIXTURE!$B$2:$B$51,MATCH(L301,DAFTAR_FIXTURE!$A$2:$A$51,0)),""))</f>
        <v/>
      </c>
      <c r="P301" s="12">
        <f>IF(AND($D301="",L301=""),"",IF(L301="",IF(AND(Q301="",V301=""),"Belum ditempatkan",""),IF(O301="","CEK ID FIXTURE tidak ada di DAFTAR_FIXTURE",IF(M301="","CEK ZONA NO kosong",IF(ISNA(MATCH(O301&amp;"|"&amp;M301,LAYOUT!$E$2:$E$80,0)),"CEK ZONA NO di luar layout",IF(N301&lt;&gt;INDEX(LAYOUT!$D$2:$D$80,MATCH(O301&amp;"|"&amp;M301,LAYOUT!$E$2:$E$80,0)),"CEK JENIS ZONA",IF($D301="","Zona STOCK",IF($E301="","CEK SKU DESCRIPTION kosong","OK"))))))))</f>
        <v/>
      </c>
      <c r="Q301" s="11" t="n"/>
      <c r="R301" s="11" t="n"/>
      <c r="S301" s="11" t="n"/>
      <c r="T301" s="12">
        <f>IF(Q301="","",IFERROR(INDEX(DAFTAR_FIXTURE!$B$2:$B$51,MATCH(Q301,DAFTAR_FIXTURE!$A$2:$A$51,0)),""))</f>
        <v/>
      </c>
      <c r="U301" s="12">
        <f>IF(Q301="","",IF(T301="","CEK ID FIXTURE tidak ada di DAFTAR_FIXTURE",IF(R301="","CEK ZONA NO kosong",IF(ISNA(MATCH(T301&amp;"|"&amp;R301,LAYOUT!$E$2:$E$80,0)),"CEK ZONA NO di luar layout",IF(S301&lt;&gt;INDEX(LAYOUT!$D$2:$D$80,MATCH(T301&amp;"|"&amp;R301,LAYOUT!$E$2:$E$80,0)),"CEK JENIS ZONA",IF($D301="","Zona STOCK",IF($E301="","CEK SKU DESCRIPTION kosong","OK")))))))</f>
        <v/>
      </c>
      <c r="V301" s="11" t="n"/>
      <c r="W301" s="11" t="n"/>
      <c r="X301" s="11" t="n"/>
      <c r="Y301" s="12">
        <f>IF(V301="","",IFERROR(INDEX(DAFTAR_FIXTURE!$B$2:$B$51,MATCH(V301,DAFTAR_FIXTURE!$A$2:$A$51,0)),""))</f>
        <v/>
      </c>
      <c r="Z301" s="12">
        <f>IF(V301="","",IF(Y301="","CEK ID FIXTURE tidak ada di DAFTAR_FIXTURE",IF(W301="","CEK ZONA NO kosong",IF(ISNA(MATCH(Y301&amp;"|"&amp;W301,LAYOUT!$E$2:$E$80,0)),"CEK ZONA NO di luar layout",IF(X301&lt;&gt;INDEX(LAYOUT!$D$2:$D$80,MATCH(Y301&amp;"|"&amp;W301,LAYOUT!$E$2:$E$80,0)),"CEK JENIS ZONA",IF($D301="","Zona STOCK",IF($E301="","CEK SKU DESCRIPTION kosong","OK")))))))</f>
        <v/>
      </c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1" t="n"/>
      <c r="M302" s="11" t="n"/>
      <c r="N302" s="11" t="n"/>
      <c r="O302" s="12">
        <f>IF(L302="","",IFERROR(INDEX(DAFTAR_FIXTURE!$B$2:$B$51,MATCH(L302,DAFTAR_FIXTURE!$A$2:$A$51,0)),""))</f>
        <v/>
      </c>
      <c r="P302" s="12">
        <f>IF(AND($D302="",L302=""),"",IF(L302="",IF(AND(Q302="",V302=""),"Belum ditempatkan",""),IF(O302="","CEK ID FIXTURE tidak ada di DAFTAR_FIXTURE",IF(M302="","CEK ZONA NO kosong",IF(ISNA(MATCH(O302&amp;"|"&amp;M302,LAYOUT!$E$2:$E$80,0)),"CEK ZONA NO di luar layout",IF(N302&lt;&gt;INDEX(LAYOUT!$D$2:$D$80,MATCH(O302&amp;"|"&amp;M302,LAYOUT!$E$2:$E$80,0)),"CEK JENIS ZONA",IF($D302="","Zona STOCK",IF($E302="","CEK SKU DESCRIPTION kosong","OK"))))))))</f>
        <v/>
      </c>
      <c r="Q302" s="11" t="n"/>
      <c r="R302" s="11" t="n"/>
      <c r="S302" s="11" t="n"/>
      <c r="T302" s="12">
        <f>IF(Q302="","",IFERROR(INDEX(DAFTAR_FIXTURE!$B$2:$B$51,MATCH(Q302,DAFTAR_FIXTURE!$A$2:$A$51,0)),""))</f>
        <v/>
      </c>
      <c r="U302" s="12">
        <f>IF(Q302="","",IF(T302="","CEK ID FIXTURE tidak ada di DAFTAR_FIXTURE",IF(R302="","CEK ZONA NO kosong",IF(ISNA(MATCH(T302&amp;"|"&amp;R302,LAYOUT!$E$2:$E$80,0)),"CEK ZONA NO di luar layout",IF(S302&lt;&gt;INDEX(LAYOUT!$D$2:$D$80,MATCH(T302&amp;"|"&amp;R302,LAYOUT!$E$2:$E$80,0)),"CEK JENIS ZONA",IF($D302="","Zona STOCK",IF($E302="","CEK SKU DESCRIPTION kosong","OK")))))))</f>
        <v/>
      </c>
      <c r="V302" s="11" t="n"/>
      <c r="W302" s="11" t="n"/>
      <c r="X302" s="11" t="n"/>
      <c r="Y302" s="12">
        <f>IF(V302="","",IFERROR(INDEX(DAFTAR_FIXTURE!$B$2:$B$51,MATCH(V302,DAFTAR_FIXTURE!$A$2:$A$51,0)),""))</f>
        <v/>
      </c>
      <c r="Z302" s="12">
        <f>IF(V302="","",IF(Y302="","CEK ID FIXTURE tidak ada di DAFTAR_FIXTURE",IF(W302="","CEK ZONA NO kosong",IF(ISNA(MATCH(Y302&amp;"|"&amp;W302,LAYOUT!$E$2:$E$80,0)),"CEK ZONA NO di luar layout",IF(X302&lt;&gt;INDEX(LAYOUT!$D$2:$D$80,MATCH(Y302&amp;"|"&amp;W302,LAYOUT!$E$2:$E$80,0)),"CEK JENIS ZONA",IF($D302="","Zona STOCK",IF($E302="","CEK SKU DESCRIPTION kosong","OK")))))))</f>
        <v/>
      </c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1" t="n"/>
      <c r="M303" s="11" t="n"/>
      <c r="N303" s="11" t="n"/>
      <c r="O303" s="12">
        <f>IF(L303="","",IFERROR(INDEX(DAFTAR_FIXTURE!$B$2:$B$51,MATCH(L303,DAFTAR_FIXTURE!$A$2:$A$51,0)),""))</f>
        <v/>
      </c>
      <c r="P303" s="12">
        <f>IF(AND($D303="",L303=""),"",IF(L303="",IF(AND(Q303="",V303=""),"Belum ditempatkan",""),IF(O303="","CEK ID FIXTURE tidak ada di DAFTAR_FIXTURE",IF(M303="","CEK ZONA NO kosong",IF(ISNA(MATCH(O303&amp;"|"&amp;M303,LAYOUT!$E$2:$E$80,0)),"CEK ZONA NO di luar layout",IF(N303&lt;&gt;INDEX(LAYOUT!$D$2:$D$80,MATCH(O303&amp;"|"&amp;M303,LAYOUT!$E$2:$E$80,0)),"CEK JENIS ZONA",IF($D303="","Zona STOCK",IF($E303="","CEK SKU DESCRIPTION kosong","OK"))))))))</f>
        <v/>
      </c>
      <c r="Q303" s="11" t="n"/>
      <c r="R303" s="11" t="n"/>
      <c r="S303" s="11" t="n"/>
      <c r="T303" s="12">
        <f>IF(Q303="","",IFERROR(INDEX(DAFTAR_FIXTURE!$B$2:$B$51,MATCH(Q303,DAFTAR_FIXTURE!$A$2:$A$51,0)),""))</f>
        <v/>
      </c>
      <c r="U303" s="12">
        <f>IF(Q303="","",IF(T303="","CEK ID FIXTURE tidak ada di DAFTAR_FIXTURE",IF(R303="","CEK ZONA NO kosong",IF(ISNA(MATCH(T303&amp;"|"&amp;R303,LAYOUT!$E$2:$E$80,0)),"CEK ZONA NO di luar layout",IF(S303&lt;&gt;INDEX(LAYOUT!$D$2:$D$80,MATCH(T303&amp;"|"&amp;R303,LAYOUT!$E$2:$E$80,0)),"CEK JENIS ZONA",IF($D303="","Zona STOCK",IF($E303="","CEK SKU DESCRIPTION kosong","OK")))))))</f>
        <v/>
      </c>
      <c r="V303" s="11" t="n"/>
      <c r="W303" s="11" t="n"/>
      <c r="X303" s="11" t="n"/>
      <c r="Y303" s="12">
        <f>IF(V303="","",IFERROR(INDEX(DAFTAR_FIXTURE!$B$2:$B$51,MATCH(V303,DAFTAR_FIXTURE!$A$2:$A$51,0)),""))</f>
        <v/>
      </c>
      <c r="Z303" s="12">
        <f>IF(V303="","",IF(Y303="","CEK ID FIXTURE tidak ada di DAFTAR_FIXTURE",IF(W303="","CEK ZONA NO kosong",IF(ISNA(MATCH(Y303&amp;"|"&amp;W303,LAYOUT!$E$2:$E$80,0)),"CEK ZONA NO di luar layout",IF(X303&lt;&gt;INDEX(LAYOUT!$D$2:$D$80,MATCH(Y303&amp;"|"&amp;W303,LAYOUT!$E$2:$E$80,0)),"CEK JENIS ZONA",IF($D303="","Zona STOCK",IF($E303="","CEK SKU DESCRIPTION kosong","OK")))))))</f>
        <v/>
      </c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1" t="n"/>
      <c r="M304" s="11" t="n"/>
      <c r="N304" s="11" t="n"/>
      <c r="O304" s="12">
        <f>IF(L304="","",IFERROR(INDEX(DAFTAR_FIXTURE!$B$2:$B$51,MATCH(L304,DAFTAR_FIXTURE!$A$2:$A$51,0)),""))</f>
        <v/>
      </c>
      <c r="P304" s="12">
        <f>IF(AND($D304="",L304=""),"",IF(L304="",IF(AND(Q304="",V304=""),"Belum ditempatkan",""),IF(O304="","CEK ID FIXTURE tidak ada di DAFTAR_FIXTURE",IF(M304="","CEK ZONA NO kosong",IF(ISNA(MATCH(O304&amp;"|"&amp;M304,LAYOUT!$E$2:$E$80,0)),"CEK ZONA NO di luar layout",IF(N304&lt;&gt;INDEX(LAYOUT!$D$2:$D$80,MATCH(O304&amp;"|"&amp;M304,LAYOUT!$E$2:$E$80,0)),"CEK JENIS ZONA",IF($D304="","Zona STOCK",IF($E304="","CEK SKU DESCRIPTION kosong","OK"))))))))</f>
        <v/>
      </c>
      <c r="Q304" s="11" t="n"/>
      <c r="R304" s="11" t="n"/>
      <c r="S304" s="11" t="n"/>
      <c r="T304" s="12">
        <f>IF(Q304="","",IFERROR(INDEX(DAFTAR_FIXTURE!$B$2:$B$51,MATCH(Q304,DAFTAR_FIXTURE!$A$2:$A$51,0)),""))</f>
        <v/>
      </c>
      <c r="U304" s="12">
        <f>IF(Q304="","",IF(T304="","CEK ID FIXTURE tidak ada di DAFTAR_FIXTURE",IF(R304="","CEK ZONA NO kosong",IF(ISNA(MATCH(T304&amp;"|"&amp;R304,LAYOUT!$E$2:$E$80,0)),"CEK ZONA NO di luar layout",IF(S304&lt;&gt;INDEX(LAYOUT!$D$2:$D$80,MATCH(T304&amp;"|"&amp;R304,LAYOUT!$E$2:$E$80,0)),"CEK JENIS ZONA",IF($D304="","Zona STOCK",IF($E304="","CEK SKU DESCRIPTION kosong","OK")))))))</f>
        <v/>
      </c>
      <c r="V304" s="11" t="n"/>
      <c r="W304" s="11" t="n"/>
      <c r="X304" s="11" t="n"/>
      <c r="Y304" s="12">
        <f>IF(V304="","",IFERROR(INDEX(DAFTAR_FIXTURE!$B$2:$B$51,MATCH(V304,DAFTAR_FIXTURE!$A$2:$A$51,0)),""))</f>
        <v/>
      </c>
      <c r="Z304" s="12">
        <f>IF(V304="","",IF(Y304="","CEK ID FIXTURE tidak ada di DAFTAR_FIXTURE",IF(W304="","CEK ZONA NO kosong",IF(ISNA(MATCH(Y304&amp;"|"&amp;W304,LAYOUT!$E$2:$E$80,0)),"CEK ZONA NO di luar layout",IF(X304&lt;&gt;INDEX(LAYOUT!$D$2:$D$80,MATCH(Y304&amp;"|"&amp;W304,LAYOUT!$E$2:$E$80,0)),"CEK JENIS ZONA",IF($D304="","Zona STOCK",IF($E304="","CEK SKU DESCRIPTION kosong","OK")))))))</f>
        <v/>
      </c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1" t="n"/>
      <c r="M305" s="11" t="n"/>
      <c r="N305" s="11" t="n"/>
      <c r="O305" s="12">
        <f>IF(L305="","",IFERROR(INDEX(DAFTAR_FIXTURE!$B$2:$B$51,MATCH(L305,DAFTAR_FIXTURE!$A$2:$A$51,0)),""))</f>
        <v/>
      </c>
      <c r="P305" s="12">
        <f>IF(AND($D305="",L305=""),"",IF(L305="",IF(AND(Q305="",V305=""),"Belum ditempatkan",""),IF(O305="","CEK ID FIXTURE tidak ada di DAFTAR_FIXTURE",IF(M305="","CEK ZONA NO kosong",IF(ISNA(MATCH(O305&amp;"|"&amp;M305,LAYOUT!$E$2:$E$80,0)),"CEK ZONA NO di luar layout",IF(N305&lt;&gt;INDEX(LAYOUT!$D$2:$D$80,MATCH(O305&amp;"|"&amp;M305,LAYOUT!$E$2:$E$80,0)),"CEK JENIS ZONA",IF($D305="","Zona STOCK",IF($E305="","CEK SKU DESCRIPTION kosong","OK"))))))))</f>
        <v/>
      </c>
      <c r="Q305" s="11" t="n"/>
      <c r="R305" s="11" t="n"/>
      <c r="S305" s="11" t="n"/>
      <c r="T305" s="12">
        <f>IF(Q305="","",IFERROR(INDEX(DAFTAR_FIXTURE!$B$2:$B$51,MATCH(Q305,DAFTAR_FIXTURE!$A$2:$A$51,0)),""))</f>
        <v/>
      </c>
      <c r="U305" s="12">
        <f>IF(Q305="","",IF(T305="","CEK ID FIXTURE tidak ada di DAFTAR_FIXTURE",IF(R305="","CEK ZONA NO kosong",IF(ISNA(MATCH(T305&amp;"|"&amp;R305,LAYOUT!$E$2:$E$80,0)),"CEK ZONA NO di luar layout",IF(S305&lt;&gt;INDEX(LAYOUT!$D$2:$D$80,MATCH(T305&amp;"|"&amp;R305,LAYOUT!$E$2:$E$80,0)),"CEK JENIS ZONA",IF($D305="","Zona STOCK",IF($E305="","CEK SKU DESCRIPTION kosong","OK")))))))</f>
        <v/>
      </c>
      <c r="V305" s="11" t="n"/>
      <c r="W305" s="11" t="n"/>
      <c r="X305" s="11" t="n"/>
      <c r="Y305" s="12">
        <f>IF(V305="","",IFERROR(INDEX(DAFTAR_FIXTURE!$B$2:$B$51,MATCH(V305,DAFTAR_FIXTURE!$A$2:$A$51,0)),""))</f>
        <v/>
      </c>
      <c r="Z305" s="12">
        <f>IF(V305="","",IF(Y305="","CEK ID FIXTURE tidak ada di DAFTAR_FIXTURE",IF(W305="","CEK ZONA NO kosong",IF(ISNA(MATCH(Y305&amp;"|"&amp;W305,LAYOUT!$E$2:$E$80,0)),"CEK ZONA NO di luar layout",IF(X305&lt;&gt;INDEX(LAYOUT!$D$2:$D$80,MATCH(Y305&amp;"|"&amp;W305,LAYOUT!$E$2:$E$80,0)),"CEK JENIS ZONA",IF($D305="","Zona STOCK",IF($E305="","CEK SKU DESCRIPTION kosong","OK")))))))</f>
        <v/>
      </c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1" t="n"/>
      <c r="M306" s="11" t="n"/>
      <c r="N306" s="11" t="n"/>
      <c r="O306" s="12">
        <f>IF(L306="","",IFERROR(INDEX(DAFTAR_FIXTURE!$B$2:$B$51,MATCH(L306,DAFTAR_FIXTURE!$A$2:$A$51,0)),""))</f>
        <v/>
      </c>
      <c r="P306" s="12">
        <f>IF(AND($D306="",L306=""),"",IF(L306="",IF(AND(Q306="",V306=""),"Belum ditempatkan",""),IF(O306="","CEK ID FIXTURE tidak ada di DAFTAR_FIXTURE",IF(M306="","CEK ZONA NO kosong",IF(ISNA(MATCH(O306&amp;"|"&amp;M306,LAYOUT!$E$2:$E$80,0)),"CEK ZONA NO di luar layout",IF(N306&lt;&gt;INDEX(LAYOUT!$D$2:$D$80,MATCH(O306&amp;"|"&amp;M306,LAYOUT!$E$2:$E$80,0)),"CEK JENIS ZONA",IF($D306="","Zona STOCK",IF($E306="","CEK SKU DESCRIPTION kosong","OK"))))))))</f>
        <v/>
      </c>
      <c r="Q306" s="11" t="n"/>
      <c r="R306" s="11" t="n"/>
      <c r="S306" s="11" t="n"/>
      <c r="T306" s="12">
        <f>IF(Q306="","",IFERROR(INDEX(DAFTAR_FIXTURE!$B$2:$B$51,MATCH(Q306,DAFTAR_FIXTURE!$A$2:$A$51,0)),""))</f>
        <v/>
      </c>
      <c r="U306" s="12">
        <f>IF(Q306="","",IF(T306="","CEK ID FIXTURE tidak ada di DAFTAR_FIXTURE",IF(R306="","CEK ZONA NO kosong",IF(ISNA(MATCH(T306&amp;"|"&amp;R306,LAYOUT!$E$2:$E$80,0)),"CEK ZONA NO di luar layout",IF(S306&lt;&gt;INDEX(LAYOUT!$D$2:$D$80,MATCH(T306&amp;"|"&amp;R306,LAYOUT!$E$2:$E$80,0)),"CEK JENIS ZONA",IF($D306="","Zona STOCK",IF($E306="","CEK SKU DESCRIPTION kosong","OK")))))))</f>
        <v/>
      </c>
      <c r="V306" s="11" t="n"/>
      <c r="W306" s="11" t="n"/>
      <c r="X306" s="11" t="n"/>
      <c r="Y306" s="12">
        <f>IF(V306="","",IFERROR(INDEX(DAFTAR_FIXTURE!$B$2:$B$51,MATCH(V306,DAFTAR_FIXTURE!$A$2:$A$51,0)),""))</f>
        <v/>
      </c>
      <c r="Z306" s="12">
        <f>IF(V306="","",IF(Y306="","CEK ID FIXTURE tidak ada di DAFTAR_FIXTURE",IF(W306="","CEK ZONA NO kosong",IF(ISNA(MATCH(Y306&amp;"|"&amp;W306,LAYOUT!$E$2:$E$80,0)),"CEK ZONA NO di luar layout",IF(X306&lt;&gt;INDEX(LAYOUT!$D$2:$D$80,MATCH(Y306&amp;"|"&amp;W306,LAYOUT!$E$2:$E$80,0)),"CEK JENIS ZONA",IF($D306="","Zona STOCK",IF($E306="","CEK SKU DESCRIPTION kosong","OK")))))))</f>
        <v/>
      </c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1" t="n"/>
      <c r="M307" s="11" t="n"/>
      <c r="N307" s="11" t="n"/>
      <c r="O307" s="12">
        <f>IF(L307="","",IFERROR(INDEX(DAFTAR_FIXTURE!$B$2:$B$51,MATCH(L307,DAFTAR_FIXTURE!$A$2:$A$51,0)),""))</f>
        <v/>
      </c>
      <c r="P307" s="12">
        <f>IF(AND($D307="",L307=""),"",IF(L307="",IF(AND(Q307="",V307=""),"Belum ditempatkan",""),IF(O307="","CEK ID FIXTURE tidak ada di DAFTAR_FIXTURE",IF(M307="","CEK ZONA NO kosong",IF(ISNA(MATCH(O307&amp;"|"&amp;M307,LAYOUT!$E$2:$E$80,0)),"CEK ZONA NO di luar layout",IF(N307&lt;&gt;INDEX(LAYOUT!$D$2:$D$80,MATCH(O307&amp;"|"&amp;M307,LAYOUT!$E$2:$E$80,0)),"CEK JENIS ZONA",IF($D307="","Zona STOCK",IF($E307="","CEK SKU DESCRIPTION kosong","OK"))))))))</f>
        <v/>
      </c>
      <c r="Q307" s="11" t="n"/>
      <c r="R307" s="11" t="n"/>
      <c r="S307" s="11" t="n"/>
      <c r="T307" s="12">
        <f>IF(Q307="","",IFERROR(INDEX(DAFTAR_FIXTURE!$B$2:$B$51,MATCH(Q307,DAFTAR_FIXTURE!$A$2:$A$51,0)),""))</f>
        <v/>
      </c>
      <c r="U307" s="12">
        <f>IF(Q307="","",IF(T307="","CEK ID FIXTURE tidak ada di DAFTAR_FIXTURE",IF(R307="","CEK ZONA NO kosong",IF(ISNA(MATCH(T307&amp;"|"&amp;R307,LAYOUT!$E$2:$E$80,0)),"CEK ZONA NO di luar layout",IF(S307&lt;&gt;INDEX(LAYOUT!$D$2:$D$80,MATCH(T307&amp;"|"&amp;R307,LAYOUT!$E$2:$E$80,0)),"CEK JENIS ZONA",IF($D307="","Zona STOCK",IF($E307="","CEK SKU DESCRIPTION kosong","OK")))))))</f>
        <v/>
      </c>
      <c r="V307" s="11" t="n"/>
      <c r="W307" s="11" t="n"/>
      <c r="X307" s="11" t="n"/>
      <c r="Y307" s="12">
        <f>IF(V307="","",IFERROR(INDEX(DAFTAR_FIXTURE!$B$2:$B$51,MATCH(V307,DAFTAR_FIXTURE!$A$2:$A$51,0)),""))</f>
        <v/>
      </c>
      <c r="Z307" s="12">
        <f>IF(V307="","",IF(Y307="","CEK ID FIXTURE tidak ada di DAFTAR_FIXTURE",IF(W307="","CEK ZONA NO kosong",IF(ISNA(MATCH(Y307&amp;"|"&amp;W307,LAYOUT!$E$2:$E$80,0)),"CEK ZONA NO di luar layout",IF(X307&lt;&gt;INDEX(LAYOUT!$D$2:$D$80,MATCH(Y307&amp;"|"&amp;W307,LAYOUT!$E$2:$E$80,0)),"CEK JENIS ZONA",IF($D307="","Zona STOCK",IF($E307="","CEK SKU DESCRIPTION kosong","OK")))))))</f>
        <v/>
      </c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1" t="n"/>
      <c r="M308" s="11" t="n"/>
      <c r="N308" s="11" t="n"/>
      <c r="O308" s="12">
        <f>IF(L308="","",IFERROR(INDEX(DAFTAR_FIXTURE!$B$2:$B$51,MATCH(L308,DAFTAR_FIXTURE!$A$2:$A$51,0)),""))</f>
        <v/>
      </c>
      <c r="P308" s="12">
        <f>IF(AND($D308="",L308=""),"",IF(L308="",IF(AND(Q308="",V308=""),"Belum ditempatkan",""),IF(O308="","CEK ID FIXTURE tidak ada di DAFTAR_FIXTURE",IF(M308="","CEK ZONA NO kosong",IF(ISNA(MATCH(O308&amp;"|"&amp;M308,LAYOUT!$E$2:$E$80,0)),"CEK ZONA NO di luar layout",IF(N308&lt;&gt;INDEX(LAYOUT!$D$2:$D$80,MATCH(O308&amp;"|"&amp;M308,LAYOUT!$E$2:$E$80,0)),"CEK JENIS ZONA",IF($D308="","Zona STOCK",IF($E308="","CEK SKU DESCRIPTION kosong","OK"))))))))</f>
        <v/>
      </c>
      <c r="Q308" s="11" t="n"/>
      <c r="R308" s="11" t="n"/>
      <c r="S308" s="11" t="n"/>
      <c r="T308" s="12">
        <f>IF(Q308="","",IFERROR(INDEX(DAFTAR_FIXTURE!$B$2:$B$51,MATCH(Q308,DAFTAR_FIXTURE!$A$2:$A$51,0)),""))</f>
        <v/>
      </c>
      <c r="U308" s="12">
        <f>IF(Q308="","",IF(T308="","CEK ID FIXTURE tidak ada di DAFTAR_FIXTURE",IF(R308="","CEK ZONA NO kosong",IF(ISNA(MATCH(T308&amp;"|"&amp;R308,LAYOUT!$E$2:$E$80,0)),"CEK ZONA NO di luar layout",IF(S308&lt;&gt;INDEX(LAYOUT!$D$2:$D$80,MATCH(T308&amp;"|"&amp;R308,LAYOUT!$E$2:$E$80,0)),"CEK JENIS ZONA",IF($D308="","Zona STOCK",IF($E308="","CEK SKU DESCRIPTION kosong","OK")))))))</f>
        <v/>
      </c>
      <c r="V308" s="11" t="n"/>
      <c r="W308" s="11" t="n"/>
      <c r="X308" s="11" t="n"/>
      <c r="Y308" s="12">
        <f>IF(V308="","",IFERROR(INDEX(DAFTAR_FIXTURE!$B$2:$B$51,MATCH(V308,DAFTAR_FIXTURE!$A$2:$A$51,0)),""))</f>
        <v/>
      </c>
      <c r="Z308" s="12">
        <f>IF(V308="","",IF(Y308="","CEK ID FIXTURE tidak ada di DAFTAR_FIXTURE",IF(W308="","CEK ZONA NO kosong",IF(ISNA(MATCH(Y308&amp;"|"&amp;W308,LAYOUT!$E$2:$E$80,0)),"CEK ZONA NO di luar layout",IF(X308&lt;&gt;INDEX(LAYOUT!$D$2:$D$80,MATCH(Y308&amp;"|"&amp;W308,LAYOUT!$E$2:$E$80,0)),"CEK JENIS ZONA",IF($D308="","Zona STOCK",IF($E308="","CEK SKU DESCRIPTION kosong","OK")))))))</f>
        <v/>
      </c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1" t="n"/>
      <c r="M309" s="11" t="n"/>
      <c r="N309" s="11" t="n"/>
      <c r="O309" s="12">
        <f>IF(L309="","",IFERROR(INDEX(DAFTAR_FIXTURE!$B$2:$B$51,MATCH(L309,DAFTAR_FIXTURE!$A$2:$A$51,0)),""))</f>
        <v/>
      </c>
      <c r="P309" s="12">
        <f>IF(AND($D309="",L309=""),"",IF(L309="",IF(AND(Q309="",V309=""),"Belum ditempatkan",""),IF(O309="","CEK ID FIXTURE tidak ada di DAFTAR_FIXTURE",IF(M309="","CEK ZONA NO kosong",IF(ISNA(MATCH(O309&amp;"|"&amp;M309,LAYOUT!$E$2:$E$80,0)),"CEK ZONA NO di luar layout",IF(N309&lt;&gt;INDEX(LAYOUT!$D$2:$D$80,MATCH(O309&amp;"|"&amp;M309,LAYOUT!$E$2:$E$80,0)),"CEK JENIS ZONA",IF($D309="","Zona STOCK",IF($E309="","CEK SKU DESCRIPTION kosong","OK"))))))))</f>
        <v/>
      </c>
      <c r="Q309" s="11" t="n"/>
      <c r="R309" s="11" t="n"/>
      <c r="S309" s="11" t="n"/>
      <c r="T309" s="12">
        <f>IF(Q309="","",IFERROR(INDEX(DAFTAR_FIXTURE!$B$2:$B$51,MATCH(Q309,DAFTAR_FIXTURE!$A$2:$A$51,0)),""))</f>
        <v/>
      </c>
      <c r="U309" s="12">
        <f>IF(Q309="","",IF(T309="","CEK ID FIXTURE tidak ada di DAFTAR_FIXTURE",IF(R309="","CEK ZONA NO kosong",IF(ISNA(MATCH(T309&amp;"|"&amp;R309,LAYOUT!$E$2:$E$80,0)),"CEK ZONA NO di luar layout",IF(S309&lt;&gt;INDEX(LAYOUT!$D$2:$D$80,MATCH(T309&amp;"|"&amp;R309,LAYOUT!$E$2:$E$80,0)),"CEK JENIS ZONA",IF($D309="","Zona STOCK",IF($E309="","CEK SKU DESCRIPTION kosong","OK")))))))</f>
        <v/>
      </c>
      <c r="V309" s="11" t="n"/>
      <c r="W309" s="11" t="n"/>
      <c r="X309" s="11" t="n"/>
      <c r="Y309" s="12">
        <f>IF(V309="","",IFERROR(INDEX(DAFTAR_FIXTURE!$B$2:$B$51,MATCH(V309,DAFTAR_FIXTURE!$A$2:$A$51,0)),""))</f>
        <v/>
      </c>
      <c r="Z309" s="12">
        <f>IF(V309="","",IF(Y309="","CEK ID FIXTURE tidak ada di DAFTAR_FIXTURE",IF(W309="","CEK ZONA NO kosong",IF(ISNA(MATCH(Y309&amp;"|"&amp;W309,LAYOUT!$E$2:$E$80,0)),"CEK ZONA NO di luar layout",IF(X309&lt;&gt;INDEX(LAYOUT!$D$2:$D$80,MATCH(Y309&amp;"|"&amp;W309,LAYOUT!$E$2:$E$80,0)),"CEK JENIS ZONA",IF($D309="","Zona STOCK",IF($E309="","CEK SKU DESCRIPTION kosong","OK")))))))</f>
        <v/>
      </c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1" t="n"/>
      <c r="M310" s="11" t="n"/>
      <c r="N310" s="11" t="n"/>
      <c r="O310" s="12">
        <f>IF(L310="","",IFERROR(INDEX(DAFTAR_FIXTURE!$B$2:$B$51,MATCH(L310,DAFTAR_FIXTURE!$A$2:$A$51,0)),""))</f>
        <v/>
      </c>
      <c r="P310" s="12">
        <f>IF(AND($D310="",L310=""),"",IF(L310="",IF(AND(Q310="",V310=""),"Belum ditempatkan",""),IF(O310="","CEK ID FIXTURE tidak ada di DAFTAR_FIXTURE",IF(M310="","CEK ZONA NO kosong",IF(ISNA(MATCH(O310&amp;"|"&amp;M310,LAYOUT!$E$2:$E$80,0)),"CEK ZONA NO di luar layout",IF(N310&lt;&gt;INDEX(LAYOUT!$D$2:$D$80,MATCH(O310&amp;"|"&amp;M310,LAYOUT!$E$2:$E$80,0)),"CEK JENIS ZONA",IF($D310="","Zona STOCK",IF($E310="","CEK SKU DESCRIPTION kosong","OK"))))))))</f>
        <v/>
      </c>
      <c r="Q310" s="11" t="n"/>
      <c r="R310" s="11" t="n"/>
      <c r="S310" s="11" t="n"/>
      <c r="T310" s="12">
        <f>IF(Q310="","",IFERROR(INDEX(DAFTAR_FIXTURE!$B$2:$B$51,MATCH(Q310,DAFTAR_FIXTURE!$A$2:$A$51,0)),""))</f>
        <v/>
      </c>
      <c r="U310" s="12">
        <f>IF(Q310="","",IF(T310="","CEK ID FIXTURE tidak ada di DAFTAR_FIXTURE",IF(R310="","CEK ZONA NO kosong",IF(ISNA(MATCH(T310&amp;"|"&amp;R310,LAYOUT!$E$2:$E$80,0)),"CEK ZONA NO di luar layout",IF(S310&lt;&gt;INDEX(LAYOUT!$D$2:$D$80,MATCH(T310&amp;"|"&amp;R310,LAYOUT!$E$2:$E$80,0)),"CEK JENIS ZONA",IF($D310="","Zona STOCK",IF($E310="","CEK SKU DESCRIPTION kosong","OK")))))))</f>
        <v/>
      </c>
      <c r="V310" s="11" t="n"/>
      <c r="W310" s="11" t="n"/>
      <c r="X310" s="11" t="n"/>
      <c r="Y310" s="12">
        <f>IF(V310="","",IFERROR(INDEX(DAFTAR_FIXTURE!$B$2:$B$51,MATCH(V310,DAFTAR_FIXTURE!$A$2:$A$51,0)),""))</f>
        <v/>
      </c>
      <c r="Z310" s="12">
        <f>IF(V310="","",IF(Y310="","CEK ID FIXTURE tidak ada di DAFTAR_FIXTURE",IF(W310="","CEK ZONA NO kosong",IF(ISNA(MATCH(Y310&amp;"|"&amp;W310,LAYOUT!$E$2:$E$80,0)),"CEK ZONA NO di luar layout",IF(X310&lt;&gt;INDEX(LAYOUT!$D$2:$D$80,MATCH(Y310&amp;"|"&amp;W310,LAYOUT!$E$2:$E$80,0)),"CEK JENIS ZONA",IF($D310="","Zona STOCK",IF($E310="","CEK SKU DESCRIPTION kosong","OK")))))))</f>
        <v/>
      </c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1" t="n"/>
      <c r="M311" s="11" t="n"/>
      <c r="N311" s="11" t="n"/>
      <c r="O311" s="12">
        <f>IF(L311="","",IFERROR(INDEX(DAFTAR_FIXTURE!$B$2:$B$51,MATCH(L311,DAFTAR_FIXTURE!$A$2:$A$51,0)),""))</f>
        <v/>
      </c>
      <c r="P311" s="12">
        <f>IF(AND($D311="",L311=""),"",IF(L311="",IF(AND(Q311="",V311=""),"Belum ditempatkan",""),IF(O311="","CEK ID FIXTURE tidak ada di DAFTAR_FIXTURE",IF(M311="","CEK ZONA NO kosong",IF(ISNA(MATCH(O311&amp;"|"&amp;M311,LAYOUT!$E$2:$E$80,0)),"CEK ZONA NO di luar layout",IF(N311&lt;&gt;INDEX(LAYOUT!$D$2:$D$80,MATCH(O311&amp;"|"&amp;M311,LAYOUT!$E$2:$E$80,0)),"CEK JENIS ZONA",IF($D311="","Zona STOCK",IF($E311="","CEK SKU DESCRIPTION kosong","OK"))))))))</f>
        <v/>
      </c>
      <c r="Q311" s="11" t="n"/>
      <c r="R311" s="11" t="n"/>
      <c r="S311" s="11" t="n"/>
      <c r="T311" s="12">
        <f>IF(Q311="","",IFERROR(INDEX(DAFTAR_FIXTURE!$B$2:$B$51,MATCH(Q311,DAFTAR_FIXTURE!$A$2:$A$51,0)),""))</f>
        <v/>
      </c>
      <c r="U311" s="12">
        <f>IF(Q311="","",IF(T311="","CEK ID FIXTURE tidak ada di DAFTAR_FIXTURE",IF(R311="","CEK ZONA NO kosong",IF(ISNA(MATCH(T311&amp;"|"&amp;R311,LAYOUT!$E$2:$E$80,0)),"CEK ZONA NO di luar layout",IF(S311&lt;&gt;INDEX(LAYOUT!$D$2:$D$80,MATCH(T311&amp;"|"&amp;R311,LAYOUT!$E$2:$E$80,0)),"CEK JENIS ZONA",IF($D311="","Zona STOCK",IF($E311="","CEK SKU DESCRIPTION kosong","OK")))))))</f>
        <v/>
      </c>
      <c r="V311" s="11" t="n"/>
      <c r="W311" s="11" t="n"/>
      <c r="X311" s="11" t="n"/>
      <c r="Y311" s="12">
        <f>IF(V311="","",IFERROR(INDEX(DAFTAR_FIXTURE!$B$2:$B$51,MATCH(V311,DAFTAR_FIXTURE!$A$2:$A$51,0)),""))</f>
        <v/>
      </c>
      <c r="Z311" s="12">
        <f>IF(V311="","",IF(Y311="","CEK ID FIXTURE tidak ada di DAFTAR_FIXTURE",IF(W311="","CEK ZONA NO kosong",IF(ISNA(MATCH(Y311&amp;"|"&amp;W311,LAYOUT!$E$2:$E$80,0)),"CEK ZONA NO di luar layout",IF(X311&lt;&gt;INDEX(LAYOUT!$D$2:$D$80,MATCH(Y311&amp;"|"&amp;W311,LAYOUT!$E$2:$E$80,0)),"CEK JENIS ZONA",IF($D311="","Zona STOCK",IF($E311="","CEK SKU DESCRIPTION kosong","OK")))))))</f>
        <v/>
      </c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1" t="n"/>
      <c r="M312" s="11" t="n"/>
      <c r="N312" s="11" t="n"/>
      <c r="O312" s="12">
        <f>IF(L312="","",IFERROR(INDEX(DAFTAR_FIXTURE!$B$2:$B$51,MATCH(L312,DAFTAR_FIXTURE!$A$2:$A$51,0)),""))</f>
        <v/>
      </c>
      <c r="P312" s="12">
        <f>IF(AND($D312="",L312=""),"",IF(L312="",IF(AND(Q312="",V312=""),"Belum ditempatkan",""),IF(O312="","CEK ID FIXTURE tidak ada di DAFTAR_FIXTURE",IF(M312="","CEK ZONA NO kosong",IF(ISNA(MATCH(O312&amp;"|"&amp;M312,LAYOUT!$E$2:$E$80,0)),"CEK ZONA NO di luar layout",IF(N312&lt;&gt;INDEX(LAYOUT!$D$2:$D$80,MATCH(O312&amp;"|"&amp;M312,LAYOUT!$E$2:$E$80,0)),"CEK JENIS ZONA",IF($D312="","Zona STOCK",IF($E312="","CEK SKU DESCRIPTION kosong","OK"))))))))</f>
        <v/>
      </c>
      <c r="Q312" s="11" t="n"/>
      <c r="R312" s="11" t="n"/>
      <c r="S312" s="11" t="n"/>
      <c r="T312" s="12">
        <f>IF(Q312="","",IFERROR(INDEX(DAFTAR_FIXTURE!$B$2:$B$51,MATCH(Q312,DAFTAR_FIXTURE!$A$2:$A$51,0)),""))</f>
        <v/>
      </c>
      <c r="U312" s="12">
        <f>IF(Q312="","",IF(T312="","CEK ID FIXTURE tidak ada di DAFTAR_FIXTURE",IF(R312="","CEK ZONA NO kosong",IF(ISNA(MATCH(T312&amp;"|"&amp;R312,LAYOUT!$E$2:$E$80,0)),"CEK ZONA NO di luar layout",IF(S312&lt;&gt;INDEX(LAYOUT!$D$2:$D$80,MATCH(T312&amp;"|"&amp;R312,LAYOUT!$E$2:$E$80,0)),"CEK JENIS ZONA",IF($D312="","Zona STOCK",IF($E312="","CEK SKU DESCRIPTION kosong","OK")))))))</f>
        <v/>
      </c>
      <c r="V312" s="11" t="n"/>
      <c r="W312" s="11" t="n"/>
      <c r="X312" s="11" t="n"/>
      <c r="Y312" s="12">
        <f>IF(V312="","",IFERROR(INDEX(DAFTAR_FIXTURE!$B$2:$B$51,MATCH(V312,DAFTAR_FIXTURE!$A$2:$A$51,0)),""))</f>
        <v/>
      </c>
      <c r="Z312" s="12">
        <f>IF(V312="","",IF(Y312="","CEK ID FIXTURE tidak ada di DAFTAR_FIXTURE",IF(W312="","CEK ZONA NO kosong",IF(ISNA(MATCH(Y312&amp;"|"&amp;W312,LAYOUT!$E$2:$E$80,0)),"CEK ZONA NO di luar layout",IF(X312&lt;&gt;INDEX(LAYOUT!$D$2:$D$80,MATCH(Y312&amp;"|"&amp;W312,LAYOUT!$E$2:$E$80,0)),"CEK JENIS ZONA",IF($D312="","Zona STOCK",IF($E312="","CEK SKU DESCRIPTION kosong","OK")))))))</f>
        <v/>
      </c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1" t="n"/>
      <c r="M313" s="11" t="n"/>
      <c r="N313" s="11" t="n"/>
      <c r="O313" s="12">
        <f>IF(L313="","",IFERROR(INDEX(DAFTAR_FIXTURE!$B$2:$B$51,MATCH(L313,DAFTAR_FIXTURE!$A$2:$A$51,0)),""))</f>
        <v/>
      </c>
      <c r="P313" s="12">
        <f>IF(AND($D313="",L313=""),"",IF(L313="",IF(AND(Q313="",V313=""),"Belum ditempatkan",""),IF(O313="","CEK ID FIXTURE tidak ada di DAFTAR_FIXTURE",IF(M313="","CEK ZONA NO kosong",IF(ISNA(MATCH(O313&amp;"|"&amp;M313,LAYOUT!$E$2:$E$80,0)),"CEK ZONA NO di luar layout",IF(N313&lt;&gt;INDEX(LAYOUT!$D$2:$D$80,MATCH(O313&amp;"|"&amp;M313,LAYOUT!$E$2:$E$80,0)),"CEK JENIS ZONA",IF($D313="","Zona STOCK",IF($E313="","CEK SKU DESCRIPTION kosong","OK"))))))))</f>
        <v/>
      </c>
      <c r="Q313" s="11" t="n"/>
      <c r="R313" s="11" t="n"/>
      <c r="S313" s="11" t="n"/>
      <c r="T313" s="12">
        <f>IF(Q313="","",IFERROR(INDEX(DAFTAR_FIXTURE!$B$2:$B$51,MATCH(Q313,DAFTAR_FIXTURE!$A$2:$A$51,0)),""))</f>
        <v/>
      </c>
      <c r="U313" s="12">
        <f>IF(Q313="","",IF(T313="","CEK ID FIXTURE tidak ada di DAFTAR_FIXTURE",IF(R313="","CEK ZONA NO kosong",IF(ISNA(MATCH(T313&amp;"|"&amp;R313,LAYOUT!$E$2:$E$80,0)),"CEK ZONA NO di luar layout",IF(S313&lt;&gt;INDEX(LAYOUT!$D$2:$D$80,MATCH(T313&amp;"|"&amp;R313,LAYOUT!$E$2:$E$80,0)),"CEK JENIS ZONA",IF($D313="","Zona STOCK",IF($E313="","CEK SKU DESCRIPTION kosong","OK")))))))</f>
        <v/>
      </c>
      <c r="V313" s="11" t="n"/>
      <c r="W313" s="11" t="n"/>
      <c r="X313" s="11" t="n"/>
      <c r="Y313" s="12">
        <f>IF(V313="","",IFERROR(INDEX(DAFTAR_FIXTURE!$B$2:$B$51,MATCH(V313,DAFTAR_FIXTURE!$A$2:$A$51,0)),""))</f>
        <v/>
      </c>
      <c r="Z313" s="12">
        <f>IF(V313="","",IF(Y313="","CEK ID FIXTURE tidak ada di DAFTAR_FIXTURE",IF(W313="","CEK ZONA NO kosong",IF(ISNA(MATCH(Y313&amp;"|"&amp;W313,LAYOUT!$E$2:$E$80,0)),"CEK ZONA NO di luar layout",IF(X313&lt;&gt;INDEX(LAYOUT!$D$2:$D$80,MATCH(Y313&amp;"|"&amp;W313,LAYOUT!$E$2:$E$80,0)),"CEK JENIS ZONA",IF($D313="","Zona STOCK",IF($E313="","CEK SKU DESCRIPTION kosong","OK")))))))</f>
        <v/>
      </c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1" t="n"/>
      <c r="M314" s="11" t="n"/>
      <c r="N314" s="11" t="n"/>
      <c r="O314" s="12">
        <f>IF(L314="","",IFERROR(INDEX(DAFTAR_FIXTURE!$B$2:$B$51,MATCH(L314,DAFTAR_FIXTURE!$A$2:$A$51,0)),""))</f>
        <v/>
      </c>
      <c r="P314" s="12">
        <f>IF(AND($D314="",L314=""),"",IF(L314="",IF(AND(Q314="",V314=""),"Belum ditempatkan",""),IF(O314="","CEK ID FIXTURE tidak ada di DAFTAR_FIXTURE",IF(M314="","CEK ZONA NO kosong",IF(ISNA(MATCH(O314&amp;"|"&amp;M314,LAYOUT!$E$2:$E$80,0)),"CEK ZONA NO di luar layout",IF(N314&lt;&gt;INDEX(LAYOUT!$D$2:$D$80,MATCH(O314&amp;"|"&amp;M314,LAYOUT!$E$2:$E$80,0)),"CEK JENIS ZONA",IF($D314="","Zona STOCK",IF($E314="","CEK SKU DESCRIPTION kosong","OK"))))))))</f>
        <v/>
      </c>
      <c r="Q314" s="11" t="n"/>
      <c r="R314" s="11" t="n"/>
      <c r="S314" s="11" t="n"/>
      <c r="T314" s="12">
        <f>IF(Q314="","",IFERROR(INDEX(DAFTAR_FIXTURE!$B$2:$B$51,MATCH(Q314,DAFTAR_FIXTURE!$A$2:$A$51,0)),""))</f>
        <v/>
      </c>
      <c r="U314" s="12">
        <f>IF(Q314="","",IF(T314="","CEK ID FIXTURE tidak ada di DAFTAR_FIXTURE",IF(R314="","CEK ZONA NO kosong",IF(ISNA(MATCH(T314&amp;"|"&amp;R314,LAYOUT!$E$2:$E$80,0)),"CEK ZONA NO di luar layout",IF(S314&lt;&gt;INDEX(LAYOUT!$D$2:$D$80,MATCH(T314&amp;"|"&amp;R314,LAYOUT!$E$2:$E$80,0)),"CEK JENIS ZONA",IF($D314="","Zona STOCK",IF($E314="","CEK SKU DESCRIPTION kosong","OK")))))))</f>
        <v/>
      </c>
      <c r="V314" s="11" t="n"/>
      <c r="W314" s="11" t="n"/>
      <c r="X314" s="11" t="n"/>
      <c r="Y314" s="12">
        <f>IF(V314="","",IFERROR(INDEX(DAFTAR_FIXTURE!$B$2:$B$51,MATCH(V314,DAFTAR_FIXTURE!$A$2:$A$51,0)),""))</f>
        <v/>
      </c>
      <c r="Z314" s="12">
        <f>IF(V314="","",IF(Y314="","CEK ID FIXTURE tidak ada di DAFTAR_FIXTURE",IF(W314="","CEK ZONA NO kosong",IF(ISNA(MATCH(Y314&amp;"|"&amp;W314,LAYOUT!$E$2:$E$80,0)),"CEK ZONA NO di luar layout",IF(X314&lt;&gt;INDEX(LAYOUT!$D$2:$D$80,MATCH(Y314&amp;"|"&amp;W314,LAYOUT!$E$2:$E$80,0)),"CEK JENIS ZONA",IF($D314="","Zona STOCK",IF($E314="","CEK SKU DESCRIPTION kosong","OK")))))))</f>
        <v/>
      </c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1" t="n"/>
      <c r="M315" s="11" t="n"/>
      <c r="N315" s="11" t="n"/>
      <c r="O315" s="12">
        <f>IF(L315="","",IFERROR(INDEX(DAFTAR_FIXTURE!$B$2:$B$51,MATCH(L315,DAFTAR_FIXTURE!$A$2:$A$51,0)),""))</f>
        <v/>
      </c>
      <c r="P315" s="12">
        <f>IF(AND($D315="",L315=""),"",IF(L315="",IF(AND(Q315="",V315=""),"Belum ditempatkan",""),IF(O315="","CEK ID FIXTURE tidak ada di DAFTAR_FIXTURE",IF(M315="","CEK ZONA NO kosong",IF(ISNA(MATCH(O315&amp;"|"&amp;M315,LAYOUT!$E$2:$E$80,0)),"CEK ZONA NO di luar layout",IF(N315&lt;&gt;INDEX(LAYOUT!$D$2:$D$80,MATCH(O315&amp;"|"&amp;M315,LAYOUT!$E$2:$E$80,0)),"CEK JENIS ZONA",IF($D315="","Zona STOCK",IF($E315="","CEK SKU DESCRIPTION kosong","OK"))))))))</f>
        <v/>
      </c>
      <c r="Q315" s="11" t="n"/>
      <c r="R315" s="11" t="n"/>
      <c r="S315" s="11" t="n"/>
      <c r="T315" s="12">
        <f>IF(Q315="","",IFERROR(INDEX(DAFTAR_FIXTURE!$B$2:$B$51,MATCH(Q315,DAFTAR_FIXTURE!$A$2:$A$51,0)),""))</f>
        <v/>
      </c>
      <c r="U315" s="12">
        <f>IF(Q315="","",IF(T315="","CEK ID FIXTURE tidak ada di DAFTAR_FIXTURE",IF(R315="","CEK ZONA NO kosong",IF(ISNA(MATCH(T315&amp;"|"&amp;R315,LAYOUT!$E$2:$E$80,0)),"CEK ZONA NO di luar layout",IF(S315&lt;&gt;INDEX(LAYOUT!$D$2:$D$80,MATCH(T315&amp;"|"&amp;R315,LAYOUT!$E$2:$E$80,0)),"CEK JENIS ZONA",IF($D315="","Zona STOCK",IF($E315="","CEK SKU DESCRIPTION kosong","OK")))))))</f>
        <v/>
      </c>
      <c r="V315" s="11" t="n"/>
      <c r="W315" s="11" t="n"/>
      <c r="X315" s="11" t="n"/>
      <c r="Y315" s="12">
        <f>IF(V315="","",IFERROR(INDEX(DAFTAR_FIXTURE!$B$2:$B$51,MATCH(V315,DAFTAR_FIXTURE!$A$2:$A$51,0)),""))</f>
        <v/>
      </c>
      <c r="Z315" s="12">
        <f>IF(V315="","",IF(Y315="","CEK ID FIXTURE tidak ada di DAFTAR_FIXTURE",IF(W315="","CEK ZONA NO kosong",IF(ISNA(MATCH(Y315&amp;"|"&amp;W315,LAYOUT!$E$2:$E$80,0)),"CEK ZONA NO di luar layout",IF(X315&lt;&gt;INDEX(LAYOUT!$D$2:$D$80,MATCH(Y315&amp;"|"&amp;W315,LAYOUT!$E$2:$E$80,0)),"CEK JENIS ZONA",IF($D315="","Zona STOCK",IF($E315="","CEK SKU DESCRIPTION kosong","OK")))))))</f>
        <v/>
      </c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1" t="n"/>
      <c r="M316" s="11" t="n"/>
      <c r="N316" s="11" t="n"/>
      <c r="O316" s="12">
        <f>IF(L316="","",IFERROR(INDEX(DAFTAR_FIXTURE!$B$2:$B$51,MATCH(L316,DAFTAR_FIXTURE!$A$2:$A$51,0)),""))</f>
        <v/>
      </c>
      <c r="P316" s="12">
        <f>IF(AND($D316="",L316=""),"",IF(L316="",IF(AND(Q316="",V316=""),"Belum ditempatkan",""),IF(O316="","CEK ID FIXTURE tidak ada di DAFTAR_FIXTURE",IF(M316="","CEK ZONA NO kosong",IF(ISNA(MATCH(O316&amp;"|"&amp;M316,LAYOUT!$E$2:$E$80,0)),"CEK ZONA NO di luar layout",IF(N316&lt;&gt;INDEX(LAYOUT!$D$2:$D$80,MATCH(O316&amp;"|"&amp;M316,LAYOUT!$E$2:$E$80,0)),"CEK JENIS ZONA",IF($D316="","Zona STOCK",IF($E316="","CEK SKU DESCRIPTION kosong","OK"))))))))</f>
        <v/>
      </c>
      <c r="Q316" s="11" t="n"/>
      <c r="R316" s="11" t="n"/>
      <c r="S316" s="11" t="n"/>
      <c r="T316" s="12">
        <f>IF(Q316="","",IFERROR(INDEX(DAFTAR_FIXTURE!$B$2:$B$51,MATCH(Q316,DAFTAR_FIXTURE!$A$2:$A$51,0)),""))</f>
        <v/>
      </c>
      <c r="U316" s="12">
        <f>IF(Q316="","",IF(T316="","CEK ID FIXTURE tidak ada di DAFTAR_FIXTURE",IF(R316="","CEK ZONA NO kosong",IF(ISNA(MATCH(T316&amp;"|"&amp;R316,LAYOUT!$E$2:$E$80,0)),"CEK ZONA NO di luar layout",IF(S316&lt;&gt;INDEX(LAYOUT!$D$2:$D$80,MATCH(T316&amp;"|"&amp;R316,LAYOUT!$E$2:$E$80,0)),"CEK JENIS ZONA",IF($D316="","Zona STOCK",IF($E316="","CEK SKU DESCRIPTION kosong","OK")))))))</f>
        <v/>
      </c>
      <c r="V316" s="11" t="n"/>
      <c r="W316" s="11" t="n"/>
      <c r="X316" s="11" t="n"/>
      <c r="Y316" s="12">
        <f>IF(V316="","",IFERROR(INDEX(DAFTAR_FIXTURE!$B$2:$B$51,MATCH(V316,DAFTAR_FIXTURE!$A$2:$A$51,0)),""))</f>
        <v/>
      </c>
      <c r="Z316" s="12">
        <f>IF(V316="","",IF(Y316="","CEK ID FIXTURE tidak ada di DAFTAR_FIXTURE",IF(W316="","CEK ZONA NO kosong",IF(ISNA(MATCH(Y316&amp;"|"&amp;W316,LAYOUT!$E$2:$E$80,0)),"CEK ZONA NO di luar layout",IF(X316&lt;&gt;INDEX(LAYOUT!$D$2:$D$80,MATCH(Y316&amp;"|"&amp;W316,LAYOUT!$E$2:$E$80,0)),"CEK JENIS ZONA",IF($D316="","Zona STOCK",IF($E316="","CEK SKU DESCRIPTION kosong","OK")))))))</f>
        <v/>
      </c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1" t="n"/>
      <c r="M317" s="11" t="n"/>
      <c r="N317" s="11" t="n"/>
      <c r="O317" s="12">
        <f>IF(L317="","",IFERROR(INDEX(DAFTAR_FIXTURE!$B$2:$B$51,MATCH(L317,DAFTAR_FIXTURE!$A$2:$A$51,0)),""))</f>
        <v/>
      </c>
      <c r="P317" s="12">
        <f>IF(AND($D317="",L317=""),"",IF(L317="",IF(AND(Q317="",V317=""),"Belum ditempatkan",""),IF(O317="","CEK ID FIXTURE tidak ada di DAFTAR_FIXTURE",IF(M317="","CEK ZONA NO kosong",IF(ISNA(MATCH(O317&amp;"|"&amp;M317,LAYOUT!$E$2:$E$80,0)),"CEK ZONA NO di luar layout",IF(N317&lt;&gt;INDEX(LAYOUT!$D$2:$D$80,MATCH(O317&amp;"|"&amp;M317,LAYOUT!$E$2:$E$80,0)),"CEK JENIS ZONA",IF($D317="","Zona STOCK",IF($E317="","CEK SKU DESCRIPTION kosong","OK"))))))))</f>
        <v/>
      </c>
      <c r="Q317" s="11" t="n"/>
      <c r="R317" s="11" t="n"/>
      <c r="S317" s="11" t="n"/>
      <c r="T317" s="12">
        <f>IF(Q317="","",IFERROR(INDEX(DAFTAR_FIXTURE!$B$2:$B$51,MATCH(Q317,DAFTAR_FIXTURE!$A$2:$A$51,0)),""))</f>
        <v/>
      </c>
      <c r="U317" s="12">
        <f>IF(Q317="","",IF(T317="","CEK ID FIXTURE tidak ada di DAFTAR_FIXTURE",IF(R317="","CEK ZONA NO kosong",IF(ISNA(MATCH(T317&amp;"|"&amp;R317,LAYOUT!$E$2:$E$80,0)),"CEK ZONA NO di luar layout",IF(S317&lt;&gt;INDEX(LAYOUT!$D$2:$D$80,MATCH(T317&amp;"|"&amp;R317,LAYOUT!$E$2:$E$80,0)),"CEK JENIS ZONA",IF($D317="","Zona STOCK",IF($E317="","CEK SKU DESCRIPTION kosong","OK")))))))</f>
        <v/>
      </c>
      <c r="V317" s="11" t="n"/>
      <c r="W317" s="11" t="n"/>
      <c r="X317" s="11" t="n"/>
      <c r="Y317" s="12">
        <f>IF(V317="","",IFERROR(INDEX(DAFTAR_FIXTURE!$B$2:$B$51,MATCH(V317,DAFTAR_FIXTURE!$A$2:$A$51,0)),""))</f>
        <v/>
      </c>
      <c r="Z317" s="12">
        <f>IF(V317="","",IF(Y317="","CEK ID FIXTURE tidak ada di DAFTAR_FIXTURE",IF(W317="","CEK ZONA NO kosong",IF(ISNA(MATCH(Y317&amp;"|"&amp;W317,LAYOUT!$E$2:$E$80,0)),"CEK ZONA NO di luar layout",IF(X317&lt;&gt;INDEX(LAYOUT!$D$2:$D$80,MATCH(Y317&amp;"|"&amp;W317,LAYOUT!$E$2:$E$80,0)),"CEK JENIS ZONA",IF($D317="","Zona STOCK",IF($E317="","CEK SKU DESCRIPTION kosong","OK")))))))</f>
        <v/>
      </c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1" t="n"/>
      <c r="M318" s="11" t="n"/>
      <c r="N318" s="11" t="n"/>
      <c r="O318" s="12">
        <f>IF(L318="","",IFERROR(INDEX(DAFTAR_FIXTURE!$B$2:$B$51,MATCH(L318,DAFTAR_FIXTURE!$A$2:$A$51,0)),""))</f>
        <v/>
      </c>
      <c r="P318" s="12">
        <f>IF(AND($D318="",L318=""),"",IF(L318="",IF(AND(Q318="",V318=""),"Belum ditempatkan",""),IF(O318="","CEK ID FIXTURE tidak ada di DAFTAR_FIXTURE",IF(M318="","CEK ZONA NO kosong",IF(ISNA(MATCH(O318&amp;"|"&amp;M318,LAYOUT!$E$2:$E$80,0)),"CEK ZONA NO di luar layout",IF(N318&lt;&gt;INDEX(LAYOUT!$D$2:$D$80,MATCH(O318&amp;"|"&amp;M318,LAYOUT!$E$2:$E$80,0)),"CEK JENIS ZONA",IF($D318="","Zona STOCK",IF($E318="","CEK SKU DESCRIPTION kosong","OK"))))))))</f>
        <v/>
      </c>
      <c r="Q318" s="11" t="n"/>
      <c r="R318" s="11" t="n"/>
      <c r="S318" s="11" t="n"/>
      <c r="T318" s="12">
        <f>IF(Q318="","",IFERROR(INDEX(DAFTAR_FIXTURE!$B$2:$B$51,MATCH(Q318,DAFTAR_FIXTURE!$A$2:$A$51,0)),""))</f>
        <v/>
      </c>
      <c r="U318" s="12">
        <f>IF(Q318="","",IF(T318="","CEK ID FIXTURE tidak ada di DAFTAR_FIXTURE",IF(R318="","CEK ZONA NO kosong",IF(ISNA(MATCH(T318&amp;"|"&amp;R318,LAYOUT!$E$2:$E$80,0)),"CEK ZONA NO di luar layout",IF(S318&lt;&gt;INDEX(LAYOUT!$D$2:$D$80,MATCH(T318&amp;"|"&amp;R318,LAYOUT!$E$2:$E$80,0)),"CEK JENIS ZONA",IF($D318="","Zona STOCK",IF($E318="","CEK SKU DESCRIPTION kosong","OK")))))))</f>
        <v/>
      </c>
      <c r="V318" s="11" t="n"/>
      <c r="W318" s="11" t="n"/>
      <c r="X318" s="11" t="n"/>
      <c r="Y318" s="12">
        <f>IF(V318="","",IFERROR(INDEX(DAFTAR_FIXTURE!$B$2:$B$51,MATCH(V318,DAFTAR_FIXTURE!$A$2:$A$51,0)),""))</f>
        <v/>
      </c>
      <c r="Z318" s="12">
        <f>IF(V318="","",IF(Y318="","CEK ID FIXTURE tidak ada di DAFTAR_FIXTURE",IF(W318="","CEK ZONA NO kosong",IF(ISNA(MATCH(Y318&amp;"|"&amp;W318,LAYOUT!$E$2:$E$80,0)),"CEK ZONA NO di luar layout",IF(X318&lt;&gt;INDEX(LAYOUT!$D$2:$D$80,MATCH(Y318&amp;"|"&amp;W318,LAYOUT!$E$2:$E$80,0)),"CEK JENIS ZONA",IF($D318="","Zona STOCK",IF($E318="","CEK SKU DESCRIPTION kosong","OK")))))))</f>
        <v/>
      </c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1" t="n"/>
      <c r="M319" s="11" t="n"/>
      <c r="N319" s="11" t="n"/>
      <c r="O319" s="12">
        <f>IF(L319="","",IFERROR(INDEX(DAFTAR_FIXTURE!$B$2:$B$51,MATCH(L319,DAFTAR_FIXTURE!$A$2:$A$51,0)),""))</f>
        <v/>
      </c>
      <c r="P319" s="12">
        <f>IF(AND($D319="",L319=""),"",IF(L319="",IF(AND(Q319="",V319=""),"Belum ditempatkan",""),IF(O319="","CEK ID FIXTURE tidak ada di DAFTAR_FIXTURE",IF(M319="","CEK ZONA NO kosong",IF(ISNA(MATCH(O319&amp;"|"&amp;M319,LAYOUT!$E$2:$E$80,0)),"CEK ZONA NO di luar layout",IF(N319&lt;&gt;INDEX(LAYOUT!$D$2:$D$80,MATCH(O319&amp;"|"&amp;M319,LAYOUT!$E$2:$E$80,0)),"CEK JENIS ZONA",IF($D319="","Zona STOCK",IF($E319="","CEK SKU DESCRIPTION kosong","OK"))))))))</f>
        <v/>
      </c>
      <c r="Q319" s="11" t="n"/>
      <c r="R319" s="11" t="n"/>
      <c r="S319" s="11" t="n"/>
      <c r="T319" s="12">
        <f>IF(Q319="","",IFERROR(INDEX(DAFTAR_FIXTURE!$B$2:$B$51,MATCH(Q319,DAFTAR_FIXTURE!$A$2:$A$51,0)),""))</f>
        <v/>
      </c>
      <c r="U319" s="12">
        <f>IF(Q319="","",IF(T319="","CEK ID FIXTURE tidak ada di DAFTAR_FIXTURE",IF(R319="","CEK ZONA NO kosong",IF(ISNA(MATCH(T319&amp;"|"&amp;R319,LAYOUT!$E$2:$E$80,0)),"CEK ZONA NO di luar layout",IF(S319&lt;&gt;INDEX(LAYOUT!$D$2:$D$80,MATCH(T319&amp;"|"&amp;R319,LAYOUT!$E$2:$E$80,0)),"CEK JENIS ZONA",IF($D319="","Zona STOCK",IF($E319="","CEK SKU DESCRIPTION kosong","OK")))))))</f>
        <v/>
      </c>
      <c r="V319" s="11" t="n"/>
      <c r="W319" s="11" t="n"/>
      <c r="X319" s="11" t="n"/>
      <c r="Y319" s="12">
        <f>IF(V319="","",IFERROR(INDEX(DAFTAR_FIXTURE!$B$2:$B$51,MATCH(V319,DAFTAR_FIXTURE!$A$2:$A$51,0)),""))</f>
        <v/>
      </c>
      <c r="Z319" s="12">
        <f>IF(V319="","",IF(Y319="","CEK ID FIXTURE tidak ada di DAFTAR_FIXTURE",IF(W319="","CEK ZONA NO kosong",IF(ISNA(MATCH(Y319&amp;"|"&amp;W319,LAYOUT!$E$2:$E$80,0)),"CEK ZONA NO di luar layout",IF(X319&lt;&gt;INDEX(LAYOUT!$D$2:$D$80,MATCH(Y319&amp;"|"&amp;W319,LAYOUT!$E$2:$E$80,0)),"CEK JENIS ZONA",IF($D319="","Zona STOCK",IF($E319="","CEK SKU DESCRIPTION kosong","OK")))))))</f>
        <v/>
      </c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1" t="n"/>
      <c r="M320" s="11" t="n"/>
      <c r="N320" s="11" t="n"/>
      <c r="O320" s="12">
        <f>IF(L320="","",IFERROR(INDEX(DAFTAR_FIXTURE!$B$2:$B$51,MATCH(L320,DAFTAR_FIXTURE!$A$2:$A$51,0)),""))</f>
        <v/>
      </c>
      <c r="P320" s="12">
        <f>IF(AND($D320="",L320=""),"",IF(L320="",IF(AND(Q320="",V320=""),"Belum ditempatkan",""),IF(O320="","CEK ID FIXTURE tidak ada di DAFTAR_FIXTURE",IF(M320="","CEK ZONA NO kosong",IF(ISNA(MATCH(O320&amp;"|"&amp;M320,LAYOUT!$E$2:$E$80,0)),"CEK ZONA NO di luar layout",IF(N320&lt;&gt;INDEX(LAYOUT!$D$2:$D$80,MATCH(O320&amp;"|"&amp;M320,LAYOUT!$E$2:$E$80,0)),"CEK JENIS ZONA",IF($D320="","Zona STOCK",IF($E320="","CEK SKU DESCRIPTION kosong","OK"))))))))</f>
        <v/>
      </c>
      <c r="Q320" s="11" t="n"/>
      <c r="R320" s="11" t="n"/>
      <c r="S320" s="11" t="n"/>
      <c r="T320" s="12">
        <f>IF(Q320="","",IFERROR(INDEX(DAFTAR_FIXTURE!$B$2:$B$51,MATCH(Q320,DAFTAR_FIXTURE!$A$2:$A$51,0)),""))</f>
        <v/>
      </c>
      <c r="U320" s="12">
        <f>IF(Q320="","",IF(T320="","CEK ID FIXTURE tidak ada di DAFTAR_FIXTURE",IF(R320="","CEK ZONA NO kosong",IF(ISNA(MATCH(T320&amp;"|"&amp;R320,LAYOUT!$E$2:$E$80,0)),"CEK ZONA NO di luar layout",IF(S320&lt;&gt;INDEX(LAYOUT!$D$2:$D$80,MATCH(T320&amp;"|"&amp;R320,LAYOUT!$E$2:$E$80,0)),"CEK JENIS ZONA",IF($D320="","Zona STOCK",IF($E320="","CEK SKU DESCRIPTION kosong","OK")))))))</f>
        <v/>
      </c>
      <c r="V320" s="11" t="n"/>
      <c r="W320" s="11" t="n"/>
      <c r="X320" s="11" t="n"/>
      <c r="Y320" s="12">
        <f>IF(V320="","",IFERROR(INDEX(DAFTAR_FIXTURE!$B$2:$B$51,MATCH(V320,DAFTAR_FIXTURE!$A$2:$A$51,0)),""))</f>
        <v/>
      </c>
      <c r="Z320" s="12">
        <f>IF(V320="","",IF(Y320="","CEK ID FIXTURE tidak ada di DAFTAR_FIXTURE",IF(W320="","CEK ZONA NO kosong",IF(ISNA(MATCH(Y320&amp;"|"&amp;W320,LAYOUT!$E$2:$E$80,0)),"CEK ZONA NO di luar layout",IF(X320&lt;&gt;INDEX(LAYOUT!$D$2:$D$80,MATCH(Y320&amp;"|"&amp;W320,LAYOUT!$E$2:$E$80,0)),"CEK JENIS ZONA",IF($D320="","Zona STOCK",IF($E320="","CEK SKU DESCRIPTION kosong","OK")))))))</f>
        <v/>
      </c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1" t="n"/>
      <c r="M321" s="11" t="n"/>
      <c r="N321" s="11" t="n"/>
      <c r="O321" s="12">
        <f>IF(L321="","",IFERROR(INDEX(DAFTAR_FIXTURE!$B$2:$B$51,MATCH(L321,DAFTAR_FIXTURE!$A$2:$A$51,0)),""))</f>
        <v/>
      </c>
      <c r="P321" s="12">
        <f>IF(AND($D321="",L321=""),"",IF(L321="",IF(AND(Q321="",V321=""),"Belum ditempatkan",""),IF(O321="","CEK ID FIXTURE tidak ada di DAFTAR_FIXTURE",IF(M321="","CEK ZONA NO kosong",IF(ISNA(MATCH(O321&amp;"|"&amp;M321,LAYOUT!$E$2:$E$80,0)),"CEK ZONA NO di luar layout",IF(N321&lt;&gt;INDEX(LAYOUT!$D$2:$D$80,MATCH(O321&amp;"|"&amp;M321,LAYOUT!$E$2:$E$80,0)),"CEK JENIS ZONA",IF($D321="","Zona STOCK",IF($E321="","CEK SKU DESCRIPTION kosong","OK"))))))))</f>
        <v/>
      </c>
      <c r="Q321" s="11" t="n"/>
      <c r="R321" s="11" t="n"/>
      <c r="S321" s="11" t="n"/>
      <c r="T321" s="12">
        <f>IF(Q321="","",IFERROR(INDEX(DAFTAR_FIXTURE!$B$2:$B$51,MATCH(Q321,DAFTAR_FIXTURE!$A$2:$A$51,0)),""))</f>
        <v/>
      </c>
      <c r="U321" s="12">
        <f>IF(Q321="","",IF(T321="","CEK ID FIXTURE tidak ada di DAFTAR_FIXTURE",IF(R321="","CEK ZONA NO kosong",IF(ISNA(MATCH(T321&amp;"|"&amp;R321,LAYOUT!$E$2:$E$80,0)),"CEK ZONA NO di luar layout",IF(S321&lt;&gt;INDEX(LAYOUT!$D$2:$D$80,MATCH(T321&amp;"|"&amp;R321,LAYOUT!$E$2:$E$80,0)),"CEK JENIS ZONA",IF($D321="","Zona STOCK",IF($E321="","CEK SKU DESCRIPTION kosong","OK")))))))</f>
        <v/>
      </c>
      <c r="V321" s="11" t="n"/>
      <c r="W321" s="11" t="n"/>
      <c r="X321" s="11" t="n"/>
      <c r="Y321" s="12">
        <f>IF(V321="","",IFERROR(INDEX(DAFTAR_FIXTURE!$B$2:$B$51,MATCH(V321,DAFTAR_FIXTURE!$A$2:$A$51,0)),""))</f>
        <v/>
      </c>
      <c r="Z321" s="12">
        <f>IF(V321="","",IF(Y321="","CEK ID FIXTURE tidak ada di DAFTAR_FIXTURE",IF(W321="","CEK ZONA NO kosong",IF(ISNA(MATCH(Y321&amp;"|"&amp;W321,LAYOUT!$E$2:$E$80,0)),"CEK ZONA NO di luar layout",IF(X321&lt;&gt;INDEX(LAYOUT!$D$2:$D$80,MATCH(Y321&amp;"|"&amp;W321,LAYOUT!$E$2:$E$80,0)),"CEK JENIS ZONA",IF($D321="","Zona STOCK",IF($E321="","CEK SKU DESCRIPTION kosong","OK")))))))</f>
        <v/>
      </c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1" t="n"/>
      <c r="M322" s="11" t="n"/>
      <c r="N322" s="11" t="n"/>
      <c r="O322" s="12">
        <f>IF(L322="","",IFERROR(INDEX(DAFTAR_FIXTURE!$B$2:$B$51,MATCH(L322,DAFTAR_FIXTURE!$A$2:$A$51,0)),""))</f>
        <v/>
      </c>
      <c r="P322" s="12">
        <f>IF(AND($D322="",L322=""),"",IF(L322="",IF(AND(Q322="",V322=""),"Belum ditempatkan",""),IF(O322="","CEK ID FIXTURE tidak ada di DAFTAR_FIXTURE",IF(M322="","CEK ZONA NO kosong",IF(ISNA(MATCH(O322&amp;"|"&amp;M322,LAYOUT!$E$2:$E$80,0)),"CEK ZONA NO di luar layout",IF(N322&lt;&gt;INDEX(LAYOUT!$D$2:$D$80,MATCH(O322&amp;"|"&amp;M322,LAYOUT!$E$2:$E$80,0)),"CEK JENIS ZONA",IF($D322="","Zona STOCK",IF($E322="","CEK SKU DESCRIPTION kosong","OK"))))))))</f>
        <v/>
      </c>
      <c r="Q322" s="11" t="n"/>
      <c r="R322" s="11" t="n"/>
      <c r="S322" s="11" t="n"/>
      <c r="T322" s="12">
        <f>IF(Q322="","",IFERROR(INDEX(DAFTAR_FIXTURE!$B$2:$B$51,MATCH(Q322,DAFTAR_FIXTURE!$A$2:$A$51,0)),""))</f>
        <v/>
      </c>
      <c r="U322" s="12">
        <f>IF(Q322="","",IF(T322="","CEK ID FIXTURE tidak ada di DAFTAR_FIXTURE",IF(R322="","CEK ZONA NO kosong",IF(ISNA(MATCH(T322&amp;"|"&amp;R322,LAYOUT!$E$2:$E$80,0)),"CEK ZONA NO di luar layout",IF(S322&lt;&gt;INDEX(LAYOUT!$D$2:$D$80,MATCH(T322&amp;"|"&amp;R322,LAYOUT!$E$2:$E$80,0)),"CEK JENIS ZONA",IF($D322="","Zona STOCK",IF($E322="","CEK SKU DESCRIPTION kosong","OK")))))))</f>
        <v/>
      </c>
      <c r="V322" s="11" t="n"/>
      <c r="W322" s="11" t="n"/>
      <c r="X322" s="11" t="n"/>
      <c r="Y322" s="12">
        <f>IF(V322="","",IFERROR(INDEX(DAFTAR_FIXTURE!$B$2:$B$51,MATCH(V322,DAFTAR_FIXTURE!$A$2:$A$51,0)),""))</f>
        <v/>
      </c>
      <c r="Z322" s="12">
        <f>IF(V322="","",IF(Y322="","CEK ID FIXTURE tidak ada di DAFTAR_FIXTURE",IF(W322="","CEK ZONA NO kosong",IF(ISNA(MATCH(Y322&amp;"|"&amp;W322,LAYOUT!$E$2:$E$80,0)),"CEK ZONA NO di luar layout",IF(X322&lt;&gt;INDEX(LAYOUT!$D$2:$D$80,MATCH(Y322&amp;"|"&amp;W322,LAYOUT!$E$2:$E$80,0)),"CEK JENIS ZONA",IF($D322="","Zona STOCK",IF($E322="","CEK SKU DESCRIPTION kosong","OK")))))))</f>
        <v/>
      </c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1" t="n"/>
      <c r="M323" s="11" t="n"/>
      <c r="N323" s="11" t="n"/>
      <c r="O323" s="12">
        <f>IF(L323="","",IFERROR(INDEX(DAFTAR_FIXTURE!$B$2:$B$51,MATCH(L323,DAFTAR_FIXTURE!$A$2:$A$51,0)),""))</f>
        <v/>
      </c>
      <c r="P323" s="12">
        <f>IF(AND($D323="",L323=""),"",IF(L323="",IF(AND(Q323="",V323=""),"Belum ditempatkan",""),IF(O323="","CEK ID FIXTURE tidak ada di DAFTAR_FIXTURE",IF(M323="","CEK ZONA NO kosong",IF(ISNA(MATCH(O323&amp;"|"&amp;M323,LAYOUT!$E$2:$E$80,0)),"CEK ZONA NO di luar layout",IF(N323&lt;&gt;INDEX(LAYOUT!$D$2:$D$80,MATCH(O323&amp;"|"&amp;M323,LAYOUT!$E$2:$E$80,0)),"CEK JENIS ZONA",IF($D323="","Zona STOCK",IF($E323="","CEK SKU DESCRIPTION kosong","OK"))))))))</f>
        <v/>
      </c>
      <c r="Q323" s="11" t="n"/>
      <c r="R323" s="11" t="n"/>
      <c r="S323" s="11" t="n"/>
      <c r="T323" s="12">
        <f>IF(Q323="","",IFERROR(INDEX(DAFTAR_FIXTURE!$B$2:$B$51,MATCH(Q323,DAFTAR_FIXTURE!$A$2:$A$51,0)),""))</f>
        <v/>
      </c>
      <c r="U323" s="12">
        <f>IF(Q323="","",IF(T323="","CEK ID FIXTURE tidak ada di DAFTAR_FIXTURE",IF(R323="","CEK ZONA NO kosong",IF(ISNA(MATCH(T323&amp;"|"&amp;R323,LAYOUT!$E$2:$E$80,0)),"CEK ZONA NO di luar layout",IF(S323&lt;&gt;INDEX(LAYOUT!$D$2:$D$80,MATCH(T323&amp;"|"&amp;R323,LAYOUT!$E$2:$E$80,0)),"CEK JENIS ZONA",IF($D323="","Zona STOCK",IF($E323="","CEK SKU DESCRIPTION kosong","OK")))))))</f>
        <v/>
      </c>
      <c r="V323" s="11" t="n"/>
      <c r="W323" s="11" t="n"/>
      <c r="X323" s="11" t="n"/>
      <c r="Y323" s="12">
        <f>IF(V323="","",IFERROR(INDEX(DAFTAR_FIXTURE!$B$2:$B$51,MATCH(V323,DAFTAR_FIXTURE!$A$2:$A$51,0)),""))</f>
        <v/>
      </c>
      <c r="Z323" s="12">
        <f>IF(V323="","",IF(Y323="","CEK ID FIXTURE tidak ada di DAFTAR_FIXTURE",IF(W323="","CEK ZONA NO kosong",IF(ISNA(MATCH(Y323&amp;"|"&amp;W323,LAYOUT!$E$2:$E$80,0)),"CEK ZONA NO di luar layout",IF(X323&lt;&gt;INDEX(LAYOUT!$D$2:$D$80,MATCH(Y323&amp;"|"&amp;W323,LAYOUT!$E$2:$E$80,0)),"CEK JENIS ZONA",IF($D323="","Zona STOCK",IF($E323="","CEK SKU DESCRIPTION kosong","OK")))))))</f>
        <v/>
      </c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1" t="n"/>
      <c r="M324" s="11" t="n"/>
      <c r="N324" s="11" t="n"/>
      <c r="O324" s="12">
        <f>IF(L324="","",IFERROR(INDEX(DAFTAR_FIXTURE!$B$2:$B$51,MATCH(L324,DAFTAR_FIXTURE!$A$2:$A$51,0)),""))</f>
        <v/>
      </c>
      <c r="P324" s="12">
        <f>IF(AND($D324="",L324=""),"",IF(L324="",IF(AND(Q324="",V324=""),"Belum ditempatkan",""),IF(O324="","CEK ID FIXTURE tidak ada di DAFTAR_FIXTURE",IF(M324="","CEK ZONA NO kosong",IF(ISNA(MATCH(O324&amp;"|"&amp;M324,LAYOUT!$E$2:$E$80,0)),"CEK ZONA NO di luar layout",IF(N324&lt;&gt;INDEX(LAYOUT!$D$2:$D$80,MATCH(O324&amp;"|"&amp;M324,LAYOUT!$E$2:$E$80,0)),"CEK JENIS ZONA",IF($D324="","Zona STOCK",IF($E324="","CEK SKU DESCRIPTION kosong","OK"))))))))</f>
        <v/>
      </c>
      <c r="Q324" s="11" t="n"/>
      <c r="R324" s="11" t="n"/>
      <c r="S324" s="11" t="n"/>
      <c r="T324" s="12">
        <f>IF(Q324="","",IFERROR(INDEX(DAFTAR_FIXTURE!$B$2:$B$51,MATCH(Q324,DAFTAR_FIXTURE!$A$2:$A$51,0)),""))</f>
        <v/>
      </c>
      <c r="U324" s="12">
        <f>IF(Q324="","",IF(T324="","CEK ID FIXTURE tidak ada di DAFTAR_FIXTURE",IF(R324="","CEK ZONA NO kosong",IF(ISNA(MATCH(T324&amp;"|"&amp;R324,LAYOUT!$E$2:$E$80,0)),"CEK ZONA NO di luar layout",IF(S324&lt;&gt;INDEX(LAYOUT!$D$2:$D$80,MATCH(T324&amp;"|"&amp;R324,LAYOUT!$E$2:$E$80,0)),"CEK JENIS ZONA",IF($D324="","Zona STOCK",IF($E324="","CEK SKU DESCRIPTION kosong","OK")))))))</f>
        <v/>
      </c>
      <c r="V324" s="11" t="n"/>
      <c r="W324" s="11" t="n"/>
      <c r="X324" s="11" t="n"/>
      <c r="Y324" s="12">
        <f>IF(V324="","",IFERROR(INDEX(DAFTAR_FIXTURE!$B$2:$B$51,MATCH(V324,DAFTAR_FIXTURE!$A$2:$A$51,0)),""))</f>
        <v/>
      </c>
      <c r="Z324" s="12">
        <f>IF(V324="","",IF(Y324="","CEK ID FIXTURE tidak ada di DAFTAR_FIXTURE",IF(W324="","CEK ZONA NO kosong",IF(ISNA(MATCH(Y324&amp;"|"&amp;W324,LAYOUT!$E$2:$E$80,0)),"CEK ZONA NO di luar layout",IF(X324&lt;&gt;INDEX(LAYOUT!$D$2:$D$80,MATCH(Y324&amp;"|"&amp;W324,LAYOUT!$E$2:$E$80,0)),"CEK JENIS ZONA",IF($D324="","Zona STOCK",IF($E324="","CEK SKU DESCRIPTION kosong","OK")))))))</f>
        <v/>
      </c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1" t="n"/>
      <c r="M325" s="11" t="n"/>
      <c r="N325" s="11" t="n"/>
      <c r="O325" s="12">
        <f>IF(L325="","",IFERROR(INDEX(DAFTAR_FIXTURE!$B$2:$B$51,MATCH(L325,DAFTAR_FIXTURE!$A$2:$A$51,0)),""))</f>
        <v/>
      </c>
      <c r="P325" s="12">
        <f>IF(AND($D325="",L325=""),"",IF(L325="",IF(AND(Q325="",V325=""),"Belum ditempatkan",""),IF(O325="","CEK ID FIXTURE tidak ada di DAFTAR_FIXTURE",IF(M325="","CEK ZONA NO kosong",IF(ISNA(MATCH(O325&amp;"|"&amp;M325,LAYOUT!$E$2:$E$80,0)),"CEK ZONA NO di luar layout",IF(N325&lt;&gt;INDEX(LAYOUT!$D$2:$D$80,MATCH(O325&amp;"|"&amp;M325,LAYOUT!$E$2:$E$80,0)),"CEK JENIS ZONA",IF($D325="","Zona STOCK",IF($E325="","CEK SKU DESCRIPTION kosong","OK"))))))))</f>
        <v/>
      </c>
      <c r="Q325" s="11" t="n"/>
      <c r="R325" s="11" t="n"/>
      <c r="S325" s="11" t="n"/>
      <c r="T325" s="12">
        <f>IF(Q325="","",IFERROR(INDEX(DAFTAR_FIXTURE!$B$2:$B$51,MATCH(Q325,DAFTAR_FIXTURE!$A$2:$A$51,0)),""))</f>
        <v/>
      </c>
      <c r="U325" s="12">
        <f>IF(Q325="","",IF(T325="","CEK ID FIXTURE tidak ada di DAFTAR_FIXTURE",IF(R325="","CEK ZONA NO kosong",IF(ISNA(MATCH(T325&amp;"|"&amp;R325,LAYOUT!$E$2:$E$80,0)),"CEK ZONA NO di luar layout",IF(S325&lt;&gt;INDEX(LAYOUT!$D$2:$D$80,MATCH(T325&amp;"|"&amp;R325,LAYOUT!$E$2:$E$80,0)),"CEK JENIS ZONA",IF($D325="","Zona STOCK",IF($E325="","CEK SKU DESCRIPTION kosong","OK")))))))</f>
        <v/>
      </c>
      <c r="V325" s="11" t="n"/>
      <c r="W325" s="11" t="n"/>
      <c r="X325" s="11" t="n"/>
      <c r="Y325" s="12">
        <f>IF(V325="","",IFERROR(INDEX(DAFTAR_FIXTURE!$B$2:$B$51,MATCH(V325,DAFTAR_FIXTURE!$A$2:$A$51,0)),""))</f>
        <v/>
      </c>
      <c r="Z325" s="12">
        <f>IF(V325="","",IF(Y325="","CEK ID FIXTURE tidak ada di DAFTAR_FIXTURE",IF(W325="","CEK ZONA NO kosong",IF(ISNA(MATCH(Y325&amp;"|"&amp;W325,LAYOUT!$E$2:$E$80,0)),"CEK ZONA NO di luar layout",IF(X325&lt;&gt;INDEX(LAYOUT!$D$2:$D$80,MATCH(Y325&amp;"|"&amp;W325,LAYOUT!$E$2:$E$80,0)),"CEK JENIS ZONA",IF($D325="","Zona STOCK",IF($E325="","CEK SKU DESCRIPTION kosong","OK")))))))</f>
        <v/>
      </c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1" t="n"/>
      <c r="M326" s="11" t="n"/>
      <c r="N326" s="11" t="n"/>
      <c r="O326" s="12">
        <f>IF(L326="","",IFERROR(INDEX(DAFTAR_FIXTURE!$B$2:$B$51,MATCH(L326,DAFTAR_FIXTURE!$A$2:$A$51,0)),""))</f>
        <v/>
      </c>
      <c r="P326" s="12">
        <f>IF(AND($D326="",L326=""),"",IF(L326="",IF(AND(Q326="",V326=""),"Belum ditempatkan",""),IF(O326="","CEK ID FIXTURE tidak ada di DAFTAR_FIXTURE",IF(M326="","CEK ZONA NO kosong",IF(ISNA(MATCH(O326&amp;"|"&amp;M326,LAYOUT!$E$2:$E$80,0)),"CEK ZONA NO di luar layout",IF(N326&lt;&gt;INDEX(LAYOUT!$D$2:$D$80,MATCH(O326&amp;"|"&amp;M326,LAYOUT!$E$2:$E$80,0)),"CEK JENIS ZONA",IF($D326="","Zona STOCK",IF($E326="","CEK SKU DESCRIPTION kosong","OK"))))))))</f>
        <v/>
      </c>
      <c r="Q326" s="11" t="n"/>
      <c r="R326" s="11" t="n"/>
      <c r="S326" s="11" t="n"/>
      <c r="T326" s="12">
        <f>IF(Q326="","",IFERROR(INDEX(DAFTAR_FIXTURE!$B$2:$B$51,MATCH(Q326,DAFTAR_FIXTURE!$A$2:$A$51,0)),""))</f>
        <v/>
      </c>
      <c r="U326" s="12">
        <f>IF(Q326="","",IF(T326="","CEK ID FIXTURE tidak ada di DAFTAR_FIXTURE",IF(R326="","CEK ZONA NO kosong",IF(ISNA(MATCH(T326&amp;"|"&amp;R326,LAYOUT!$E$2:$E$80,0)),"CEK ZONA NO di luar layout",IF(S326&lt;&gt;INDEX(LAYOUT!$D$2:$D$80,MATCH(T326&amp;"|"&amp;R326,LAYOUT!$E$2:$E$80,0)),"CEK JENIS ZONA",IF($D326="","Zona STOCK",IF($E326="","CEK SKU DESCRIPTION kosong","OK")))))))</f>
        <v/>
      </c>
      <c r="V326" s="11" t="n"/>
      <c r="W326" s="11" t="n"/>
      <c r="X326" s="11" t="n"/>
      <c r="Y326" s="12">
        <f>IF(V326="","",IFERROR(INDEX(DAFTAR_FIXTURE!$B$2:$B$51,MATCH(V326,DAFTAR_FIXTURE!$A$2:$A$51,0)),""))</f>
        <v/>
      </c>
      <c r="Z326" s="12">
        <f>IF(V326="","",IF(Y326="","CEK ID FIXTURE tidak ada di DAFTAR_FIXTURE",IF(W326="","CEK ZONA NO kosong",IF(ISNA(MATCH(Y326&amp;"|"&amp;W326,LAYOUT!$E$2:$E$80,0)),"CEK ZONA NO di luar layout",IF(X326&lt;&gt;INDEX(LAYOUT!$D$2:$D$80,MATCH(Y326&amp;"|"&amp;W326,LAYOUT!$E$2:$E$80,0)),"CEK JENIS ZONA",IF($D326="","Zona STOCK",IF($E326="","CEK SKU DESCRIPTION kosong","OK")))))))</f>
        <v/>
      </c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1" t="n"/>
      <c r="M327" s="11" t="n"/>
      <c r="N327" s="11" t="n"/>
      <c r="O327" s="12">
        <f>IF(L327="","",IFERROR(INDEX(DAFTAR_FIXTURE!$B$2:$B$51,MATCH(L327,DAFTAR_FIXTURE!$A$2:$A$51,0)),""))</f>
        <v/>
      </c>
      <c r="P327" s="12">
        <f>IF(AND($D327="",L327=""),"",IF(L327="",IF(AND(Q327="",V327=""),"Belum ditempatkan",""),IF(O327="","CEK ID FIXTURE tidak ada di DAFTAR_FIXTURE",IF(M327="","CEK ZONA NO kosong",IF(ISNA(MATCH(O327&amp;"|"&amp;M327,LAYOUT!$E$2:$E$80,0)),"CEK ZONA NO di luar layout",IF(N327&lt;&gt;INDEX(LAYOUT!$D$2:$D$80,MATCH(O327&amp;"|"&amp;M327,LAYOUT!$E$2:$E$80,0)),"CEK JENIS ZONA",IF($D327="","Zona STOCK",IF($E327="","CEK SKU DESCRIPTION kosong","OK"))))))))</f>
        <v/>
      </c>
      <c r="Q327" s="11" t="n"/>
      <c r="R327" s="11" t="n"/>
      <c r="S327" s="11" t="n"/>
      <c r="T327" s="12">
        <f>IF(Q327="","",IFERROR(INDEX(DAFTAR_FIXTURE!$B$2:$B$51,MATCH(Q327,DAFTAR_FIXTURE!$A$2:$A$51,0)),""))</f>
        <v/>
      </c>
      <c r="U327" s="12">
        <f>IF(Q327="","",IF(T327="","CEK ID FIXTURE tidak ada di DAFTAR_FIXTURE",IF(R327="","CEK ZONA NO kosong",IF(ISNA(MATCH(T327&amp;"|"&amp;R327,LAYOUT!$E$2:$E$80,0)),"CEK ZONA NO di luar layout",IF(S327&lt;&gt;INDEX(LAYOUT!$D$2:$D$80,MATCH(T327&amp;"|"&amp;R327,LAYOUT!$E$2:$E$80,0)),"CEK JENIS ZONA",IF($D327="","Zona STOCK",IF($E327="","CEK SKU DESCRIPTION kosong","OK")))))))</f>
        <v/>
      </c>
      <c r="V327" s="11" t="n"/>
      <c r="W327" s="11" t="n"/>
      <c r="X327" s="11" t="n"/>
      <c r="Y327" s="12">
        <f>IF(V327="","",IFERROR(INDEX(DAFTAR_FIXTURE!$B$2:$B$51,MATCH(V327,DAFTAR_FIXTURE!$A$2:$A$51,0)),""))</f>
        <v/>
      </c>
      <c r="Z327" s="12">
        <f>IF(V327="","",IF(Y327="","CEK ID FIXTURE tidak ada di DAFTAR_FIXTURE",IF(W327="","CEK ZONA NO kosong",IF(ISNA(MATCH(Y327&amp;"|"&amp;W327,LAYOUT!$E$2:$E$80,0)),"CEK ZONA NO di luar layout",IF(X327&lt;&gt;INDEX(LAYOUT!$D$2:$D$80,MATCH(Y327&amp;"|"&amp;W327,LAYOUT!$E$2:$E$80,0)),"CEK JENIS ZONA",IF($D327="","Zona STOCK",IF($E327="","CEK SKU DESCRIPTION kosong","OK")))))))</f>
        <v/>
      </c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1" t="n"/>
      <c r="M328" s="11" t="n"/>
      <c r="N328" s="11" t="n"/>
      <c r="O328" s="12">
        <f>IF(L328="","",IFERROR(INDEX(DAFTAR_FIXTURE!$B$2:$B$51,MATCH(L328,DAFTAR_FIXTURE!$A$2:$A$51,0)),""))</f>
        <v/>
      </c>
      <c r="P328" s="12">
        <f>IF(AND($D328="",L328=""),"",IF(L328="",IF(AND(Q328="",V328=""),"Belum ditempatkan",""),IF(O328="","CEK ID FIXTURE tidak ada di DAFTAR_FIXTURE",IF(M328="","CEK ZONA NO kosong",IF(ISNA(MATCH(O328&amp;"|"&amp;M328,LAYOUT!$E$2:$E$80,0)),"CEK ZONA NO di luar layout",IF(N328&lt;&gt;INDEX(LAYOUT!$D$2:$D$80,MATCH(O328&amp;"|"&amp;M328,LAYOUT!$E$2:$E$80,0)),"CEK JENIS ZONA",IF($D328="","Zona STOCK",IF($E328="","CEK SKU DESCRIPTION kosong","OK"))))))))</f>
        <v/>
      </c>
      <c r="Q328" s="11" t="n"/>
      <c r="R328" s="11" t="n"/>
      <c r="S328" s="11" t="n"/>
      <c r="T328" s="12">
        <f>IF(Q328="","",IFERROR(INDEX(DAFTAR_FIXTURE!$B$2:$B$51,MATCH(Q328,DAFTAR_FIXTURE!$A$2:$A$51,0)),""))</f>
        <v/>
      </c>
      <c r="U328" s="12">
        <f>IF(Q328="","",IF(T328="","CEK ID FIXTURE tidak ada di DAFTAR_FIXTURE",IF(R328="","CEK ZONA NO kosong",IF(ISNA(MATCH(T328&amp;"|"&amp;R328,LAYOUT!$E$2:$E$80,0)),"CEK ZONA NO di luar layout",IF(S328&lt;&gt;INDEX(LAYOUT!$D$2:$D$80,MATCH(T328&amp;"|"&amp;R328,LAYOUT!$E$2:$E$80,0)),"CEK JENIS ZONA",IF($D328="","Zona STOCK",IF($E328="","CEK SKU DESCRIPTION kosong","OK")))))))</f>
        <v/>
      </c>
      <c r="V328" s="11" t="n"/>
      <c r="W328" s="11" t="n"/>
      <c r="X328" s="11" t="n"/>
      <c r="Y328" s="12">
        <f>IF(V328="","",IFERROR(INDEX(DAFTAR_FIXTURE!$B$2:$B$51,MATCH(V328,DAFTAR_FIXTURE!$A$2:$A$51,0)),""))</f>
        <v/>
      </c>
      <c r="Z328" s="12">
        <f>IF(V328="","",IF(Y328="","CEK ID FIXTURE tidak ada di DAFTAR_FIXTURE",IF(W328="","CEK ZONA NO kosong",IF(ISNA(MATCH(Y328&amp;"|"&amp;W328,LAYOUT!$E$2:$E$80,0)),"CEK ZONA NO di luar layout",IF(X328&lt;&gt;INDEX(LAYOUT!$D$2:$D$80,MATCH(Y328&amp;"|"&amp;W328,LAYOUT!$E$2:$E$80,0)),"CEK JENIS ZONA",IF($D328="","Zona STOCK",IF($E328="","CEK SKU DESCRIPTION kosong","OK")))))))</f>
        <v/>
      </c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1" t="n"/>
      <c r="M329" s="11" t="n"/>
      <c r="N329" s="11" t="n"/>
      <c r="O329" s="12">
        <f>IF(L329="","",IFERROR(INDEX(DAFTAR_FIXTURE!$B$2:$B$51,MATCH(L329,DAFTAR_FIXTURE!$A$2:$A$51,0)),""))</f>
        <v/>
      </c>
      <c r="P329" s="12">
        <f>IF(AND($D329="",L329=""),"",IF(L329="",IF(AND(Q329="",V329=""),"Belum ditempatkan",""),IF(O329="","CEK ID FIXTURE tidak ada di DAFTAR_FIXTURE",IF(M329="","CEK ZONA NO kosong",IF(ISNA(MATCH(O329&amp;"|"&amp;M329,LAYOUT!$E$2:$E$80,0)),"CEK ZONA NO di luar layout",IF(N329&lt;&gt;INDEX(LAYOUT!$D$2:$D$80,MATCH(O329&amp;"|"&amp;M329,LAYOUT!$E$2:$E$80,0)),"CEK JENIS ZONA",IF($D329="","Zona STOCK",IF($E329="","CEK SKU DESCRIPTION kosong","OK"))))))))</f>
        <v/>
      </c>
      <c r="Q329" s="11" t="n"/>
      <c r="R329" s="11" t="n"/>
      <c r="S329" s="11" t="n"/>
      <c r="T329" s="12">
        <f>IF(Q329="","",IFERROR(INDEX(DAFTAR_FIXTURE!$B$2:$B$51,MATCH(Q329,DAFTAR_FIXTURE!$A$2:$A$51,0)),""))</f>
        <v/>
      </c>
      <c r="U329" s="12">
        <f>IF(Q329="","",IF(T329="","CEK ID FIXTURE tidak ada di DAFTAR_FIXTURE",IF(R329="","CEK ZONA NO kosong",IF(ISNA(MATCH(T329&amp;"|"&amp;R329,LAYOUT!$E$2:$E$80,0)),"CEK ZONA NO di luar layout",IF(S329&lt;&gt;INDEX(LAYOUT!$D$2:$D$80,MATCH(T329&amp;"|"&amp;R329,LAYOUT!$E$2:$E$80,0)),"CEK JENIS ZONA",IF($D329="","Zona STOCK",IF($E329="","CEK SKU DESCRIPTION kosong","OK")))))))</f>
        <v/>
      </c>
      <c r="V329" s="11" t="n"/>
      <c r="W329" s="11" t="n"/>
      <c r="X329" s="11" t="n"/>
      <c r="Y329" s="12">
        <f>IF(V329="","",IFERROR(INDEX(DAFTAR_FIXTURE!$B$2:$B$51,MATCH(V329,DAFTAR_FIXTURE!$A$2:$A$51,0)),""))</f>
        <v/>
      </c>
      <c r="Z329" s="12">
        <f>IF(V329="","",IF(Y329="","CEK ID FIXTURE tidak ada di DAFTAR_FIXTURE",IF(W329="","CEK ZONA NO kosong",IF(ISNA(MATCH(Y329&amp;"|"&amp;W329,LAYOUT!$E$2:$E$80,0)),"CEK ZONA NO di luar layout",IF(X329&lt;&gt;INDEX(LAYOUT!$D$2:$D$80,MATCH(Y329&amp;"|"&amp;W329,LAYOUT!$E$2:$E$80,0)),"CEK JENIS ZONA",IF($D329="","Zona STOCK",IF($E329="","CEK SKU DESCRIPTION kosong","OK")))))))</f>
        <v/>
      </c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1" t="n"/>
      <c r="M330" s="11" t="n"/>
      <c r="N330" s="11" t="n"/>
      <c r="O330" s="12">
        <f>IF(L330="","",IFERROR(INDEX(DAFTAR_FIXTURE!$B$2:$B$51,MATCH(L330,DAFTAR_FIXTURE!$A$2:$A$51,0)),""))</f>
        <v/>
      </c>
      <c r="P330" s="12">
        <f>IF(AND($D330="",L330=""),"",IF(L330="",IF(AND(Q330="",V330=""),"Belum ditempatkan",""),IF(O330="","CEK ID FIXTURE tidak ada di DAFTAR_FIXTURE",IF(M330="","CEK ZONA NO kosong",IF(ISNA(MATCH(O330&amp;"|"&amp;M330,LAYOUT!$E$2:$E$80,0)),"CEK ZONA NO di luar layout",IF(N330&lt;&gt;INDEX(LAYOUT!$D$2:$D$80,MATCH(O330&amp;"|"&amp;M330,LAYOUT!$E$2:$E$80,0)),"CEK JENIS ZONA",IF($D330="","Zona STOCK",IF($E330="","CEK SKU DESCRIPTION kosong","OK"))))))))</f>
        <v/>
      </c>
      <c r="Q330" s="11" t="n"/>
      <c r="R330" s="11" t="n"/>
      <c r="S330" s="11" t="n"/>
      <c r="T330" s="12">
        <f>IF(Q330="","",IFERROR(INDEX(DAFTAR_FIXTURE!$B$2:$B$51,MATCH(Q330,DAFTAR_FIXTURE!$A$2:$A$51,0)),""))</f>
        <v/>
      </c>
      <c r="U330" s="12">
        <f>IF(Q330="","",IF(T330="","CEK ID FIXTURE tidak ada di DAFTAR_FIXTURE",IF(R330="","CEK ZONA NO kosong",IF(ISNA(MATCH(T330&amp;"|"&amp;R330,LAYOUT!$E$2:$E$80,0)),"CEK ZONA NO di luar layout",IF(S330&lt;&gt;INDEX(LAYOUT!$D$2:$D$80,MATCH(T330&amp;"|"&amp;R330,LAYOUT!$E$2:$E$80,0)),"CEK JENIS ZONA",IF($D330="","Zona STOCK",IF($E330="","CEK SKU DESCRIPTION kosong","OK")))))))</f>
        <v/>
      </c>
      <c r="V330" s="11" t="n"/>
      <c r="W330" s="11" t="n"/>
      <c r="X330" s="11" t="n"/>
      <c r="Y330" s="12">
        <f>IF(V330="","",IFERROR(INDEX(DAFTAR_FIXTURE!$B$2:$B$51,MATCH(V330,DAFTAR_FIXTURE!$A$2:$A$51,0)),""))</f>
        <v/>
      </c>
      <c r="Z330" s="12">
        <f>IF(V330="","",IF(Y330="","CEK ID FIXTURE tidak ada di DAFTAR_FIXTURE",IF(W330="","CEK ZONA NO kosong",IF(ISNA(MATCH(Y330&amp;"|"&amp;W330,LAYOUT!$E$2:$E$80,0)),"CEK ZONA NO di luar layout",IF(X330&lt;&gt;INDEX(LAYOUT!$D$2:$D$80,MATCH(Y330&amp;"|"&amp;W330,LAYOUT!$E$2:$E$80,0)),"CEK JENIS ZONA",IF($D330="","Zona STOCK",IF($E330="","CEK SKU DESCRIPTION kosong","OK")))))))</f>
        <v/>
      </c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1" t="n"/>
      <c r="M331" s="11" t="n"/>
      <c r="N331" s="11" t="n"/>
      <c r="O331" s="12">
        <f>IF(L331="","",IFERROR(INDEX(DAFTAR_FIXTURE!$B$2:$B$51,MATCH(L331,DAFTAR_FIXTURE!$A$2:$A$51,0)),""))</f>
        <v/>
      </c>
      <c r="P331" s="12">
        <f>IF(AND($D331="",L331=""),"",IF(L331="",IF(AND(Q331="",V331=""),"Belum ditempatkan",""),IF(O331="","CEK ID FIXTURE tidak ada di DAFTAR_FIXTURE",IF(M331="","CEK ZONA NO kosong",IF(ISNA(MATCH(O331&amp;"|"&amp;M331,LAYOUT!$E$2:$E$80,0)),"CEK ZONA NO di luar layout",IF(N331&lt;&gt;INDEX(LAYOUT!$D$2:$D$80,MATCH(O331&amp;"|"&amp;M331,LAYOUT!$E$2:$E$80,0)),"CEK JENIS ZONA",IF($D331="","Zona STOCK",IF($E331="","CEK SKU DESCRIPTION kosong","OK"))))))))</f>
        <v/>
      </c>
      <c r="Q331" s="11" t="n"/>
      <c r="R331" s="11" t="n"/>
      <c r="S331" s="11" t="n"/>
      <c r="T331" s="12">
        <f>IF(Q331="","",IFERROR(INDEX(DAFTAR_FIXTURE!$B$2:$B$51,MATCH(Q331,DAFTAR_FIXTURE!$A$2:$A$51,0)),""))</f>
        <v/>
      </c>
      <c r="U331" s="12">
        <f>IF(Q331="","",IF(T331="","CEK ID FIXTURE tidak ada di DAFTAR_FIXTURE",IF(R331="","CEK ZONA NO kosong",IF(ISNA(MATCH(T331&amp;"|"&amp;R331,LAYOUT!$E$2:$E$80,0)),"CEK ZONA NO di luar layout",IF(S331&lt;&gt;INDEX(LAYOUT!$D$2:$D$80,MATCH(T331&amp;"|"&amp;R331,LAYOUT!$E$2:$E$80,0)),"CEK JENIS ZONA",IF($D331="","Zona STOCK",IF($E331="","CEK SKU DESCRIPTION kosong","OK")))))))</f>
        <v/>
      </c>
      <c r="V331" s="11" t="n"/>
      <c r="W331" s="11" t="n"/>
      <c r="X331" s="11" t="n"/>
      <c r="Y331" s="12">
        <f>IF(V331="","",IFERROR(INDEX(DAFTAR_FIXTURE!$B$2:$B$51,MATCH(V331,DAFTAR_FIXTURE!$A$2:$A$51,0)),""))</f>
        <v/>
      </c>
      <c r="Z331" s="12">
        <f>IF(V331="","",IF(Y331="","CEK ID FIXTURE tidak ada di DAFTAR_FIXTURE",IF(W331="","CEK ZONA NO kosong",IF(ISNA(MATCH(Y331&amp;"|"&amp;W331,LAYOUT!$E$2:$E$80,0)),"CEK ZONA NO di luar layout",IF(X331&lt;&gt;INDEX(LAYOUT!$D$2:$D$80,MATCH(Y331&amp;"|"&amp;W331,LAYOUT!$E$2:$E$80,0)),"CEK JENIS ZONA",IF($D331="","Zona STOCK",IF($E331="","CEK SKU DESCRIPTION kosong","OK")))))))</f>
        <v/>
      </c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1" t="n"/>
      <c r="M332" s="11" t="n"/>
      <c r="N332" s="11" t="n"/>
      <c r="O332" s="12">
        <f>IF(L332="","",IFERROR(INDEX(DAFTAR_FIXTURE!$B$2:$B$51,MATCH(L332,DAFTAR_FIXTURE!$A$2:$A$51,0)),""))</f>
        <v/>
      </c>
      <c r="P332" s="12">
        <f>IF(AND($D332="",L332=""),"",IF(L332="",IF(AND(Q332="",V332=""),"Belum ditempatkan",""),IF(O332="","CEK ID FIXTURE tidak ada di DAFTAR_FIXTURE",IF(M332="","CEK ZONA NO kosong",IF(ISNA(MATCH(O332&amp;"|"&amp;M332,LAYOUT!$E$2:$E$80,0)),"CEK ZONA NO di luar layout",IF(N332&lt;&gt;INDEX(LAYOUT!$D$2:$D$80,MATCH(O332&amp;"|"&amp;M332,LAYOUT!$E$2:$E$80,0)),"CEK JENIS ZONA",IF($D332="","Zona STOCK",IF($E332="","CEK SKU DESCRIPTION kosong","OK"))))))))</f>
        <v/>
      </c>
      <c r="Q332" s="11" t="n"/>
      <c r="R332" s="11" t="n"/>
      <c r="S332" s="11" t="n"/>
      <c r="T332" s="12">
        <f>IF(Q332="","",IFERROR(INDEX(DAFTAR_FIXTURE!$B$2:$B$51,MATCH(Q332,DAFTAR_FIXTURE!$A$2:$A$51,0)),""))</f>
        <v/>
      </c>
      <c r="U332" s="12">
        <f>IF(Q332="","",IF(T332="","CEK ID FIXTURE tidak ada di DAFTAR_FIXTURE",IF(R332="","CEK ZONA NO kosong",IF(ISNA(MATCH(T332&amp;"|"&amp;R332,LAYOUT!$E$2:$E$80,0)),"CEK ZONA NO di luar layout",IF(S332&lt;&gt;INDEX(LAYOUT!$D$2:$D$80,MATCH(T332&amp;"|"&amp;R332,LAYOUT!$E$2:$E$80,0)),"CEK JENIS ZONA",IF($D332="","Zona STOCK",IF($E332="","CEK SKU DESCRIPTION kosong","OK")))))))</f>
        <v/>
      </c>
      <c r="V332" s="11" t="n"/>
      <c r="W332" s="11" t="n"/>
      <c r="X332" s="11" t="n"/>
      <c r="Y332" s="12">
        <f>IF(V332="","",IFERROR(INDEX(DAFTAR_FIXTURE!$B$2:$B$51,MATCH(V332,DAFTAR_FIXTURE!$A$2:$A$51,0)),""))</f>
        <v/>
      </c>
      <c r="Z332" s="12">
        <f>IF(V332="","",IF(Y332="","CEK ID FIXTURE tidak ada di DAFTAR_FIXTURE",IF(W332="","CEK ZONA NO kosong",IF(ISNA(MATCH(Y332&amp;"|"&amp;W332,LAYOUT!$E$2:$E$80,0)),"CEK ZONA NO di luar layout",IF(X332&lt;&gt;INDEX(LAYOUT!$D$2:$D$80,MATCH(Y332&amp;"|"&amp;W332,LAYOUT!$E$2:$E$80,0)),"CEK JENIS ZONA",IF($D332="","Zona STOCK",IF($E332="","CEK SKU DESCRIPTION kosong","OK")))))))</f>
        <v/>
      </c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1" t="n"/>
      <c r="M333" s="11" t="n"/>
      <c r="N333" s="11" t="n"/>
      <c r="O333" s="12">
        <f>IF(L333="","",IFERROR(INDEX(DAFTAR_FIXTURE!$B$2:$B$51,MATCH(L333,DAFTAR_FIXTURE!$A$2:$A$51,0)),""))</f>
        <v/>
      </c>
      <c r="P333" s="12">
        <f>IF(AND($D333="",L333=""),"",IF(L333="",IF(AND(Q333="",V333=""),"Belum ditempatkan",""),IF(O333="","CEK ID FIXTURE tidak ada di DAFTAR_FIXTURE",IF(M333="","CEK ZONA NO kosong",IF(ISNA(MATCH(O333&amp;"|"&amp;M333,LAYOUT!$E$2:$E$80,0)),"CEK ZONA NO di luar layout",IF(N333&lt;&gt;INDEX(LAYOUT!$D$2:$D$80,MATCH(O333&amp;"|"&amp;M333,LAYOUT!$E$2:$E$80,0)),"CEK JENIS ZONA",IF($D333="","Zona STOCK",IF($E333="","CEK SKU DESCRIPTION kosong","OK"))))))))</f>
        <v/>
      </c>
      <c r="Q333" s="11" t="n"/>
      <c r="R333" s="11" t="n"/>
      <c r="S333" s="11" t="n"/>
      <c r="T333" s="12">
        <f>IF(Q333="","",IFERROR(INDEX(DAFTAR_FIXTURE!$B$2:$B$51,MATCH(Q333,DAFTAR_FIXTURE!$A$2:$A$51,0)),""))</f>
        <v/>
      </c>
      <c r="U333" s="12">
        <f>IF(Q333="","",IF(T333="","CEK ID FIXTURE tidak ada di DAFTAR_FIXTURE",IF(R333="","CEK ZONA NO kosong",IF(ISNA(MATCH(T333&amp;"|"&amp;R333,LAYOUT!$E$2:$E$80,0)),"CEK ZONA NO di luar layout",IF(S333&lt;&gt;INDEX(LAYOUT!$D$2:$D$80,MATCH(T333&amp;"|"&amp;R333,LAYOUT!$E$2:$E$80,0)),"CEK JENIS ZONA",IF($D333="","Zona STOCK",IF($E333="","CEK SKU DESCRIPTION kosong","OK")))))))</f>
        <v/>
      </c>
      <c r="V333" s="11" t="n"/>
      <c r="W333" s="11" t="n"/>
      <c r="X333" s="11" t="n"/>
      <c r="Y333" s="12">
        <f>IF(V333="","",IFERROR(INDEX(DAFTAR_FIXTURE!$B$2:$B$51,MATCH(V333,DAFTAR_FIXTURE!$A$2:$A$51,0)),""))</f>
        <v/>
      </c>
      <c r="Z333" s="12">
        <f>IF(V333="","",IF(Y333="","CEK ID FIXTURE tidak ada di DAFTAR_FIXTURE",IF(W333="","CEK ZONA NO kosong",IF(ISNA(MATCH(Y333&amp;"|"&amp;W333,LAYOUT!$E$2:$E$80,0)),"CEK ZONA NO di luar layout",IF(X333&lt;&gt;INDEX(LAYOUT!$D$2:$D$80,MATCH(Y333&amp;"|"&amp;W333,LAYOUT!$E$2:$E$80,0)),"CEK JENIS ZONA",IF($D333="","Zona STOCK",IF($E333="","CEK SKU DESCRIPTION kosong","OK")))))))</f>
        <v/>
      </c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1" t="n"/>
      <c r="M334" s="11" t="n"/>
      <c r="N334" s="11" t="n"/>
      <c r="O334" s="12">
        <f>IF(L334="","",IFERROR(INDEX(DAFTAR_FIXTURE!$B$2:$B$51,MATCH(L334,DAFTAR_FIXTURE!$A$2:$A$51,0)),""))</f>
        <v/>
      </c>
      <c r="P334" s="12">
        <f>IF(AND($D334="",L334=""),"",IF(L334="",IF(AND(Q334="",V334=""),"Belum ditempatkan",""),IF(O334="","CEK ID FIXTURE tidak ada di DAFTAR_FIXTURE",IF(M334="","CEK ZONA NO kosong",IF(ISNA(MATCH(O334&amp;"|"&amp;M334,LAYOUT!$E$2:$E$80,0)),"CEK ZONA NO di luar layout",IF(N334&lt;&gt;INDEX(LAYOUT!$D$2:$D$80,MATCH(O334&amp;"|"&amp;M334,LAYOUT!$E$2:$E$80,0)),"CEK JENIS ZONA",IF($D334="","Zona STOCK",IF($E334="","CEK SKU DESCRIPTION kosong","OK"))))))))</f>
        <v/>
      </c>
      <c r="Q334" s="11" t="n"/>
      <c r="R334" s="11" t="n"/>
      <c r="S334" s="11" t="n"/>
      <c r="T334" s="12">
        <f>IF(Q334="","",IFERROR(INDEX(DAFTAR_FIXTURE!$B$2:$B$51,MATCH(Q334,DAFTAR_FIXTURE!$A$2:$A$51,0)),""))</f>
        <v/>
      </c>
      <c r="U334" s="12">
        <f>IF(Q334="","",IF(T334="","CEK ID FIXTURE tidak ada di DAFTAR_FIXTURE",IF(R334="","CEK ZONA NO kosong",IF(ISNA(MATCH(T334&amp;"|"&amp;R334,LAYOUT!$E$2:$E$80,0)),"CEK ZONA NO di luar layout",IF(S334&lt;&gt;INDEX(LAYOUT!$D$2:$D$80,MATCH(T334&amp;"|"&amp;R334,LAYOUT!$E$2:$E$80,0)),"CEK JENIS ZONA",IF($D334="","Zona STOCK",IF($E334="","CEK SKU DESCRIPTION kosong","OK")))))))</f>
        <v/>
      </c>
      <c r="V334" s="11" t="n"/>
      <c r="W334" s="11" t="n"/>
      <c r="X334" s="11" t="n"/>
      <c r="Y334" s="12">
        <f>IF(V334="","",IFERROR(INDEX(DAFTAR_FIXTURE!$B$2:$B$51,MATCH(V334,DAFTAR_FIXTURE!$A$2:$A$51,0)),""))</f>
        <v/>
      </c>
      <c r="Z334" s="12">
        <f>IF(V334="","",IF(Y334="","CEK ID FIXTURE tidak ada di DAFTAR_FIXTURE",IF(W334="","CEK ZONA NO kosong",IF(ISNA(MATCH(Y334&amp;"|"&amp;W334,LAYOUT!$E$2:$E$80,0)),"CEK ZONA NO di luar layout",IF(X334&lt;&gt;INDEX(LAYOUT!$D$2:$D$80,MATCH(Y334&amp;"|"&amp;W334,LAYOUT!$E$2:$E$80,0)),"CEK JENIS ZONA",IF($D334="","Zona STOCK",IF($E334="","CEK SKU DESCRIPTION kosong","OK")))))))</f>
        <v/>
      </c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1" t="n"/>
      <c r="M335" s="11" t="n"/>
      <c r="N335" s="11" t="n"/>
      <c r="O335" s="12">
        <f>IF(L335="","",IFERROR(INDEX(DAFTAR_FIXTURE!$B$2:$B$51,MATCH(L335,DAFTAR_FIXTURE!$A$2:$A$51,0)),""))</f>
        <v/>
      </c>
      <c r="P335" s="12">
        <f>IF(AND($D335="",L335=""),"",IF(L335="",IF(AND(Q335="",V335=""),"Belum ditempatkan",""),IF(O335="","CEK ID FIXTURE tidak ada di DAFTAR_FIXTURE",IF(M335="","CEK ZONA NO kosong",IF(ISNA(MATCH(O335&amp;"|"&amp;M335,LAYOUT!$E$2:$E$80,0)),"CEK ZONA NO di luar layout",IF(N335&lt;&gt;INDEX(LAYOUT!$D$2:$D$80,MATCH(O335&amp;"|"&amp;M335,LAYOUT!$E$2:$E$80,0)),"CEK JENIS ZONA",IF($D335="","Zona STOCK",IF($E335="","CEK SKU DESCRIPTION kosong","OK"))))))))</f>
        <v/>
      </c>
      <c r="Q335" s="11" t="n"/>
      <c r="R335" s="11" t="n"/>
      <c r="S335" s="11" t="n"/>
      <c r="T335" s="12">
        <f>IF(Q335="","",IFERROR(INDEX(DAFTAR_FIXTURE!$B$2:$B$51,MATCH(Q335,DAFTAR_FIXTURE!$A$2:$A$51,0)),""))</f>
        <v/>
      </c>
      <c r="U335" s="12">
        <f>IF(Q335="","",IF(T335="","CEK ID FIXTURE tidak ada di DAFTAR_FIXTURE",IF(R335="","CEK ZONA NO kosong",IF(ISNA(MATCH(T335&amp;"|"&amp;R335,LAYOUT!$E$2:$E$80,0)),"CEK ZONA NO di luar layout",IF(S335&lt;&gt;INDEX(LAYOUT!$D$2:$D$80,MATCH(T335&amp;"|"&amp;R335,LAYOUT!$E$2:$E$80,0)),"CEK JENIS ZONA",IF($D335="","Zona STOCK",IF($E335="","CEK SKU DESCRIPTION kosong","OK")))))))</f>
        <v/>
      </c>
      <c r="V335" s="11" t="n"/>
      <c r="W335" s="11" t="n"/>
      <c r="X335" s="11" t="n"/>
      <c r="Y335" s="12">
        <f>IF(V335="","",IFERROR(INDEX(DAFTAR_FIXTURE!$B$2:$B$51,MATCH(V335,DAFTAR_FIXTURE!$A$2:$A$51,0)),""))</f>
        <v/>
      </c>
      <c r="Z335" s="12">
        <f>IF(V335="","",IF(Y335="","CEK ID FIXTURE tidak ada di DAFTAR_FIXTURE",IF(W335="","CEK ZONA NO kosong",IF(ISNA(MATCH(Y335&amp;"|"&amp;W335,LAYOUT!$E$2:$E$80,0)),"CEK ZONA NO di luar layout",IF(X335&lt;&gt;INDEX(LAYOUT!$D$2:$D$80,MATCH(Y335&amp;"|"&amp;W335,LAYOUT!$E$2:$E$80,0)),"CEK JENIS ZONA",IF($D335="","Zona STOCK",IF($E335="","CEK SKU DESCRIPTION kosong","OK")))))))</f>
        <v/>
      </c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1" t="n"/>
      <c r="M336" s="11" t="n"/>
      <c r="N336" s="11" t="n"/>
      <c r="O336" s="12">
        <f>IF(L336="","",IFERROR(INDEX(DAFTAR_FIXTURE!$B$2:$B$51,MATCH(L336,DAFTAR_FIXTURE!$A$2:$A$51,0)),""))</f>
        <v/>
      </c>
      <c r="P336" s="12">
        <f>IF(AND($D336="",L336=""),"",IF(L336="",IF(AND(Q336="",V336=""),"Belum ditempatkan",""),IF(O336="","CEK ID FIXTURE tidak ada di DAFTAR_FIXTURE",IF(M336="","CEK ZONA NO kosong",IF(ISNA(MATCH(O336&amp;"|"&amp;M336,LAYOUT!$E$2:$E$80,0)),"CEK ZONA NO di luar layout",IF(N336&lt;&gt;INDEX(LAYOUT!$D$2:$D$80,MATCH(O336&amp;"|"&amp;M336,LAYOUT!$E$2:$E$80,0)),"CEK JENIS ZONA",IF($D336="","Zona STOCK",IF($E336="","CEK SKU DESCRIPTION kosong","OK"))))))))</f>
        <v/>
      </c>
      <c r="Q336" s="11" t="n"/>
      <c r="R336" s="11" t="n"/>
      <c r="S336" s="11" t="n"/>
      <c r="T336" s="12">
        <f>IF(Q336="","",IFERROR(INDEX(DAFTAR_FIXTURE!$B$2:$B$51,MATCH(Q336,DAFTAR_FIXTURE!$A$2:$A$51,0)),""))</f>
        <v/>
      </c>
      <c r="U336" s="12">
        <f>IF(Q336="","",IF(T336="","CEK ID FIXTURE tidak ada di DAFTAR_FIXTURE",IF(R336="","CEK ZONA NO kosong",IF(ISNA(MATCH(T336&amp;"|"&amp;R336,LAYOUT!$E$2:$E$80,0)),"CEK ZONA NO di luar layout",IF(S336&lt;&gt;INDEX(LAYOUT!$D$2:$D$80,MATCH(T336&amp;"|"&amp;R336,LAYOUT!$E$2:$E$80,0)),"CEK JENIS ZONA",IF($D336="","Zona STOCK",IF($E336="","CEK SKU DESCRIPTION kosong","OK")))))))</f>
        <v/>
      </c>
      <c r="V336" s="11" t="n"/>
      <c r="W336" s="11" t="n"/>
      <c r="X336" s="11" t="n"/>
      <c r="Y336" s="12">
        <f>IF(V336="","",IFERROR(INDEX(DAFTAR_FIXTURE!$B$2:$B$51,MATCH(V336,DAFTAR_FIXTURE!$A$2:$A$51,0)),""))</f>
        <v/>
      </c>
      <c r="Z336" s="12">
        <f>IF(V336="","",IF(Y336="","CEK ID FIXTURE tidak ada di DAFTAR_FIXTURE",IF(W336="","CEK ZONA NO kosong",IF(ISNA(MATCH(Y336&amp;"|"&amp;W336,LAYOUT!$E$2:$E$80,0)),"CEK ZONA NO di luar layout",IF(X336&lt;&gt;INDEX(LAYOUT!$D$2:$D$80,MATCH(Y336&amp;"|"&amp;W336,LAYOUT!$E$2:$E$80,0)),"CEK JENIS ZONA",IF($D336="","Zona STOCK",IF($E336="","CEK SKU DESCRIPTION kosong","OK")))))))</f>
        <v/>
      </c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1" t="n"/>
      <c r="M337" s="11" t="n"/>
      <c r="N337" s="11" t="n"/>
      <c r="O337" s="12">
        <f>IF(L337="","",IFERROR(INDEX(DAFTAR_FIXTURE!$B$2:$B$51,MATCH(L337,DAFTAR_FIXTURE!$A$2:$A$51,0)),""))</f>
        <v/>
      </c>
      <c r="P337" s="12">
        <f>IF(AND($D337="",L337=""),"",IF(L337="",IF(AND(Q337="",V337=""),"Belum ditempatkan",""),IF(O337="","CEK ID FIXTURE tidak ada di DAFTAR_FIXTURE",IF(M337="","CEK ZONA NO kosong",IF(ISNA(MATCH(O337&amp;"|"&amp;M337,LAYOUT!$E$2:$E$80,0)),"CEK ZONA NO di luar layout",IF(N337&lt;&gt;INDEX(LAYOUT!$D$2:$D$80,MATCH(O337&amp;"|"&amp;M337,LAYOUT!$E$2:$E$80,0)),"CEK JENIS ZONA",IF($D337="","Zona STOCK",IF($E337="","CEK SKU DESCRIPTION kosong","OK"))))))))</f>
        <v/>
      </c>
      <c r="Q337" s="11" t="n"/>
      <c r="R337" s="11" t="n"/>
      <c r="S337" s="11" t="n"/>
      <c r="T337" s="12">
        <f>IF(Q337="","",IFERROR(INDEX(DAFTAR_FIXTURE!$B$2:$B$51,MATCH(Q337,DAFTAR_FIXTURE!$A$2:$A$51,0)),""))</f>
        <v/>
      </c>
      <c r="U337" s="12">
        <f>IF(Q337="","",IF(T337="","CEK ID FIXTURE tidak ada di DAFTAR_FIXTURE",IF(R337="","CEK ZONA NO kosong",IF(ISNA(MATCH(T337&amp;"|"&amp;R337,LAYOUT!$E$2:$E$80,0)),"CEK ZONA NO di luar layout",IF(S337&lt;&gt;INDEX(LAYOUT!$D$2:$D$80,MATCH(T337&amp;"|"&amp;R337,LAYOUT!$E$2:$E$80,0)),"CEK JENIS ZONA",IF($D337="","Zona STOCK",IF($E337="","CEK SKU DESCRIPTION kosong","OK")))))))</f>
        <v/>
      </c>
      <c r="V337" s="11" t="n"/>
      <c r="W337" s="11" t="n"/>
      <c r="X337" s="11" t="n"/>
      <c r="Y337" s="12">
        <f>IF(V337="","",IFERROR(INDEX(DAFTAR_FIXTURE!$B$2:$B$51,MATCH(V337,DAFTAR_FIXTURE!$A$2:$A$51,0)),""))</f>
        <v/>
      </c>
      <c r="Z337" s="12">
        <f>IF(V337="","",IF(Y337="","CEK ID FIXTURE tidak ada di DAFTAR_FIXTURE",IF(W337="","CEK ZONA NO kosong",IF(ISNA(MATCH(Y337&amp;"|"&amp;W337,LAYOUT!$E$2:$E$80,0)),"CEK ZONA NO di luar layout",IF(X337&lt;&gt;INDEX(LAYOUT!$D$2:$D$80,MATCH(Y337&amp;"|"&amp;W337,LAYOUT!$E$2:$E$80,0)),"CEK JENIS ZONA",IF($D337="","Zona STOCK",IF($E337="","CEK SKU DESCRIPTION kosong","OK")))))))</f>
        <v/>
      </c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1" t="n"/>
      <c r="M338" s="11" t="n"/>
      <c r="N338" s="11" t="n"/>
      <c r="O338" s="12">
        <f>IF(L338="","",IFERROR(INDEX(DAFTAR_FIXTURE!$B$2:$B$51,MATCH(L338,DAFTAR_FIXTURE!$A$2:$A$51,0)),""))</f>
        <v/>
      </c>
      <c r="P338" s="12">
        <f>IF(AND($D338="",L338=""),"",IF(L338="",IF(AND(Q338="",V338=""),"Belum ditempatkan",""),IF(O338="","CEK ID FIXTURE tidak ada di DAFTAR_FIXTURE",IF(M338="","CEK ZONA NO kosong",IF(ISNA(MATCH(O338&amp;"|"&amp;M338,LAYOUT!$E$2:$E$80,0)),"CEK ZONA NO di luar layout",IF(N338&lt;&gt;INDEX(LAYOUT!$D$2:$D$80,MATCH(O338&amp;"|"&amp;M338,LAYOUT!$E$2:$E$80,0)),"CEK JENIS ZONA",IF($D338="","Zona STOCK",IF($E338="","CEK SKU DESCRIPTION kosong","OK"))))))))</f>
        <v/>
      </c>
      <c r="Q338" s="11" t="n"/>
      <c r="R338" s="11" t="n"/>
      <c r="S338" s="11" t="n"/>
      <c r="T338" s="12">
        <f>IF(Q338="","",IFERROR(INDEX(DAFTAR_FIXTURE!$B$2:$B$51,MATCH(Q338,DAFTAR_FIXTURE!$A$2:$A$51,0)),""))</f>
        <v/>
      </c>
      <c r="U338" s="12">
        <f>IF(Q338="","",IF(T338="","CEK ID FIXTURE tidak ada di DAFTAR_FIXTURE",IF(R338="","CEK ZONA NO kosong",IF(ISNA(MATCH(T338&amp;"|"&amp;R338,LAYOUT!$E$2:$E$80,0)),"CEK ZONA NO di luar layout",IF(S338&lt;&gt;INDEX(LAYOUT!$D$2:$D$80,MATCH(T338&amp;"|"&amp;R338,LAYOUT!$E$2:$E$80,0)),"CEK JENIS ZONA",IF($D338="","Zona STOCK",IF($E338="","CEK SKU DESCRIPTION kosong","OK")))))))</f>
        <v/>
      </c>
      <c r="V338" s="11" t="n"/>
      <c r="W338" s="11" t="n"/>
      <c r="X338" s="11" t="n"/>
      <c r="Y338" s="12">
        <f>IF(V338="","",IFERROR(INDEX(DAFTAR_FIXTURE!$B$2:$B$51,MATCH(V338,DAFTAR_FIXTURE!$A$2:$A$51,0)),""))</f>
        <v/>
      </c>
      <c r="Z338" s="12">
        <f>IF(V338="","",IF(Y338="","CEK ID FIXTURE tidak ada di DAFTAR_FIXTURE",IF(W338="","CEK ZONA NO kosong",IF(ISNA(MATCH(Y338&amp;"|"&amp;W338,LAYOUT!$E$2:$E$80,0)),"CEK ZONA NO di luar layout",IF(X338&lt;&gt;INDEX(LAYOUT!$D$2:$D$80,MATCH(Y338&amp;"|"&amp;W338,LAYOUT!$E$2:$E$80,0)),"CEK JENIS ZONA",IF($D338="","Zona STOCK",IF($E338="","CEK SKU DESCRIPTION kosong","OK")))))))</f>
        <v/>
      </c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1" t="n"/>
      <c r="M339" s="11" t="n"/>
      <c r="N339" s="11" t="n"/>
      <c r="O339" s="12">
        <f>IF(L339="","",IFERROR(INDEX(DAFTAR_FIXTURE!$B$2:$B$51,MATCH(L339,DAFTAR_FIXTURE!$A$2:$A$51,0)),""))</f>
        <v/>
      </c>
      <c r="P339" s="12">
        <f>IF(AND($D339="",L339=""),"",IF(L339="",IF(AND(Q339="",V339=""),"Belum ditempatkan",""),IF(O339="","CEK ID FIXTURE tidak ada di DAFTAR_FIXTURE",IF(M339="","CEK ZONA NO kosong",IF(ISNA(MATCH(O339&amp;"|"&amp;M339,LAYOUT!$E$2:$E$80,0)),"CEK ZONA NO di luar layout",IF(N339&lt;&gt;INDEX(LAYOUT!$D$2:$D$80,MATCH(O339&amp;"|"&amp;M339,LAYOUT!$E$2:$E$80,0)),"CEK JENIS ZONA",IF($D339="","Zona STOCK",IF($E339="","CEK SKU DESCRIPTION kosong","OK"))))))))</f>
        <v/>
      </c>
      <c r="Q339" s="11" t="n"/>
      <c r="R339" s="11" t="n"/>
      <c r="S339" s="11" t="n"/>
      <c r="T339" s="12">
        <f>IF(Q339="","",IFERROR(INDEX(DAFTAR_FIXTURE!$B$2:$B$51,MATCH(Q339,DAFTAR_FIXTURE!$A$2:$A$51,0)),""))</f>
        <v/>
      </c>
      <c r="U339" s="12">
        <f>IF(Q339="","",IF(T339="","CEK ID FIXTURE tidak ada di DAFTAR_FIXTURE",IF(R339="","CEK ZONA NO kosong",IF(ISNA(MATCH(T339&amp;"|"&amp;R339,LAYOUT!$E$2:$E$80,0)),"CEK ZONA NO di luar layout",IF(S339&lt;&gt;INDEX(LAYOUT!$D$2:$D$80,MATCH(T339&amp;"|"&amp;R339,LAYOUT!$E$2:$E$80,0)),"CEK JENIS ZONA",IF($D339="","Zona STOCK",IF($E339="","CEK SKU DESCRIPTION kosong","OK")))))))</f>
        <v/>
      </c>
      <c r="V339" s="11" t="n"/>
      <c r="W339" s="11" t="n"/>
      <c r="X339" s="11" t="n"/>
      <c r="Y339" s="12">
        <f>IF(V339="","",IFERROR(INDEX(DAFTAR_FIXTURE!$B$2:$B$51,MATCH(V339,DAFTAR_FIXTURE!$A$2:$A$51,0)),""))</f>
        <v/>
      </c>
      <c r="Z339" s="12">
        <f>IF(V339="","",IF(Y339="","CEK ID FIXTURE tidak ada di DAFTAR_FIXTURE",IF(W339="","CEK ZONA NO kosong",IF(ISNA(MATCH(Y339&amp;"|"&amp;W339,LAYOUT!$E$2:$E$80,0)),"CEK ZONA NO di luar layout",IF(X339&lt;&gt;INDEX(LAYOUT!$D$2:$D$80,MATCH(Y339&amp;"|"&amp;W339,LAYOUT!$E$2:$E$80,0)),"CEK JENIS ZONA",IF($D339="","Zona STOCK",IF($E339="","CEK SKU DESCRIPTION kosong","OK")))))))</f>
        <v/>
      </c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1" t="n"/>
      <c r="M340" s="11" t="n"/>
      <c r="N340" s="11" t="n"/>
      <c r="O340" s="12">
        <f>IF(L340="","",IFERROR(INDEX(DAFTAR_FIXTURE!$B$2:$B$51,MATCH(L340,DAFTAR_FIXTURE!$A$2:$A$51,0)),""))</f>
        <v/>
      </c>
      <c r="P340" s="12">
        <f>IF(AND($D340="",L340=""),"",IF(L340="",IF(AND(Q340="",V340=""),"Belum ditempatkan",""),IF(O340="","CEK ID FIXTURE tidak ada di DAFTAR_FIXTURE",IF(M340="","CEK ZONA NO kosong",IF(ISNA(MATCH(O340&amp;"|"&amp;M340,LAYOUT!$E$2:$E$80,0)),"CEK ZONA NO di luar layout",IF(N340&lt;&gt;INDEX(LAYOUT!$D$2:$D$80,MATCH(O340&amp;"|"&amp;M340,LAYOUT!$E$2:$E$80,0)),"CEK JENIS ZONA",IF($D340="","Zona STOCK",IF($E340="","CEK SKU DESCRIPTION kosong","OK"))))))))</f>
        <v/>
      </c>
      <c r="Q340" s="11" t="n"/>
      <c r="R340" s="11" t="n"/>
      <c r="S340" s="11" t="n"/>
      <c r="T340" s="12">
        <f>IF(Q340="","",IFERROR(INDEX(DAFTAR_FIXTURE!$B$2:$B$51,MATCH(Q340,DAFTAR_FIXTURE!$A$2:$A$51,0)),""))</f>
        <v/>
      </c>
      <c r="U340" s="12">
        <f>IF(Q340="","",IF(T340="","CEK ID FIXTURE tidak ada di DAFTAR_FIXTURE",IF(R340="","CEK ZONA NO kosong",IF(ISNA(MATCH(T340&amp;"|"&amp;R340,LAYOUT!$E$2:$E$80,0)),"CEK ZONA NO di luar layout",IF(S340&lt;&gt;INDEX(LAYOUT!$D$2:$D$80,MATCH(T340&amp;"|"&amp;R340,LAYOUT!$E$2:$E$80,0)),"CEK JENIS ZONA",IF($D340="","Zona STOCK",IF($E340="","CEK SKU DESCRIPTION kosong","OK")))))))</f>
        <v/>
      </c>
      <c r="V340" s="11" t="n"/>
      <c r="W340" s="11" t="n"/>
      <c r="X340" s="11" t="n"/>
      <c r="Y340" s="12">
        <f>IF(V340="","",IFERROR(INDEX(DAFTAR_FIXTURE!$B$2:$B$51,MATCH(V340,DAFTAR_FIXTURE!$A$2:$A$51,0)),""))</f>
        <v/>
      </c>
      <c r="Z340" s="12">
        <f>IF(V340="","",IF(Y340="","CEK ID FIXTURE tidak ada di DAFTAR_FIXTURE",IF(W340="","CEK ZONA NO kosong",IF(ISNA(MATCH(Y340&amp;"|"&amp;W340,LAYOUT!$E$2:$E$80,0)),"CEK ZONA NO di luar layout",IF(X340&lt;&gt;INDEX(LAYOUT!$D$2:$D$80,MATCH(Y340&amp;"|"&amp;W340,LAYOUT!$E$2:$E$80,0)),"CEK JENIS ZONA",IF($D340="","Zona STOCK",IF($E340="","CEK SKU DESCRIPTION kosong","OK")))))))</f>
        <v/>
      </c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1" t="n"/>
      <c r="M341" s="11" t="n"/>
      <c r="N341" s="11" t="n"/>
      <c r="O341" s="12">
        <f>IF(L341="","",IFERROR(INDEX(DAFTAR_FIXTURE!$B$2:$B$51,MATCH(L341,DAFTAR_FIXTURE!$A$2:$A$51,0)),""))</f>
        <v/>
      </c>
      <c r="P341" s="12">
        <f>IF(AND($D341="",L341=""),"",IF(L341="",IF(AND(Q341="",V341=""),"Belum ditempatkan",""),IF(O341="","CEK ID FIXTURE tidak ada di DAFTAR_FIXTURE",IF(M341="","CEK ZONA NO kosong",IF(ISNA(MATCH(O341&amp;"|"&amp;M341,LAYOUT!$E$2:$E$80,0)),"CEK ZONA NO di luar layout",IF(N341&lt;&gt;INDEX(LAYOUT!$D$2:$D$80,MATCH(O341&amp;"|"&amp;M341,LAYOUT!$E$2:$E$80,0)),"CEK JENIS ZONA",IF($D341="","Zona STOCK",IF($E341="","CEK SKU DESCRIPTION kosong","OK"))))))))</f>
        <v/>
      </c>
      <c r="Q341" s="11" t="n"/>
      <c r="R341" s="11" t="n"/>
      <c r="S341" s="11" t="n"/>
      <c r="T341" s="12">
        <f>IF(Q341="","",IFERROR(INDEX(DAFTAR_FIXTURE!$B$2:$B$51,MATCH(Q341,DAFTAR_FIXTURE!$A$2:$A$51,0)),""))</f>
        <v/>
      </c>
      <c r="U341" s="12">
        <f>IF(Q341="","",IF(T341="","CEK ID FIXTURE tidak ada di DAFTAR_FIXTURE",IF(R341="","CEK ZONA NO kosong",IF(ISNA(MATCH(T341&amp;"|"&amp;R341,LAYOUT!$E$2:$E$80,0)),"CEK ZONA NO di luar layout",IF(S341&lt;&gt;INDEX(LAYOUT!$D$2:$D$80,MATCH(T341&amp;"|"&amp;R341,LAYOUT!$E$2:$E$80,0)),"CEK JENIS ZONA",IF($D341="","Zona STOCK",IF($E341="","CEK SKU DESCRIPTION kosong","OK")))))))</f>
        <v/>
      </c>
      <c r="V341" s="11" t="n"/>
      <c r="W341" s="11" t="n"/>
      <c r="X341" s="11" t="n"/>
      <c r="Y341" s="12">
        <f>IF(V341="","",IFERROR(INDEX(DAFTAR_FIXTURE!$B$2:$B$51,MATCH(V341,DAFTAR_FIXTURE!$A$2:$A$51,0)),""))</f>
        <v/>
      </c>
      <c r="Z341" s="12">
        <f>IF(V341="","",IF(Y341="","CEK ID FIXTURE tidak ada di DAFTAR_FIXTURE",IF(W341="","CEK ZONA NO kosong",IF(ISNA(MATCH(Y341&amp;"|"&amp;W341,LAYOUT!$E$2:$E$80,0)),"CEK ZONA NO di luar layout",IF(X341&lt;&gt;INDEX(LAYOUT!$D$2:$D$80,MATCH(Y341&amp;"|"&amp;W341,LAYOUT!$E$2:$E$80,0)),"CEK JENIS ZONA",IF($D341="","Zona STOCK",IF($E341="","CEK SKU DESCRIPTION kosong","OK")))))))</f>
        <v/>
      </c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1" t="n"/>
      <c r="M342" s="11" t="n"/>
      <c r="N342" s="11" t="n"/>
      <c r="O342" s="12">
        <f>IF(L342="","",IFERROR(INDEX(DAFTAR_FIXTURE!$B$2:$B$51,MATCH(L342,DAFTAR_FIXTURE!$A$2:$A$51,0)),""))</f>
        <v/>
      </c>
      <c r="P342" s="12">
        <f>IF(AND($D342="",L342=""),"",IF(L342="",IF(AND(Q342="",V342=""),"Belum ditempatkan",""),IF(O342="","CEK ID FIXTURE tidak ada di DAFTAR_FIXTURE",IF(M342="","CEK ZONA NO kosong",IF(ISNA(MATCH(O342&amp;"|"&amp;M342,LAYOUT!$E$2:$E$80,0)),"CEK ZONA NO di luar layout",IF(N342&lt;&gt;INDEX(LAYOUT!$D$2:$D$80,MATCH(O342&amp;"|"&amp;M342,LAYOUT!$E$2:$E$80,0)),"CEK JENIS ZONA",IF($D342="","Zona STOCK",IF($E342="","CEK SKU DESCRIPTION kosong","OK"))))))))</f>
        <v/>
      </c>
      <c r="Q342" s="11" t="n"/>
      <c r="R342" s="11" t="n"/>
      <c r="S342" s="11" t="n"/>
      <c r="T342" s="12">
        <f>IF(Q342="","",IFERROR(INDEX(DAFTAR_FIXTURE!$B$2:$B$51,MATCH(Q342,DAFTAR_FIXTURE!$A$2:$A$51,0)),""))</f>
        <v/>
      </c>
      <c r="U342" s="12">
        <f>IF(Q342="","",IF(T342="","CEK ID FIXTURE tidak ada di DAFTAR_FIXTURE",IF(R342="","CEK ZONA NO kosong",IF(ISNA(MATCH(T342&amp;"|"&amp;R342,LAYOUT!$E$2:$E$80,0)),"CEK ZONA NO di luar layout",IF(S342&lt;&gt;INDEX(LAYOUT!$D$2:$D$80,MATCH(T342&amp;"|"&amp;R342,LAYOUT!$E$2:$E$80,0)),"CEK JENIS ZONA",IF($D342="","Zona STOCK",IF($E342="","CEK SKU DESCRIPTION kosong","OK")))))))</f>
        <v/>
      </c>
      <c r="V342" s="11" t="n"/>
      <c r="W342" s="11" t="n"/>
      <c r="X342" s="11" t="n"/>
      <c r="Y342" s="12">
        <f>IF(V342="","",IFERROR(INDEX(DAFTAR_FIXTURE!$B$2:$B$51,MATCH(V342,DAFTAR_FIXTURE!$A$2:$A$51,0)),""))</f>
        <v/>
      </c>
      <c r="Z342" s="12">
        <f>IF(V342="","",IF(Y342="","CEK ID FIXTURE tidak ada di DAFTAR_FIXTURE",IF(W342="","CEK ZONA NO kosong",IF(ISNA(MATCH(Y342&amp;"|"&amp;W342,LAYOUT!$E$2:$E$80,0)),"CEK ZONA NO di luar layout",IF(X342&lt;&gt;INDEX(LAYOUT!$D$2:$D$80,MATCH(Y342&amp;"|"&amp;W342,LAYOUT!$E$2:$E$80,0)),"CEK JENIS ZONA",IF($D342="","Zona STOCK",IF($E342="","CEK SKU DESCRIPTION kosong","OK")))))))</f>
        <v/>
      </c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1" t="n"/>
      <c r="M343" s="11" t="n"/>
      <c r="N343" s="11" t="n"/>
      <c r="O343" s="12">
        <f>IF(L343="","",IFERROR(INDEX(DAFTAR_FIXTURE!$B$2:$B$51,MATCH(L343,DAFTAR_FIXTURE!$A$2:$A$51,0)),""))</f>
        <v/>
      </c>
      <c r="P343" s="12">
        <f>IF(AND($D343="",L343=""),"",IF(L343="",IF(AND(Q343="",V343=""),"Belum ditempatkan",""),IF(O343="","CEK ID FIXTURE tidak ada di DAFTAR_FIXTURE",IF(M343="","CEK ZONA NO kosong",IF(ISNA(MATCH(O343&amp;"|"&amp;M343,LAYOUT!$E$2:$E$80,0)),"CEK ZONA NO di luar layout",IF(N343&lt;&gt;INDEX(LAYOUT!$D$2:$D$80,MATCH(O343&amp;"|"&amp;M343,LAYOUT!$E$2:$E$80,0)),"CEK JENIS ZONA",IF($D343="","Zona STOCK",IF($E343="","CEK SKU DESCRIPTION kosong","OK"))))))))</f>
        <v/>
      </c>
      <c r="Q343" s="11" t="n"/>
      <c r="R343" s="11" t="n"/>
      <c r="S343" s="11" t="n"/>
      <c r="T343" s="12">
        <f>IF(Q343="","",IFERROR(INDEX(DAFTAR_FIXTURE!$B$2:$B$51,MATCH(Q343,DAFTAR_FIXTURE!$A$2:$A$51,0)),""))</f>
        <v/>
      </c>
      <c r="U343" s="12">
        <f>IF(Q343="","",IF(T343="","CEK ID FIXTURE tidak ada di DAFTAR_FIXTURE",IF(R343="","CEK ZONA NO kosong",IF(ISNA(MATCH(T343&amp;"|"&amp;R343,LAYOUT!$E$2:$E$80,0)),"CEK ZONA NO di luar layout",IF(S343&lt;&gt;INDEX(LAYOUT!$D$2:$D$80,MATCH(T343&amp;"|"&amp;R343,LAYOUT!$E$2:$E$80,0)),"CEK JENIS ZONA",IF($D343="","Zona STOCK",IF($E343="","CEK SKU DESCRIPTION kosong","OK")))))))</f>
        <v/>
      </c>
      <c r="V343" s="11" t="n"/>
      <c r="W343" s="11" t="n"/>
      <c r="X343" s="11" t="n"/>
      <c r="Y343" s="12">
        <f>IF(V343="","",IFERROR(INDEX(DAFTAR_FIXTURE!$B$2:$B$51,MATCH(V343,DAFTAR_FIXTURE!$A$2:$A$51,0)),""))</f>
        <v/>
      </c>
      <c r="Z343" s="12">
        <f>IF(V343="","",IF(Y343="","CEK ID FIXTURE tidak ada di DAFTAR_FIXTURE",IF(W343="","CEK ZONA NO kosong",IF(ISNA(MATCH(Y343&amp;"|"&amp;W343,LAYOUT!$E$2:$E$80,0)),"CEK ZONA NO di luar layout",IF(X343&lt;&gt;INDEX(LAYOUT!$D$2:$D$80,MATCH(Y343&amp;"|"&amp;W343,LAYOUT!$E$2:$E$80,0)),"CEK JENIS ZONA",IF($D343="","Zona STOCK",IF($E343="","CEK SKU DESCRIPTION kosong","OK")))))))</f>
        <v/>
      </c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1" t="n"/>
      <c r="M344" s="11" t="n"/>
      <c r="N344" s="11" t="n"/>
      <c r="O344" s="12">
        <f>IF(L344="","",IFERROR(INDEX(DAFTAR_FIXTURE!$B$2:$B$51,MATCH(L344,DAFTAR_FIXTURE!$A$2:$A$51,0)),""))</f>
        <v/>
      </c>
      <c r="P344" s="12">
        <f>IF(AND($D344="",L344=""),"",IF(L344="",IF(AND(Q344="",V344=""),"Belum ditempatkan",""),IF(O344="","CEK ID FIXTURE tidak ada di DAFTAR_FIXTURE",IF(M344="","CEK ZONA NO kosong",IF(ISNA(MATCH(O344&amp;"|"&amp;M344,LAYOUT!$E$2:$E$80,0)),"CEK ZONA NO di luar layout",IF(N344&lt;&gt;INDEX(LAYOUT!$D$2:$D$80,MATCH(O344&amp;"|"&amp;M344,LAYOUT!$E$2:$E$80,0)),"CEK JENIS ZONA",IF($D344="","Zona STOCK",IF($E344="","CEK SKU DESCRIPTION kosong","OK"))))))))</f>
        <v/>
      </c>
      <c r="Q344" s="11" t="n"/>
      <c r="R344" s="11" t="n"/>
      <c r="S344" s="11" t="n"/>
      <c r="T344" s="12">
        <f>IF(Q344="","",IFERROR(INDEX(DAFTAR_FIXTURE!$B$2:$B$51,MATCH(Q344,DAFTAR_FIXTURE!$A$2:$A$51,0)),""))</f>
        <v/>
      </c>
      <c r="U344" s="12">
        <f>IF(Q344="","",IF(T344="","CEK ID FIXTURE tidak ada di DAFTAR_FIXTURE",IF(R344="","CEK ZONA NO kosong",IF(ISNA(MATCH(T344&amp;"|"&amp;R344,LAYOUT!$E$2:$E$80,0)),"CEK ZONA NO di luar layout",IF(S344&lt;&gt;INDEX(LAYOUT!$D$2:$D$80,MATCH(T344&amp;"|"&amp;R344,LAYOUT!$E$2:$E$80,0)),"CEK JENIS ZONA",IF($D344="","Zona STOCK",IF($E344="","CEK SKU DESCRIPTION kosong","OK")))))))</f>
        <v/>
      </c>
      <c r="V344" s="11" t="n"/>
      <c r="W344" s="11" t="n"/>
      <c r="X344" s="11" t="n"/>
      <c r="Y344" s="12">
        <f>IF(V344="","",IFERROR(INDEX(DAFTAR_FIXTURE!$B$2:$B$51,MATCH(V344,DAFTAR_FIXTURE!$A$2:$A$51,0)),""))</f>
        <v/>
      </c>
      <c r="Z344" s="12">
        <f>IF(V344="","",IF(Y344="","CEK ID FIXTURE tidak ada di DAFTAR_FIXTURE",IF(W344="","CEK ZONA NO kosong",IF(ISNA(MATCH(Y344&amp;"|"&amp;W344,LAYOUT!$E$2:$E$80,0)),"CEK ZONA NO di luar layout",IF(X344&lt;&gt;INDEX(LAYOUT!$D$2:$D$80,MATCH(Y344&amp;"|"&amp;W344,LAYOUT!$E$2:$E$80,0)),"CEK JENIS ZONA",IF($D344="","Zona STOCK",IF($E344="","CEK SKU DESCRIPTION kosong","OK")))))))</f>
        <v/>
      </c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1" t="n"/>
      <c r="M345" s="11" t="n"/>
      <c r="N345" s="11" t="n"/>
      <c r="O345" s="12">
        <f>IF(L345="","",IFERROR(INDEX(DAFTAR_FIXTURE!$B$2:$B$51,MATCH(L345,DAFTAR_FIXTURE!$A$2:$A$51,0)),""))</f>
        <v/>
      </c>
      <c r="P345" s="12">
        <f>IF(AND($D345="",L345=""),"",IF(L345="",IF(AND(Q345="",V345=""),"Belum ditempatkan",""),IF(O345="","CEK ID FIXTURE tidak ada di DAFTAR_FIXTURE",IF(M345="","CEK ZONA NO kosong",IF(ISNA(MATCH(O345&amp;"|"&amp;M345,LAYOUT!$E$2:$E$80,0)),"CEK ZONA NO di luar layout",IF(N345&lt;&gt;INDEX(LAYOUT!$D$2:$D$80,MATCH(O345&amp;"|"&amp;M345,LAYOUT!$E$2:$E$80,0)),"CEK JENIS ZONA",IF($D345="","Zona STOCK",IF($E345="","CEK SKU DESCRIPTION kosong","OK"))))))))</f>
        <v/>
      </c>
      <c r="Q345" s="11" t="n"/>
      <c r="R345" s="11" t="n"/>
      <c r="S345" s="11" t="n"/>
      <c r="T345" s="12">
        <f>IF(Q345="","",IFERROR(INDEX(DAFTAR_FIXTURE!$B$2:$B$51,MATCH(Q345,DAFTAR_FIXTURE!$A$2:$A$51,0)),""))</f>
        <v/>
      </c>
      <c r="U345" s="12">
        <f>IF(Q345="","",IF(T345="","CEK ID FIXTURE tidak ada di DAFTAR_FIXTURE",IF(R345="","CEK ZONA NO kosong",IF(ISNA(MATCH(T345&amp;"|"&amp;R345,LAYOUT!$E$2:$E$80,0)),"CEK ZONA NO di luar layout",IF(S345&lt;&gt;INDEX(LAYOUT!$D$2:$D$80,MATCH(T345&amp;"|"&amp;R345,LAYOUT!$E$2:$E$80,0)),"CEK JENIS ZONA",IF($D345="","Zona STOCK",IF($E345="","CEK SKU DESCRIPTION kosong","OK")))))))</f>
        <v/>
      </c>
      <c r="V345" s="11" t="n"/>
      <c r="W345" s="11" t="n"/>
      <c r="X345" s="11" t="n"/>
      <c r="Y345" s="12">
        <f>IF(V345="","",IFERROR(INDEX(DAFTAR_FIXTURE!$B$2:$B$51,MATCH(V345,DAFTAR_FIXTURE!$A$2:$A$51,0)),""))</f>
        <v/>
      </c>
      <c r="Z345" s="12">
        <f>IF(V345="","",IF(Y345="","CEK ID FIXTURE tidak ada di DAFTAR_FIXTURE",IF(W345="","CEK ZONA NO kosong",IF(ISNA(MATCH(Y345&amp;"|"&amp;W345,LAYOUT!$E$2:$E$80,0)),"CEK ZONA NO di luar layout",IF(X345&lt;&gt;INDEX(LAYOUT!$D$2:$D$80,MATCH(Y345&amp;"|"&amp;W345,LAYOUT!$E$2:$E$80,0)),"CEK JENIS ZONA",IF($D345="","Zona STOCK",IF($E345="","CEK SKU DESCRIPTION kosong","OK")))))))</f>
        <v/>
      </c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1" t="n"/>
      <c r="M346" s="11" t="n"/>
      <c r="N346" s="11" t="n"/>
      <c r="O346" s="12">
        <f>IF(L346="","",IFERROR(INDEX(DAFTAR_FIXTURE!$B$2:$B$51,MATCH(L346,DAFTAR_FIXTURE!$A$2:$A$51,0)),""))</f>
        <v/>
      </c>
      <c r="P346" s="12">
        <f>IF(AND($D346="",L346=""),"",IF(L346="",IF(AND(Q346="",V346=""),"Belum ditempatkan",""),IF(O346="","CEK ID FIXTURE tidak ada di DAFTAR_FIXTURE",IF(M346="","CEK ZONA NO kosong",IF(ISNA(MATCH(O346&amp;"|"&amp;M346,LAYOUT!$E$2:$E$80,0)),"CEK ZONA NO di luar layout",IF(N346&lt;&gt;INDEX(LAYOUT!$D$2:$D$80,MATCH(O346&amp;"|"&amp;M346,LAYOUT!$E$2:$E$80,0)),"CEK JENIS ZONA",IF($D346="","Zona STOCK",IF($E346="","CEK SKU DESCRIPTION kosong","OK"))))))))</f>
        <v/>
      </c>
      <c r="Q346" s="11" t="n"/>
      <c r="R346" s="11" t="n"/>
      <c r="S346" s="11" t="n"/>
      <c r="T346" s="12">
        <f>IF(Q346="","",IFERROR(INDEX(DAFTAR_FIXTURE!$B$2:$B$51,MATCH(Q346,DAFTAR_FIXTURE!$A$2:$A$51,0)),""))</f>
        <v/>
      </c>
      <c r="U346" s="12">
        <f>IF(Q346="","",IF(T346="","CEK ID FIXTURE tidak ada di DAFTAR_FIXTURE",IF(R346="","CEK ZONA NO kosong",IF(ISNA(MATCH(T346&amp;"|"&amp;R346,LAYOUT!$E$2:$E$80,0)),"CEK ZONA NO di luar layout",IF(S346&lt;&gt;INDEX(LAYOUT!$D$2:$D$80,MATCH(T346&amp;"|"&amp;R346,LAYOUT!$E$2:$E$80,0)),"CEK JENIS ZONA",IF($D346="","Zona STOCK",IF($E346="","CEK SKU DESCRIPTION kosong","OK")))))))</f>
        <v/>
      </c>
      <c r="V346" s="11" t="n"/>
      <c r="W346" s="11" t="n"/>
      <c r="X346" s="11" t="n"/>
      <c r="Y346" s="12">
        <f>IF(V346="","",IFERROR(INDEX(DAFTAR_FIXTURE!$B$2:$B$51,MATCH(V346,DAFTAR_FIXTURE!$A$2:$A$51,0)),""))</f>
        <v/>
      </c>
      <c r="Z346" s="12">
        <f>IF(V346="","",IF(Y346="","CEK ID FIXTURE tidak ada di DAFTAR_FIXTURE",IF(W346="","CEK ZONA NO kosong",IF(ISNA(MATCH(Y346&amp;"|"&amp;W346,LAYOUT!$E$2:$E$80,0)),"CEK ZONA NO di luar layout",IF(X346&lt;&gt;INDEX(LAYOUT!$D$2:$D$80,MATCH(Y346&amp;"|"&amp;W346,LAYOUT!$E$2:$E$80,0)),"CEK JENIS ZONA",IF($D346="","Zona STOCK",IF($E346="","CEK SKU DESCRIPTION kosong","OK")))))))</f>
        <v/>
      </c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1" t="n"/>
      <c r="M347" s="11" t="n"/>
      <c r="N347" s="11" t="n"/>
      <c r="O347" s="12">
        <f>IF(L347="","",IFERROR(INDEX(DAFTAR_FIXTURE!$B$2:$B$51,MATCH(L347,DAFTAR_FIXTURE!$A$2:$A$51,0)),""))</f>
        <v/>
      </c>
      <c r="P347" s="12">
        <f>IF(AND($D347="",L347=""),"",IF(L347="",IF(AND(Q347="",V347=""),"Belum ditempatkan",""),IF(O347="","CEK ID FIXTURE tidak ada di DAFTAR_FIXTURE",IF(M347="","CEK ZONA NO kosong",IF(ISNA(MATCH(O347&amp;"|"&amp;M347,LAYOUT!$E$2:$E$80,0)),"CEK ZONA NO di luar layout",IF(N347&lt;&gt;INDEX(LAYOUT!$D$2:$D$80,MATCH(O347&amp;"|"&amp;M347,LAYOUT!$E$2:$E$80,0)),"CEK JENIS ZONA",IF($D347="","Zona STOCK",IF($E347="","CEK SKU DESCRIPTION kosong","OK"))))))))</f>
        <v/>
      </c>
      <c r="Q347" s="11" t="n"/>
      <c r="R347" s="11" t="n"/>
      <c r="S347" s="11" t="n"/>
      <c r="T347" s="12">
        <f>IF(Q347="","",IFERROR(INDEX(DAFTAR_FIXTURE!$B$2:$B$51,MATCH(Q347,DAFTAR_FIXTURE!$A$2:$A$51,0)),""))</f>
        <v/>
      </c>
      <c r="U347" s="12">
        <f>IF(Q347="","",IF(T347="","CEK ID FIXTURE tidak ada di DAFTAR_FIXTURE",IF(R347="","CEK ZONA NO kosong",IF(ISNA(MATCH(T347&amp;"|"&amp;R347,LAYOUT!$E$2:$E$80,0)),"CEK ZONA NO di luar layout",IF(S347&lt;&gt;INDEX(LAYOUT!$D$2:$D$80,MATCH(T347&amp;"|"&amp;R347,LAYOUT!$E$2:$E$80,0)),"CEK JENIS ZONA",IF($D347="","Zona STOCK",IF($E347="","CEK SKU DESCRIPTION kosong","OK")))))))</f>
        <v/>
      </c>
      <c r="V347" s="11" t="n"/>
      <c r="W347" s="11" t="n"/>
      <c r="X347" s="11" t="n"/>
      <c r="Y347" s="12">
        <f>IF(V347="","",IFERROR(INDEX(DAFTAR_FIXTURE!$B$2:$B$51,MATCH(V347,DAFTAR_FIXTURE!$A$2:$A$51,0)),""))</f>
        <v/>
      </c>
      <c r="Z347" s="12">
        <f>IF(V347="","",IF(Y347="","CEK ID FIXTURE tidak ada di DAFTAR_FIXTURE",IF(W347="","CEK ZONA NO kosong",IF(ISNA(MATCH(Y347&amp;"|"&amp;W347,LAYOUT!$E$2:$E$80,0)),"CEK ZONA NO di luar layout",IF(X347&lt;&gt;INDEX(LAYOUT!$D$2:$D$80,MATCH(Y347&amp;"|"&amp;W347,LAYOUT!$E$2:$E$80,0)),"CEK JENIS ZONA",IF($D347="","Zona STOCK",IF($E347="","CEK SKU DESCRIPTION kosong","OK")))))))</f>
        <v/>
      </c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1" t="n"/>
      <c r="M348" s="11" t="n"/>
      <c r="N348" s="11" t="n"/>
      <c r="O348" s="12">
        <f>IF(L348="","",IFERROR(INDEX(DAFTAR_FIXTURE!$B$2:$B$51,MATCH(L348,DAFTAR_FIXTURE!$A$2:$A$51,0)),""))</f>
        <v/>
      </c>
      <c r="P348" s="12">
        <f>IF(AND($D348="",L348=""),"",IF(L348="",IF(AND(Q348="",V348=""),"Belum ditempatkan",""),IF(O348="","CEK ID FIXTURE tidak ada di DAFTAR_FIXTURE",IF(M348="","CEK ZONA NO kosong",IF(ISNA(MATCH(O348&amp;"|"&amp;M348,LAYOUT!$E$2:$E$80,0)),"CEK ZONA NO di luar layout",IF(N348&lt;&gt;INDEX(LAYOUT!$D$2:$D$80,MATCH(O348&amp;"|"&amp;M348,LAYOUT!$E$2:$E$80,0)),"CEK JENIS ZONA",IF($D348="","Zona STOCK",IF($E348="","CEK SKU DESCRIPTION kosong","OK"))))))))</f>
        <v/>
      </c>
      <c r="Q348" s="11" t="n"/>
      <c r="R348" s="11" t="n"/>
      <c r="S348" s="11" t="n"/>
      <c r="T348" s="12">
        <f>IF(Q348="","",IFERROR(INDEX(DAFTAR_FIXTURE!$B$2:$B$51,MATCH(Q348,DAFTAR_FIXTURE!$A$2:$A$51,0)),""))</f>
        <v/>
      </c>
      <c r="U348" s="12">
        <f>IF(Q348="","",IF(T348="","CEK ID FIXTURE tidak ada di DAFTAR_FIXTURE",IF(R348="","CEK ZONA NO kosong",IF(ISNA(MATCH(T348&amp;"|"&amp;R348,LAYOUT!$E$2:$E$80,0)),"CEK ZONA NO di luar layout",IF(S348&lt;&gt;INDEX(LAYOUT!$D$2:$D$80,MATCH(T348&amp;"|"&amp;R348,LAYOUT!$E$2:$E$80,0)),"CEK JENIS ZONA",IF($D348="","Zona STOCK",IF($E348="","CEK SKU DESCRIPTION kosong","OK")))))))</f>
        <v/>
      </c>
      <c r="V348" s="11" t="n"/>
      <c r="W348" s="11" t="n"/>
      <c r="X348" s="11" t="n"/>
      <c r="Y348" s="12">
        <f>IF(V348="","",IFERROR(INDEX(DAFTAR_FIXTURE!$B$2:$B$51,MATCH(V348,DAFTAR_FIXTURE!$A$2:$A$51,0)),""))</f>
        <v/>
      </c>
      <c r="Z348" s="12">
        <f>IF(V348="","",IF(Y348="","CEK ID FIXTURE tidak ada di DAFTAR_FIXTURE",IF(W348="","CEK ZONA NO kosong",IF(ISNA(MATCH(Y348&amp;"|"&amp;W348,LAYOUT!$E$2:$E$80,0)),"CEK ZONA NO di luar layout",IF(X348&lt;&gt;INDEX(LAYOUT!$D$2:$D$80,MATCH(Y348&amp;"|"&amp;W348,LAYOUT!$E$2:$E$80,0)),"CEK JENIS ZONA",IF($D348="","Zona STOCK",IF($E348="","CEK SKU DESCRIPTION kosong","OK")))))))</f>
        <v/>
      </c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1" t="n"/>
      <c r="M349" s="11" t="n"/>
      <c r="N349" s="11" t="n"/>
      <c r="O349" s="12">
        <f>IF(L349="","",IFERROR(INDEX(DAFTAR_FIXTURE!$B$2:$B$51,MATCH(L349,DAFTAR_FIXTURE!$A$2:$A$51,0)),""))</f>
        <v/>
      </c>
      <c r="P349" s="12">
        <f>IF(AND($D349="",L349=""),"",IF(L349="",IF(AND(Q349="",V349=""),"Belum ditempatkan",""),IF(O349="","CEK ID FIXTURE tidak ada di DAFTAR_FIXTURE",IF(M349="","CEK ZONA NO kosong",IF(ISNA(MATCH(O349&amp;"|"&amp;M349,LAYOUT!$E$2:$E$80,0)),"CEK ZONA NO di luar layout",IF(N349&lt;&gt;INDEX(LAYOUT!$D$2:$D$80,MATCH(O349&amp;"|"&amp;M349,LAYOUT!$E$2:$E$80,0)),"CEK JENIS ZONA",IF($D349="","Zona STOCK",IF($E349="","CEK SKU DESCRIPTION kosong","OK"))))))))</f>
        <v/>
      </c>
      <c r="Q349" s="11" t="n"/>
      <c r="R349" s="11" t="n"/>
      <c r="S349" s="11" t="n"/>
      <c r="T349" s="12">
        <f>IF(Q349="","",IFERROR(INDEX(DAFTAR_FIXTURE!$B$2:$B$51,MATCH(Q349,DAFTAR_FIXTURE!$A$2:$A$51,0)),""))</f>
        <v/>
      </c>
      <c r="U349" s="12">
        <f>IF(Q349="","",IF(T349="","CEK ID FIXTURE tidak ada di DAFTAR_FIXTURE",IF(R349="","CEK ZONA NO kosong",IF(ISNA(MATCH(T349&amp;"|"&amp;R349,LAYOUT!$E$2:$E$80,0)),"CEK ZONA NO di luar layout",IF(S349&lt;&gt;INDEX(LAYOUT!$D$2:$D$80,MATCH(T349&amp;"|"&amp;R349,LAYOUT!$E$2:$E$80,0)),"CEK JENIS ZONA",IF($D349="","Zona STOCK",IF($E349="","CEK SKU DESCRIPTION kosong","OK")))))))</f>
        <v/>
      </c>
      <c r="V349" s="11" t="n"/>
      <c r="W349" s="11" t="n"/>
      <c r="X349" s="11" t="n"/>
      <c r="Y349" s="12">
        <f>IF(V349="","",IFERROR(INDEX(DAFTAR_FIXTURE!$B$2:$B$51,MATCH(V349,DAFTAR_FIXTURE!$A$2:$A$51,0)),""))</f>
        <v/>
      </c>
      <c r="Z349" s="12">
        <f>IF(V349="","",IF(Y349="","CEK ID FIXTURE tidak ada di DAFTAR_FIXTURE",IF(W349="","CEK ZONA NO kosong",IF(ISNA(MATCH(Y349&amp;"|"&amp;W349,LAYOUT!$E$2:$E$80,0)),"CEK ZONA NO di luar layout",IF(X349&lt;&gt;INDEX(LAYOUT!$D$2:$D$80,MATCH(Y349&amp;"|"&amp;W349,LAYOUT!$E$2:$E$80,0)),"CEK JENIS ZONA",IF($D349="","Zona STOCK",IF($E349="","CEK SKU DESCRIPTION kosong","OK")))))))</f>
        <v/>
      </c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1" t="n"/>
      <c r="M350" s="11" t="n"/>
      <c r="N350" s="11" t="n"/>
      <c r="O350" s="12">
        <f>IF(L350="","",IFERROR(INDEX(DAFTAR_FIXTURE!$B$2:$B$51,MATCH(L350,DAFTAR_FIXTURE!$A$2:$A$51,0)),""))</f>
        <v/>
      </c>
      <c r="P350" s="12">
        <f>IF(AND($D350="",L350=""),"",IF(L350="",IF(AND(Q350="",V350=""),"Belum ditempatkan",""),IF(O350="","CEK ID FIXTURE tidak ada di DAFTAR_FIXTURE",IF(M350="","CEK ZONA NO kosong",IF(ISNA(MATCH(O350&amp;"|"&amp;M350,LAYOUT!$E$2:$E$80,0)),"CEK ZONA NO di luar layout",IF(N350&lt;&gt;INDEX(LAYOUT!$D$2:$D$80,MATCH(O350&amp;"|"&amp;M350,LAYOUT!$E$2:$E$80,0)),"CEK JENIS ZONA",IF($D350="","Zona STOCK",IF($E350="","CEK SKU DESCRIPTION kosong","OK"))))))))</f>
        <v/>
      </c>
      <c r="Q350" s="11" t="n"/>
      <c r="R350" s="11" t="n"/>
      <c r="S350" s="11" t="n"/>
      <c r="T350" s="12">
        <f>IF(Q350="","",IFERROR(INDEX(DAFTAR_FIXTURE!$B$2:$B$51,MATCH(Q350,DAFTAR_FIXTURE!$A$2:$A$51,0)),""))</f>
        <v/>
      </c>
      <c r="U350" s="12">
        <f>IF(Q350="","",IF(T350="","CEK ID FIXTURE tidak ada di DAFTAR_FIXTURE",IF(R350="","CEK ZONA NO kosong",IF(ISNA(MATCH(T350&amp;"|"&amp;R350,LAYOUT!$E$2:$E$80,0)),"CEK ZONA NO di luar layout",IF(S350&lt;&gt;INDEX(LAYOUT!$D$2:$D$80,MATCH(T350&amp;"|"&amp;R350,LAYOUT!$E$2:$E$80,0)),"CEK JENIS ZONA",IF($D350="","Zona STOCK",IF($E350="","CEK SKU DESCRIPTION kosong","OK")))))))</f>
        <v/>
      </c>
      <c r="V350" s="11" t="n"/>
      <c r="W350" s="11" t="n"/>
      <c r="X350" s="11" t="n"/>
      <c r="Y350" s="12">
        <f>IF(V350="","",IFERROR(INDEX(DAFTAR_FIXTURE!$B$2:$B$51,MATCH(V350,DAFTAR_FIXTURE!$A$2:$A$51,0)),""))</f>
        <v/>
      </c>
      <c r="Z350" s="12">
        <f>IF(V350="","",IF(Y350="","CEK ID FIXTURE tidak ada di DAFTAR_FIXTURE",IF(W350="","CEK ZONA NO kosong",IF(ISNA(MATCH(Y350&amp;"|"&amp;W350,LAYOUT!$E$2:$E$80,0)),"CEK ZONA NO di luar layout",IF(X350&lt;&gt;INDEX(LAYOUT!$D$2:$D$80,MATCH(Y350&amp;"|"&amp;W350,LAYOUT!$E$2:$E$80,0)),"CEK JENIS ZONA",IF($D350="","Zona STOCK",IF($E350="","CEK SKU DESCRIPTION kosong","OK")))))))</f>
        <v/>
      </c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1" t="n"/>
      <c r="M351" s="11" t="n"/>
      <c r="N351" s="11" t="n"/>
      <c r="O351" s="12">
        <f>IF(L351="","",IFERROR(INDEX(DAFTAR_FIXTURE!$B$2:$B$51,MATCH(L351,DAFTAR_FIXTURE!$A$2:$A$51,0)),""))</f>
        <v/>
      </c>
      <c r="P351" s="12">
        <f>IF(AND($D351="",L351=""),"",IF(L351="",IF(AND(Q351="",V351=""),"Belum ditempatkan",""),IF(O351="","CEK ID FIXTURE tidak ada di DAFTAR_FIXTURE",IF(M351="","CEK ZONA NO kosong",IF(ISNA(MATCH(O351&amp;"|"&amp;M351,LAYOUT!$E$2:$E$80,0)),"CEK ZONA NO di luar layout",IF(N351&lt;&gt;INDEX(LAYOUT!$D$2:$D$80,MATCH(O351&amp;"|"&amp;M351,LAYOUT!$E$2:$E$80,0)),"CEK JENIS ZONA",IF($D351="","Zona STOCK",IF($E351="","CEK SKU DESCRIPTION kosong","OK"))))))))</f>
        <v/>
      </c>
      <c r="Q351" s="11" t="n"/>
      <c r="R351" s="11" t="n"/>
      <c r="S351" s="11" t="n"/>
      <c r="T351" s="12">
        <f>IF(Q351="","",IFERROR(INDEX(DAFTAR_FIXTURE!$B$2:$B$51,MATCH(Q351,DAFTAR_FIXTURE!$A$2:$A$51,0)),""))</f>
        <v/>
      </c>
      <c r="U351" s="12">
        <f>IF(Q351="","",IF(T351="","CEK ID FIXTURE tidak ada di DAFTAR_FIXTURE",IF(R351="","CEK ZONA NO kosong",IF(ISNA(MATCH(T351&amp;"|"&amp;R351,LAYOUT!$E$2:$E$80,0)),"CEK ZONA NO di luar layout",IF(S351&lt;&gt;INDEX(LAYOUT!$D$2:$D$80,MATCH(T351&amp;"|"&amp;R351,LAYOUT!$E$2:$E$80,0)),"CEK JENIS ZONA",IF($D351="","Zona STOCK",IF($E351="","CEK SKU DESCRIPTION kosong","OK")))))))</f>
        <v/>
      </c>
      <c r="V351" s="11" t="n"/>
      <c r="W351" s="11" t="n"/>
      <c r="X351" s="11" t="n"/>
      <c r="Y351" s="12">
        <f>IF(V351="","",IFERROR(INDEX(DAFTAR_FIXTURE!$B$2:$B$51,MATCH(V351,DAFTAR_FIXTURE!$A$2:$A$51,0)),""))</f>
        <v/>
      </c>
      <c r="Z351" s="12">
        <f>IF(V351="","",IF(Y351="","CEK ID FIXTURE tidak ada di DAFTAR_FIXTURE",IF(W351="","CEK ZONA NO kosong",IF(ISNA(MATCH(Y351&amp;"|"&amp;W351,LAYOUT!$E$2:$E$80,0)),"CEK ZONA NO di luar layout",IF(X351&lt;&gt;INDEX(LAYOUT!$D$2:$D$80,MATCH(Y351&amp;"|"&amp;W351,LAYOUT!$E$2:$E$80,0)),"CEK JENIS ZONA",IF($D351="","Zona STOCK",IF($E351="","CEK SKU DESCRIPTION kosong","OK")))))))</f>
        <v/>
      </c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1" t="n"/>
      <c r="M352" s="11" t="n"/>
      <c r="N352" s="11" t="n"/>
      <c r="O352" s="12">
        <f>IF(L352="","",IFERROR(INDEX(DAFTAR_FIXTURE!$B$2:$B$51,MATCH(L352,DAFTAR_FIXTURE!$A$2:$A$51,0)),""))</f>
        <v/>
      </c>
      <c r="P352" s="12">
        <f>IF(AND($D352="",L352=""),"",IF(L352="",IF(AND(Q352="",V352=""),"Belum ditempatkan",""),IF(O352="","CEK ID FIXTURE tidak ada di DAFTAR_FIXTURE",IF(M352="","CEK ZONA NO kosong",IF(ISNA(MATCH(O352&amp;"|"&amp;M352,LAYOUT!$E$2:$E$80,0)),"CEK ZONA NO di luar layout",IF(N352&lt;&gt;INDEX(LAYOUT!$D$2:$D$80,MATCH(O352&amp;"|"&amp;M352,LAYOUT!$E$2:$E$80,0)),"CEK JENIS ZONA",IF($D352="","Zona STOCK",IF($E352="","CEK SKU DESCRIPTION kosong","OK"))))))))</f>
        <v/>
      </c>
      <c r="Q352" s="11" t="n"/>
      <c r="R352" s="11" t="n"/>
      <c r="S352" s="11" t="n"/>
      <c r="T352" s="12">
        <f>IF(Q352="","",IFERROR(INDEX(DAFTAR_FIXTURE!$B$2:$B$51,MATCH(Q352,DAFTAR_FIXTURE!$A$2:$A$51,0)),""))</f>
        <v/>
      </c>
      <c r="U352" s="12">
        <f>IF(Q352="","",IF(T352="","CEK ID FIXTURE tidak ada di DAFTAR_FIXTURE",IF(R352="","CEK ZONA NO kosong",IF(ISNA(MATCH(T352&amp;"|"&amp;R352,LAYOUT!$E$2:$E$80,0)),"CEK ZONA NO di luar layout",IF(S352&lt;&gt;INDEX(LAYOUT!$D$2:$D$80,MATCH(T352&amp;"|"&amp;R352,LAYOUT!$E$2:$E$80,0)),"CEK JENIS ZONA",IF($D352="","Zona STOCK",IF($E352="","CEK SKU DESCRIPTION kosong","OK")))))))</f>
        <v/>
      </c>
      <c r="V352" s="11" t="n"/>
      <c r="W352" s="11" t="n"/>
      <c r="X352" s="11" t="n"/>
      <c r="Y352" s="12">
        <f>IF(V352="","",IFERROR(INDEX(DAFTAR_FIXTURE!$B$2:$B$51,MATCH(V352,DAFTAR_FIXTURE!$A$2:$A$51,0)),""))</f>
        <v/>
      </c>
      <c r="Z352" s="12">
        <f>IF(V352="","",IF(Y352="","CEK ID FIXTURE tidak ada di DAFTAR_FIXTURE",IF(W352="","CEK ZONA NO kosong",IF(ISNA(MATCH(Y352&amp;"|"&amp;W352,LAYOUT!$E$2:$E$80,0)),"CEK ZONA NO di luar layout",IF(X352&lt;&gt;INDEX(LAYOUT!$D$2:$D$80,MATCH(Y352&amp;"|"&amp;W352,LAYOUT!$E$2:$E$80,0)),"CEK JENIS ZONA",IF($D352="","Zona STOCK",IF($E352="","CEK SKU DESCRIPTION kosong","OK")))))))</f>
        <v/>
      </c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1" t="n"/>
      <c r="M353" s="11" t="n"/>
      <c r="N353" s="11" t="n"/>
      <c r="O353" s="12">
        <f>IF(L353="","",IFERROR(INDEX(DAFTAR_FIXTURE!$B$2:$B$51,MATCH(L353,DAFTAR_FIXTURE!$A$2:$A$51,0)),""))</f>
        <v/>
      </c>
      <c r="P353" s="12">
        <f>IF(AND($D353="",L353=""),"",IF(L353="",IF(AND(Q353="",V353=""),"Belum ditempatkan",""),IF(O353="","CEK ID FIXTURE tidak ada di DAFTAR_FIXTURE",IF(M353="","CEK ZONA NO kosong",IF(ISNA(MATCH(O353&amp;"|"&amp;M353,LAYOUT!$E$2:$E$80,0)),"CEK ZONA NO di luar layout",IF(N353&lt;&gt;INDEX(LAYOUT!$D$2:$D$80,MATCH(O353&amp;"|"&amp;M353,LAYOUT!$E$2:$E$80,0)),"CEK JENIS ZONA",IF($D353="","Zona STOCK",IF($E353="","CEK SKU DESCRIPTION kosong","OK"))))))))</f>
        <v/>
      </c>
      <c r="Q353" s="11" t="n"/>
      <c r="R353" s="11" t="n"/>
      <c r="S353" s="11" t="n"/>
      <c r="T353" s="12">
        <f>IF(Q353="","",IFERROR(INDEX(DAFTAR_FIXTURE!$B$2:$B$51,MATCH(Q353,DAFTAR_FIXTURE!$A$2:$A$51,0)),""))</f>
        <v/>
      </c>
      <c r="U353" s="12">
        <f>IF(Q353="","",IF(T353="","CEK ID FIXTURE tidak ada di DAFTAR_FIXTURE",IF(R353="","CEK ZONA NO kosong",IF(ISNA(MATCH(T353&amp;"|"&amp;R353,LAYOUT!$E$2:$E$80,0)),"CEK ZONA NO di luar layout",IF(S353&lt;&gt;INDEX(LAYOUT!$D$2:$D$80,MATCH(T353&amp;"|"&amp;R353,LAYOUT!$E$2:$E$80,0)),"CEK JENIS ZONA",IF($D353="","Zona STOCK",IF($E353="","CEK SKU DESCRIPTION kosong","OK")))))))</f>
        <v/>
      </c>
      <c r="V353" s="11" t="n"/>
      <c r="W353" s="11" t="n"/>
      <c r="X353" s="11" t="n"/>
      <c r="Y353" s="12">
        <f>IF(V353="","",IFERROR(INDEX(DAFTAR_FIXTURE!$B$2:$B$51,MATCH(V353,DAFTAR_FIXTURE!$A$2:$A$51,0)),""))</f>
        <v/>
      </c>
      <c r="Z353" s="12">
        <f>IF(V353="","",IF(Y353="","CEK ID FIXTURE tidak ada di DAFTAR_FIXTURE",IF(W353="","CEK ZONA NO kosong",IF(ISNA(MATCH(Y353&amp;"|"&amp;W353,LAYOUT!$E$2:$E$80,0)),"CEK ZONA NO di luar layout",IF(X353&lt;&gt;INDEX(LAYOUT!$D$2:$D$80,MATCH(Y353&amp;"|"&amp;W353,LAYOUT!$E$2:$E$80,0)),"CEK JENIS ZONA",IF($D353="","Zona STOCK",IF($E353="","CEK SKU DESCRIPTION kosong","OK")))))))</f>
        <v/>
      </c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1" t="n"/>
      <c r="M354" s="11" t="n"/>
      <c r="N354" s="11" t="n"/>
      <c r="O354" s="12">
        <f>IF(L354="","",IFERROR(INDEX(DAFTAR_FIXTURE!$B$2:$B$51,MATCH(L354,DAFTAR_FIXTURE!$A$2:$A$51,0)),""))</f>
        <v/>
      </c>
      <c r="P354" s="12">
        <f>IF(AND($D354="",L354=""),"",IF(L354="",IF(AND(Q354="",V354=""),"Belum ditempatkan",""),IF(O354="","CEK ID FIXTURE tidak ada di DAFTAR_FIXTURE",IF(M354="","CEK ZONA NO kosong",IF(ISNA(MATCH(O354&amp;"|"&amp;M354,LAYOUT!$E$2:$E$80,0)),"CEK ZONA NO di luar layout",IF(N354&lt;&gt;INDEX(LAYOUT!$D$2:$D$80,MATCH(O354&amp;"|"&amp;M354,LAYOUT!$E$2:$E$80,0)),"CEK JENIS ZONA",IF($D354="","Zona STOCK",IF($E354="","CEK SKU DESCRIPTION kosong","OK"))))))))</f>
        <v/>
      </c>
      <c r="Q354" s="11" t="n"/>
      <c r="R354" s="11" t="n"/>
      <c r="S354" s="11" t="n"/>
      <c r="T354" s="12">
        <f>IF(Q354="","",IFERROR(INDEX(DAFTAR_FIXTURE!$B$2:$B$51,MATCH(Q354,DAFTAR_FIXTURE!$A$2:$A$51,0)),""))</f>
        <v/>
      </c>
      <c r="U354" s="12">
        <f>IF(Q354="","",IF(T354="","CEK ID FIXTURE tidak ada di DAFTAR_FIXTURE",IF(R354="","CEK ZONA NO kosong",IF(ISNA(MATCH(T354&amp;"|"&amp;R354,LAYOUT!$E$2:$E$80,0)),"CEK ZONA NO di luar layout",IF(S354&lt;&gt;INDEX(LAYOUT!$D$2:$D$80,MATCH(T354&amp;"|"&amp;R354,LAYOUT!$E$2:$E$80,0)),"CEK JENIS ZONA",IF($D354="","Zona STOCK",IF($E354="","CEK SKU DESCRIPTION kosong","OK")))))))</f>
        <v/>
      </c>
      <c r="V354" s="11" t="n"/>
      <c r="W354" s="11" t="n"/>
      <c r="X354" s="11" t="n"/>
      <c r="Y354" s="12">
        <f>IF(V354="","",IFERROR(INDEX(DAFTAR_FIXTURE!$B$2:$B$51,MATCH(V354,DAFTAR_FIXTURE!$A$2:$A$51,0)),""))</f>
        <v/>
      </c>
      <c r="Z354" s="12">
        <f>IF(V354="","",IF(Y354="","CEK ID FIXTURE tidak ada di DAFTAR_FIXTURE",IF(W354="","CEK ZONA NO kosong",IF(ISNA(MATCH(Y354&amp;"|"&amp;W354,LAYOUT!$E$2:$E$80,0)),"CEK ZONA NO di luar layout",IF(X354&lt;&gt;INDEX(LAYOUT!$D$2:$D$80,MATCH(Y354&amp;"|"&amp;W354,LAYOUT!$E$2:$E$80,0)),"CEK JENIS ZONA",IF($D354="","Zona STOCK",IF($E354="","CEK SKU DESCRIPTION kosong","OK")))))))</f>
        <v/>
      </c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1" t="n"/>
      <c r="M355" s="11" t="n"/>
      <c r="N355" s="11" t="n"/>
      <c r="O355" s="12">
        <f>IF(L355="","",IFERROR(INDEX(DAFTAR_FIXTURE!$B$2:$B$51,MATCH(L355,DAFTAR_FIXTURE!$A$2:$A$51,0)),""))</f>
        <v/>
      </c>
      <c r="P355" s="12">
        <f>IF(AND($D355="",L355=""),"",IF(L355="",IF(AND(Q355="",V355=""),"Belum ditempatkan",""),IF(O355="","CEK ID FIXTURE tidak ada di DAFTAR_FIXTURE",IF(M355="","CEK ZONA NO kosong",IF(ISNA(MATCH(O355&amp;"|"&amp;M355,LAYOUT!$E$2:$E$80,0)),"CEK ZONA NO di luar layout",IF(N355&lt;&gt;INDEX(LAYOUT!$D$2:$D$80,MATCH(O355&amp;"|"&amp;M355,LAYOUT!$E$2:$E$80,0)),"CEK JENIS ZONA",IF($D355="","Zona STOCK",IF($E355="","CEK SKU DESCRIPTION kosong","OK"))))))))</f>
        <v/>
      </c>
      <c r="Q355" s="11" t="n"/>
      <c r="R355" s="11" t="n"/>
      <c r="S355" s="11" t="n"/>
      <c r="T355" s="12">
        <f>IF(Q355="","",IFERROR(INDEX(DAFTAR_FIXTURE!$B$2:$B$51,MATCH(Q355,DAFTAR_FIXTURE!$A$2:$A$51,0)),""))</f>
        <v/>
      </c>
      <c r="U355" s="12">
        <f>IF(Q355="","",IF(T355="","CEK ID FIXTURE tidak ada di DAFTAR_FIXTURE",IF(R355="","CEK ZONA NO kosong",IF(ISNA(MATCH(T355&amp;"|"&amp;R355,LAYOUT!$E$2:$E$80,0)),"CEK ZONA NO di luar layout",IF(S355&lt;&gt;INDEX(LAYOUT!$D$2:$D$80,MATCH(T355&amp;"|"&amp;R355,LAYOUT!$E$2:$E$80,0)),"CEK JENIS ZONA",IF($D355="","Zona STOCK",IF($E355="","CEK SKU DESCRIPTION kosong","OK")))))))</f>
        <v/>
      </c>
      <c r="V355" s="11" t="n"/>
      <c r="W355" s="11" t="n"/>
      <c r="X355" s="11" t="n"/>
      <c r="Y355" s="12">
        <f>IF(V355="","",IFERROR(INDEX(DAFTAR_FIXTURE!$B$2:$B$51,MATCH(V355,DAFTAR_FIXTURE!$A$2:$A$51,0)),""))</f>
        <v/>
      </c>
      <c r="Z355" s="12">
        <f>IF(V355="","",IF(Y355="","CEK ID FIXTURE tidak ada di DAFTAR_FIXTURE",IF(W355="","CEK ZONA NO kosong",IF(ISNA(MATCH(Y355&amp;"|"&amp;W355,LAYOUT!$E$2:$E$80,0)),"CEK ZONA NO di luar layout",IF(X355&lt;&gt;INDEX(LAYOUT!$D$2:$D$80,MATCH(Y355&amp;"|"&amp;W355,LAYOUT!$E$2:$E$80,0)),"CEK JENIS ZONA",IF($D355="","Zona STOCK",IF($E355="","CEK SKU DESCRIPTION kosong","OK")))))))</f>
        <v/>
      </c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1" t="n"/>
      <c r="M356" s="11" t="n"/>
      <c r="N356" s="11" t="n"/>
      <c r="O356" s="12">
        <f>IF(L356="","",IFERROR(INDEX(DAFTAR_FIXTURE!$B$2:$B$51,MATCH(L356,DAFTAR_FIXTURE!$A$2:$A$51,0)),""))</f>
        <v/>
      </c>
      <c r="P356" s="12">
        <f>IF(AND($D356="",L356=""),"",IF(L356="",IF(AND(Q356="",V356=""),"Belum ditempatkan",""),IF(O356="","CEK ID FIXTURE tidak ada di DAFTAR_FIXTURE",IF(M356="","CEK ZONA NO kosong",IF(ISNA(MATCH(O356&amp;"|"&amp;M356,LAYOUT!$E$2:$E$80,0)),"CEK ZONA NO di luar layout",IF(N356&lt;&gt;INDEX(LAYOUT!$D$2:$D$80,MATCH(O356&amp;"|"&amp;M356,LAYOUT!$E$2:$E$80,0)),"CEK JENIS ZONA",IF($D356="","Zona STOCK",IF($E356="","CEK SKU DESCRIPTION kosong","OK"))))))))</f>
        <v/>
      </c>
      <c r="Q356" s="11" t="n"/>
      <c r="R356" s="11" t="n"/>
      <c r="S356" s="11" t="n"/>
      <c r="T356" s="12">
        <f>IF(Q356="","",IFERROR(INDEX(DAFTAR_FIXTURE!$B$2:$B$51,MATCH(Q356,DAFTAR_FIXTURE!$A$2:$A$51,0)),""))</f>
        <v/>
      </c>
      <c r="U356" s="12">
        <f>IF(Q356="","",IF(T356="","CEK ID FIXTURE tidak ada di DAFTAR_FIXTURE",IF(R356="","CEK ZONA NO kosong",IF(ISNA(MATCH(T356&amp;"|"&amp;R356,LAYOUT!$E$2:$E$80,0)),"CEK ZONA NO di luar layout",IF(S356&lt;&gt;INDEX(LAYOUT!$D$2:$D$80,MATCH(T356&amp;"|"&amp;R356,LAYOUT!$E$2:$E$80,0)),"CEK JENIS ZONA",IF($D356="","Zona STOCK",IF($E356="","CEK SKU DESCRIPTION kosong","OK")))))))</f>
        <v/>
      </c>
      <c r="V356" s="11" t="n"/>
      <c r="W356" s="11" t="n"/>
      <c r="X356" s="11" t="n"/>
      <c r="Y356" s="12">
        <f>IF(V356="","",IFERROR(INDEX(DAFTAR_FIXTURE!$B$2:$B$51,MATCH(V356,DAFTAR_FIXTURE!$A$2:$A$51,0)),""))</f>
        <v/>
      </c>
      <c r="Z356" s="12">
        <f>IF(V356="","",IF(Y356="","CEK ID FIXTURE tidak ada di DAFTAR_FIXTURE",IF(W356="","CEK ZONA NO kosong",IF(ISNA(MATCH(Y356&amp;"|"&amp;W356,LAYOUT!$E$2:$E$80,0)),"CEK ZONA NO di luar layout",IF(X356&lt;&gt;INDEX(LAYOUT!$D$2:$D$80,MATCH(Y356&amp;"|"&amp;W356,LAYOUT!$E$2:$E$80,0)),"CEK JENIS ZONA",IF($D356="","Zona STOCK",IF($E356="","CEK SKU DESCRIPTION kosong","OK")))))))</f>
        <v/>
      </c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1" t="n"/>
      <c r="M357" s="11" t="n"/>
      <c r="N357" s="11" t="n"/>
      <c r="O357" s="12">
        <f>IF(L357="","",IFERROR(INDEX(DAFTAR_FIXTURE!$B$2:$B$51,MATCH(L357,DAFTAR_FIXTURE!$A$2:$A$51,0)),""))</f>
        <v/>
      </c>
      <c r="P357" s="12">
        <f>IF(AND($D357="",L357=""),"",IF(L357="",IF(AND(Q357="",V357=""),"Belum ditempatkan",""),IF(O357="","CEK ID FIXTURE tidak ada di DAFTAR_FIXTURE",IF(M357="","CEK ZONA NO kosong",IF(ISNA(MATCH(O357&amp;"|"&amp;M357,LAYOUT!$E$2:$E$80,0)),"CEK ZONA NO di luar layout",IF(N357&lt;&gt;INDEX(LAYOUT!$D$2:$D$80,MATCH(O357&amp;"|"&amp;M357,LAYOUT!$E$2:$E$80,0)),"CEK JENIS ZONA",IF($D357="","Zona STOCK",IF($E357="","CEK SKU DESCRIPTION kosong","OK"))))))))</f>
        <v/>
      </c>
      <c r="Q357" s="11" t="n"/>
      <c r="R357" s="11" t="n"/>
      <c r="S357" s="11" t="n"/>
      <c r="T357" s="12">
        <f>IF(Q357="","",IFERROR(INDEX(DAFTAR_FIXTURE!$B$2:$B$51,MATCH(Q357,DAFTAR_FIXTURE!$A$2:$A$51,0)),""))</f>
        <v/>
      </c>
      <c r="U357" s="12">
        <f>IF(Q357="","",IF(T357="","CEK ID FIXTURE tidak ada di DAFTAR_FIXTURE",IF(R357="","CEK ZONA NO kosong",IF(ISNA(MATCH(T357&amp;"|"&amp;R357,LAYOUT!$E$2:$E$80,0)),"CEK ZONA NO di luar layout",IF(S357&lt;&gt;INDEX(LAYOUT!$D$2:$D$80,MATCH(T357&amp;"|"&amp;R357,LAYOUT!$E$2:$E$80,0)),"CEK JENIS ZONA",IF($D357="","Zona STOCK",IF($E357="","CEK SKU DESCRIPTION kosong","OK")))))))</f>
        <v/>
      </c>
      <c r="V357" s="11" t="n"/>
      <c r="W357" s="11" t="n"/>
      <c r="X357" s="11" t="n"/>
      <c r="Y357" s="12">
        <f>IF(V357="","",IFERROR(INDEX(DAFTAR_FIXTURE!$B$2:$B$51,MATCH(V357,DAFTAR_FIXTURE!$A$2:$A$51,0)),""))</f>
        <v/>
      </c>
      <c r="Z357" s="12">
        <f>IF(V357="","",IF(Y357="","CEK ID FIXTURE tidak ada di DAFTAR_FIXTURE",IF(W357="","CEK ZONA NO kosong",IF(ISNA(MATCH(Y357&amp;"|"&amp;W357,LAYOUT!$E$2:$E$80,0)),"CEK ZONA NO di luar layout",IF(X357&lt;&gt;INDEX(LAYOUT!$D$2:$D$80,MATCH(Y357&amp;"|"&amp;W357,LAYOUT!$E$2:$E$80,0)),"CEK JENIS ZONA",IF($D357="","Zona STOCK",IF($E357="","CEK SKU DESCRIPTION kosong","OK")))))))</f>
        <v/>
      </c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1" t="n"/>
      <c r="M358" s="11" t="n"/>
      <c r="N358" s="11" t="n"/>
      <c r="O358" s="12">
        <f>IF(L358="","",IFERROR(INDEX(DAFTAR_FIXTURE!$B$2:$B$51,MATCH(L358,DAFTAR_FIXTURE!$A$2:$A$51,0)),""))</f>
        <v/>
      </c>
      <c r="P358" s="12">
        <f>IF(AND($D358="",L358=""),"",IF(L358="",IF(AND(Q358="",V358=""),"Belum ditempatkan",""),IF(O358="","CEK ID FIXTURE tidak ada di DAFTAR_FIXTURE",IF(M358="","CEK ZONA NO kosong",IF(ISNA(MATCH(O358&amp;"|"&amp;M358,LAYOUT!$E$2:$E$80,0)),"CEK ZONA NO di luar layout",IF(N358&lt;&gt;INDEX(LAYOUT!$D$2:$D$80,MATCH(O358&amp;"|"&amp;M358,LAYOUT!$E$2:$E$80,0)),"CEK JENIS ZONA",IF($D358="","Zona STOCK",IF($E358="","CEK SKU DESCRIPTION kosong","OK"))))))))</f>
        <v/>
      </c>
      <c r="Q358" s="11" t="n"/>
      <c r="R358" s="11" t="n"/>
      <c r="S358" s="11" t="n"/>
      <c r="T358" s="12">
        <f>IF(Q358="","",IFERROR(INDEX(DAFTAR_FIXTURE!$B$2:$B$51,MATCH(Q358,DAFTAR_FIXTURE!$A$2:$A$51,0)),""))</f>
        <v/>
      </c>
      <c r="U358" s="12">
        <f>IF(Q358="","",IF(T358="","CEK ID FIXTURE tidak ada di DAFTAR_FIXTURE",IF(R358="","CEK ZONA NO kosong",IF(ISNA(MATCH(T358&amp;"|"&amp;R358,LAYOUT!$E$2:$E$80,0)),"CEK ZONA NO di luar layout",IF(S358&lt;&gt;INDEX(LAYOUT!$D$2:$D$80,MATCH(T358&amp;"|"&amp;R358,LAYOUT!$E$2:$E$80,0)),"CEK JENIS ZONA",IF($D358="","Zona STOCK",IF($E358="","CEK SKU DESCRIPTION kosong","OK")))))))</f>
        <v/>
      </c>
      <c r="V358" s="11" t="n"/>
      <c r="W358" s="11" t="n"/>
      <c r="X358" s="11" t="n"/>
      <c r="Y358" s="12">
        <f>IF(V358="","",IFERROR(INDEX(DAFTAR_FIXTURE!$B$2:$B$51,MATCH(V358,DAFTAR_FIXTURE!$A$2:$A$51,0)),""))</f>
        <v/>
      </c>
      <c r="Z358" s="12">
        <f>IF(V358="","",IF(Y358="","CEK ID FIXTURE tidak ada di DAFTAR_FIXTURE",IF(W358="","CEK ZONA NO kosong",IF(ISNA(MATCH(Y358&amp;"|"&amp;W358,LAYOUT!$E$2:$E$80,0)),"CEK ZONA NO di luar layout",IF(X358&lt;&gt;INDEX(LAYOUT!$D$2:$D$80,MATCH(Y358&amp;"|"&amp;W358,LAYOUT!$E$2:$E$80,0)),"CEK JENIS ZONA",IF($D358="","Zona STOCK",IF($E358="","CEK SKU DESCRIPTION kosong","OK")))))))</f>
        <v/>
      </c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1" t="n"/>
      <c r="M359" s="11" t="n"/>
      <c r="N359" s="11" t="n"/>
      <c r="O359" s="12">
        <f>IF(L359="","",IFERROR(INDEX(DAFTAR_FIXTURE!$B$2:$B$51,MATCH(L359,DAFTAR_FIXTURE!$A$2:$A$51,0)),""))</f>
        <v/>
      </c>
      <c r="P359" s="12">
        <f>IF(AND($D359="",L359=""),"",IF(L359="",IF(AND(Q359="",V359=""),"Belum ditempatkan",""),IF(O359="","CEK ID FIXTURE tidak ada di DAFTAR_FIXTURE",IF(M359="","CEK ZONA NO kosong",IF(ISNA(MATCH(O359&amp;"|"&amp;M359,LAYOUT!$E$2:$E$80,0)),"CEK ZONA NO di luar layout",IF(N359&lt;&gt;INDEX(LAYOUT!$D$2:$D$80,MATCH(O359&amp;"|"&amp;M359,LAYOUT!$E$2:$E$80,0)),"CEK JENIS ZONA",IF($D359="","Zona STOCK",IF($E359="","CEK SKU DESCRIPTION kosong","OK"))))))))</f>
        <v/>
      </c>
      <c r="Q359" s="11" t="n"/>
      <c r="R359" s="11" t="n"/>
      <c r="S359" s="11" t="n"/>
      <c r="T359" s="12">
        <f>IF(Q359="","",IFERROR(INDEX(DAFTAR_FIXTURE!$B$2:$B$51,MATCH(Q359,DAFTAR_FIXTURE!$A$2:$A$51,0)),""))</f>
        <v/>
      </c>
      <c r="U359" s="12">
        <f>IF(Q359="","",IF(T359="","CEK ID FIXTURE tidak ada di DAFTAR_FIXTURE",IF(R359="","CEK ZONA NO kosong",IF(ISNA(MATCH(T359&amp;"|"&amp;R359,LAYOUT!$E$2:$E$80,0)),"CEK ZONA NO di luar layout",IF(S359&lt;&gt;INDEX(LAYOUT!$D$2:$D$80,MATCH(T359&amp;"|"&amp;R359,LAYOUT!$E$2:$E$80,0)),"CEK JENIS ZONA",IF($D359="","Zona STOCK",IF($E359="","CEK SKU DESCRIPTION kosong","OK")))))))</f>
        <v/>
      </c>
      <c r="V359" s="11" t="n"/>
      <c r="W359" s="11" t="n"/>
      <c r="X359" s="11" t="n"/>
      <c r="Y359" s="12">
        <f>IF(V359="","",IFERROR(INDEX(DAFTAR_FIXTURE!$B$2:$B$51,MATCH(V359,DAFTAR_FIXTURE!$A$2:$A$51,0)),""))</f>
        <v/>
      </c>
      <c r="Z359" s="12">
        <f>IF(V359="","",IF(Y359="","CEK ID FIXTURE tidak ada di DAFTAR_FIXTURE",IF(W359="","CEK ZONA NO kosong",IF(ISNA(MATCH(Y359&amp;"|"&amp;W359,LAYOUT!$E$2:$E$80,0)),"CEK ZONA NO di luar layout",IF(X359&lt;&gt;INDEX(LAYOUT!$D$2:$D$80,MATCH(Y359&amp;"|"&amp;W359,LAYOUT!$E$2:$E$80,0)),"CEK JENIS ZONA",IF($D359="","Zona STOCK",IF($E359="","CEK SKU DESCRIPTION kosong","OK")))))))</f>
        <v/>
      </c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1" t="n"/>
      <c r="M360" s="11" t="n"/>
      <c r="N360" s="11" t="n"/>
      <c r="O360" s="12">
        <f>IF(L360="","",IFERROR(INDEX(DAFTAR_FIXTURE!$B$2:$B$51,MATCH(L360,DAFTAR_FIXTURE!$A$2:$A$51,0)),""))</f>
        <v/>
      </c>
      <c r="P360" s="12">
        <f>IF(AND($D360="",L360=""),"",IF(L360="",IF(AND(Q360="",V360=""),"Belum ditempatkan",""),IF(O360="","CEK ID FIXTURE tidak ada di DAFTAR_FIXTURE",IF(M360="","CEK ZONA NO kosong",IF(ISNA(MATCH(O360&amp;"|"&amp;M360,LAYOUT!$E$2:$E$80,0)),"CEK ZONA NO di luar layout",IF(N360&lt;&gt;INDEX(LAYOUT!$D$2:$D$80,MATCH(O360&amp;"|"&amp;M360,LAYOUT!$E$2:$E$80,0)),"CEK JENIS ZONA",IF($D360="","Zona STOCK",IF($E360="","CEK SKU DESCRIPTION kosong","OK"))))))))</f>
        <v/>
      </c>
      <c r="Q360" s="11" t="n"/>
      <c r="R360" s="11" t="n"/>
      <c r="S360" s="11" t="n"/>
      <c r="T360" s="12">
        <f>IF(Q360="","",IFERROR(INDEX(DAFTAR_FIXTURE!$B$2:$B$51,MATCH(Q360,DAFTAR_FIXTURE!$A$2:$A$51,0)),""))</f>
        <v/>
      </c>
      <c r="U360" s="12">
        <f>IF(Q360="","",IF(T360="","CEK ID FIXTURE tidak ada di DAFTAR_FIXTURE",IF(R360="","CEK ZONA NO kosong",IF(ISNA(MATCH(T360&amp;"|"&amp;R360,LAYOUT!$E$2:$E$80,0)),"CEK ZONA NO di luar layout",IF(S360&lt;&gt;INDEX(LAYOUT!$D$2:$D$80,MATCH(T360&amp;"|"&amp;R360,LAYOUT!$E$2:$E$80,0)),"CEK JENIS ZONA",IF($D360="","Zona STOCK",IF($E360="","CEK SKU DESCRIPTION kosong","OK")))))))</f>
        <v/>
      </c>
      <c r="V360" s="11" t="n"/>
      <c r="W360" s="11" t="n"/>
      <c r="X360" s="11" t="n"/>
      <c r="Y360" s="12">
        <f>IF(V360="","",IFERROR(INDEX(DAFTAR_FIXTURE!$B$2:$B$51,MATCH(V360,DAFTAR_FIXTURE!$A$2:$A$51,0)),""))</f>
        <v/>
      </c>
      <c r="Z360" s="12">
        <f>IF(V360="","",IF(Y360="","CEK ID FIXTURE tidak ada di DAFTAR_FIXTURE",IF(W360="","CEK ZONA NO kosong",IF(ISNA(MATCH(Y360&amp;"|"&amp;W360,LAYOUT!$E$2:$E$80,0)),"CEK ZONA NO di luar layout",IF(X360&lt;&gt;INDEX(LAYOUT!$D$2:$D$80,MATCH(Y360&amp;"|"&amp;W360,LAYOUT!$E$2:$E$80,0)),"CEK JENIS ZONA",IF($D360="","Zona STOCK",IF($E360="","CEK SKU DESCRIPTION kosong","OK")))))))</f>
        <v/>
      </c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1" t="n"/>
      <c r="M361" s="11" t="n"/>
      <c r="N361" s="11" t="n"/>
      <c r="O361" s="12">
        <f>IF(L361="","",IFERROR(INDEX(DAFTAR_FIXTURE!$B$2:$B$51,MATCH(L361,DAFTAR_FIXTURE!$A$2:$A$51,0)),""))</f>
        <v/>
      </c>
      <c r="P361" s="12">
        <f>IF(AND($D361="",L361=""),"",IF(L361="",IF(AND(Q361="",V361=""),"Belum ditempatkan",""),IF(O361="","CEK ID FIXTURE tidak ada di DAFTAR_FIXTURE",IF(M361="","CEK ZONA NO kosong",IF(ISNA(MATCH(O361&amp;"|"&amp;M361,LAYOUT!$E$2:$E$80,0)),"CEK ZONA NO di luar layout",IF(N361&lt;&gt;INDEX(LAYOUT!$D$2:$D$80,MATCH(O361&amp;"|"&amp;M361,LAYOUT!$E$2:$E$80,0)),"CEK JENIS ZONA",IF($D361="","Zona STOCK",IF($E361="","CEK SKU DESCRIPTION kosong","OK"))))))))</f>
        <v/>
      </c>
      <c r="Q361" s="11" t="n"/>
      <c r="R361" s="11" t="n"/>
      <c r="S361" s="11" t="n"/>
      <c r="T361" s="12">
        <f>IF(Q361="","",IFERROR(INDEX(DAFTAR_FIXTURE!$B$2:$B$51,MATCH(Q361,DAFTAR_FIXTURE!$A$2:$A$51,0)),""))</f>
        <v/>
      </c>
      <c r="U361" s="12">
        <f>IF(Q361="","",IF(T361="","CEK ID FIXTURE tidak ada di DAFTAR_FIXTURE",IF(R361="","CEK ZONA NO kosong",IF(ISNA(MATCH(T361&amp;"|"&amp;R361,LAYOUT!$E$2:$E$80,0)),"CEK ZONA NO di luar layout",IF(S361&lt;&gt;INDEX(LAYOUT!$D$2:$D$80,MATCH(T361&amp;"|"&amp;R361,LAYOUT!$E$2:$E$80,0)),"CEK JENIS ZONA",IF($D361="","Zona STOCK",IF($E361="","CEK SKU DESCRIPTION kosong","OK")))))))</f>
        <v/>
      </c>
      <c r="V361" s="11" t="n"/>
      <c r="W361" s="11" t="n"/>
      <c r="X361" s="11" t="n"/>
      <c r="Y361" s="12">
        <f>IF(V361="","",IFERROR(INDEX(DAFTAR_FIXTURE!$B$2:$B$51,MATCH(V361,DAFTAR_FIXTURE!$A$2:$A$51,0)),""))</f>
        <v/>
      </c>
      <c r="Z361" s="12">
        <f>IF(V361="","",IF(Y361="","CEK ID FIXTURE tidak ada di DAFTAR_FIXTURE",IF(W361="","CEK ZONA NO kosong",IF(ISNA(MATCH(Y361&amp;"|"&amp;W361,LAYOUT!$E$2:$E$80,0)),"CEK ZONA NO di luar layout",IF(X361&lt;&gt;INDEX(LAYOUT!$D$2:$D$80,MATCH(Y361&amp;"|"&amp;W361,LAYOUT!$E$2:$E$80,0)),"CEK JENIS ZONA",IF($D361="","Zona STOCK",IF($E361="","CEK SKU DESCRIPTION kosong","OK")))))))</f>
        <v/>
      </c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1" t="n"/>
      <c r="M362" s="11" t="n"/>
      <c r="N362" s="11" t="n"/>
      <c r="O362" s="12">
        <f>IF(L362="","",IFERROR(INDEX(DAFTAR_FIXTURE!$B$2:$B$51,MATCH(L362,DAFTAR_FIXTURE!$A$2:$A$51,0)),""))</f>
        <v/>
      </c>
      <c r="P362" s="12">
        <f>IF(AND($D362="",L362=""),"",IF(L362="",IF(AND(Q362="",V362=""),"Belum ditempatkan",""),IF(O362="","CEK ID FIXTURE tidak ada di DAFTAR_FIXTURE",IF(M362="","CEK ZONA NO kosong",IF(ISNA(MATCH(O362&amp;"|"&amp;M362,LAYOUT!$E$2:$E$80,0)),"CEK ZONA NO di luar layout",IF(N362&lt;&gt;INDEX(LAYOUT!$D$2:$D$80,MATCH(O362&amp;"|"&amp;M362,LAYOUT!$E$2:$E$80,0)),"CEK JENIS ZONA",IF($D362="","Zona STOCK",IF($E362="","CEK SKU DESCRIPTION kosong","OK"))))))))</f>
        <v/>
      </c>
      <c r="Q362" s="11" t="n"/>
      <c r="R362" s="11" t="n"/>
      <c r="S362" s="11" t="n"/>
      <c r="T362" s="12">
        <f>IF(Q362="","",IFERROR(INDEX(DAFTAR_FIXTURE!$B$2:$B$51,MATCH(Q362,DAFTAR_FIXTURE!$A$2:$A$51,0)),""))</f>
        <v/>
      </c>
      <c r="U362" s="12">
        <f>IF(Q362="","",IF(T362="","CEK ID FIXTURE tidak ada di DAFTAR_FIXTURE",IF(R362="","CEK ZONA NO kosong",IF(ISNA(MATCH(T362&amp;"|"&amp;R362,LAYOUT!$E$2:$E$80,0)),"CEK ZONA NO di luar layout",IF(S362&lt;&gt;INDEX(LAYOUT!$D$2:$D$80,MATCH(T362&amp;"|"&amp;R362,LAYOUT!$E$2:$E$80,0)),"CEK JENIS ZONA",IF($D362="","Zona STOCK",IF($E362="","CEK SKU DESCRIPTION kosong","OK")))))))</f>
        <v/>
      </c>
      <c r="V362" s="11" t="n"/>
      <c r="W362" s="11" t="n"/>
      <c r="X362" s="11" t="n"/>
      <c r="Y362" s="12">
        <f>IF(V362="","",IFERROR(INDEX(DAFTAR_FIXTURE!$B$2:$B$51,MATCH(V362,DAFTAR_FIXTURE!$A$2:$A$51,0)),""))</f>
        <v/>
      </c>
      <c r="Z362" s="12">
        <f>IF(V362="","",IF(Y362="","CEK ID FIXTURE tidak ada di DAFTAR_FIXTURE",IF(W362="","CEK ZONA NO kosong",IF(ISNA(MATCH(Y362&amp;"|"&amp;W362,LAYOUT!$E$2:$E$80,0)),"CEK ZONA NO di luar layout",IF(X362&lt;&gt;INDEX(LAYOUT!$D$2:$D$80,MATCH(Y362&amp;"|"&amp;W362,LAYOUT!$E$2:$E$80,0)),"CEK JENIS ZONA",IF($D362="","Zona STOCK",IF($E362="","CEK SKU DESCRIPTION kosong","OK")))))))</f>
        <v/>
      </c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1" t="n"/>
      <c r="M363" s="11" t="n"/>
      <c r="N363" s="11" t="n"/>
      <c r="O363" s="12">
        <f>IF(L363="","",IFERROR(INDEX(DAFTAR_FIXTURE!$B$2:$B$51,MATCH(L363,DAFTAR_FIXTURE!$A$2:$A$51,0)),""))</f>
        <v/>
      </c>
      <c r="P363" s="12">
        <f>IF(AND($D363="",L363=""),"",IF(L363="",IF(AND(Q363="",V363=""),"Belum ditempatkan",""),IF(O363="","CEK ID FIXTURE tidak ada di DAFTAR_FIXTURE",IF(M363="","CEK ZONA NO kosong",IF(ISNA(MATCH(O363&amp;"|"&amp;M363,LAYOUT!$E$2:$E$80,0)),"CEK ZONA NO di luar layout",IF(N363&lt;&gt;INDEX(LAYOUT!$D$2:$D$80,MATCH(O363&amp;"|"&amp;M363,LAYOUT!$E$2:$E$80,0)),"CEK JENIS ZONA",IF($D363="","Zona STOCK",IF($E363="","CEK SKU DESCRIPTION kosong","OK"))))))))</f>
        <v/>
      </c>
      <c r="Q363" s="11" t="n"/>
      <c r="R363" s="11" t="n"/>
      <c r="S363" s="11" t="n"/>
      <c r="T363" s="12">
        <f>IF(Q363="","",IFERROR(INDEX(DAFTAR_FIXTURE!$B$2:$B$51,MATCH(Q363,DAFTAR_FIXTURE!$A$2:$A$51,0)),""))</f>
        <v/>
      </c>
      <c r="U363" s="12">
        <f>IF(Q363="","",IF(T363="","CEK ID FIXTURE tidak ada di DAFTAR_FIXTURE",IF(R363="","CEK ZONA NO kosong",IF(ISNA(MATCH(T363&amp;"|"&amp;R363,LAYOUT!$E$2:$E$80,0)),"CEK ZONA NO di luar layout",IF(S363&lt;&gt;INDEX(LAYOUT!$D$2:$D$80,MATCH(T363&amp;"|"&amp;R363,LAYOUT!$E$2:$E$80,0)),"CEK JENIS ZONA",IF($D363="","Zona STOCK",IF($E363="","CEK SKU DESCRIPTION kosong","OK")))))))</f>
        <v/>
      </c>
      <c r="V363" s="11" t="n"/>
      <c r="W363" s="11" t="n"/>
      <c r="X363" s="11" t="n"/>
      <c r="Y363" s="12">
        <f>IF(V363="","",IFERROR(INDEX(DAFTAR_FIXTURE!$B$2:$B$51,MATCH(V363,DAFTAR_FIXTURE!$A$2:$A$51,0)),""))</f>
        <v/>
      </c>
      <c r="Z363" s="12">
        <f>IF(V363="","",IF(Y363="","CEK ID FIXTURE tidak ada di DAFTAR_FIXTURE",IF(W363="","CEK ZONA NO kosong",IF(ISNA(MATCH(Y363&amp;"|"&amp;W363,LAYOUT!$E$2:$E$80,0)),"CEK ZONA NO di luar layout",IF(X363&lt;&gt;INDEX(LAYOUT!$D$2:$D$80,MATCH(Y363&amp;"|"&amp;W363,LAYOUT!$E$2:$E$80,0)),"CEK JENIS ZONA",IF($D363="","Zona STOCK",IF($E363="","CEK SKU DESCRIPTION kosong","OK")))))))</f>
        <v/>
      </c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1" t="n"/>
      <c r="M364" s="11" t="n"/>
      <c r="N364" s="11" t="n"/>
      <c r="O364" s="12">
        <f>IF(L364="","",IFERROR(INDEX(DAFTAR_FIXTURE!$B$2:$B$51,MATCH(L364,DAFTAR_FIXTURE!$A$2:$A$51,0)),""))</f>
        <v/>
      </c>
      <c r="P364" s="12">
        <f>IF(AND($D364="",L364=""),"",IF(L364="",IF(AND(Q364="",V364=""),"Belum ditempatkan",""),IF(O364="","CEK ID FIXTURE tidak ada di DAFTAR_FIXTURE",IF(M364="","CEK ZONA NO kosong",IF(ISNA(MATCH(O364&amp;"|"&amp;M364,LAYOUT!$E$2:$E$80,0)),"CEK ZONA NO di luar layout",IF(N364&lt;&gt;INDEX(LAYOUT!$D$2:$D$80,MATCH(O364&amp;"|"&amp;M364,LAYOUT!$E$2:$E$80,0)),"CEK JENIS ZONA",IF($D364="","Zona STOCK",IF($E364="","CEK SKU DESCRIPTION kosong","OK"))))))))</f>
        <v/>
      </c>
      <c r="Q364" s="11" t="n"/>
      <c r="R364" s="11" t="n"/>
      <c r="S364" s="11" t="n"/>
      <c r="T364" s="12">
        <f>IF(Q364="","",IFERROR(INDEX(DAFTAR_FIXTURE!$B$2:$B$51,MATCH(Q364,DAFTAR_FIXTURE!$A$2:$A$51,0)),""))</f>
        <v/>
      </c>
      <c r="U364" s="12">
        <f>IF(Q364="","",IF(T364="","CEK ID FIXTURE tidak ada di DAFTAR_FIXTURE",IF(R364="","CEK ZONA NO kosong",IF(ISNA(MATCH(T364&amp;"|"&amp;R364,LAYOUT!$E$2:$E$80,0)),"CEK ZONA NO di luar layout",IF(S364&lt;&gt;INDEX(LAYOUT!$D$2:$D$80,MATCH(T364&amp;"|"&amp;R364,LAYOUT!$E$2:$E$80,0)),"CEK JENIS ZONA",IF($D364="","Zona STOCK",IF($E364="","CEK SKU DESCRIPTION kosong","OK")))))))</f>
        <v/>
      </c>
      <c r="V364" s="11" t="n"/>
      <c r="W364" s="11" t="n"/>
      <c r="X364" s="11" t="n"/>
      <c r="Y364" s="12">
        <f>IF(V364="","",IFERROR(INDEX(DAFTAR_FIXTURE!$B$2:$B$51,MATCH(V364,DAFTAR_FIXTURE!$A$2:$A$51,0)),""))</f>
        <v/>
      </c>
      <c r="Z364" s="12">
        <f>IF(V364="","",IF(Y364="","CEK ID FIXTURE tidak ada di DAFTAR_FIXTURE",IF(W364="","CEK ZONA NO kosong",IF(ISNA(MATCH(Y364&amp;"|"&amp;W364,LAYOUT!$E$2:$E$80,0)),"CEK ZONA NO di luar layout",IF(X364&lt;&gt;INDEX(LAYOUT!$D$2:$D$80,MATCH(Y364&amp;"|"&amp;W364,LAYOUT!$E$2:$E$80,0)),"CEK JENIS ZONA",IF($D364="","Zona STOCK",IF($E364="","CEK SKU DESCRIPTION kosong","OK")))))))</f>
        <v/>
      </c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1" t="n"/>
      <c r="M365" s="11" t="n"/>
      <c r="N365" s="11" t="n"/>
      <c r="O365" s="12">
        <f>IF(L365="","",IFERROR(INDEX(DAFTAR_FIXTURE!$B$2:$B$51,MATCH(L365,DAFTAR_FIXTURE!$A$2:$A$51,0)),""))</f>
        <v/>
      </c>
      <c r="P365" s="12">
        <f>IF(AND($D365="",L365=""),"",IF(L365="",IF(AND(Q365="",V365=""),"Belum ditempatkan",""),IF(O365="","CEK ID FIXTURE tidak ada di DAFTAR_FIXTURE",IF(M365="","CEK ZONA NO kosong",IF(ISNA(MATCH(O365&amp;"|"&amp;M365,LAYOUT!$E$2:$E$80,0)),"CEK ZONA NO di luar layout",IF(N365&lt;&gt;INDEX(LAYOUT!$D$2:$D$80,MATCH(O365&amp;"|"&amp;M365,LAYOUT!$E$2:$E$80,0)),"CEK JENIS ZONA",IF($D365="","Zona STOCK",IF($E365="","CEK SKU DESCRIPTION kosong","OK"))))))))</f>
        <v/>
      </c>
      <c r="Q365" s="11" t="n"/>
      <c r="R365" s="11" t="n"/>
      <c r="S365" s="11" t="n"/>
      <c r="T365" s="12">
        <f>IF(Q365="","",IFERROR(INDEX(DAFTAR_FIXTURE!$B$2:$B$51,MATCH(Q365,DAFTAR_FIXTURE!$A$2:$A$51,0)),""))</f>
        <v/>
      </c>
      <c r="U365" s="12">
        <f>IF(Q365="","",IF(T365="","CEK ID FIXTURE tidak ada di DAFTAR_FIXTURE",IF(R365="","CEK ZONA NO kosong",IF(ISNA(MATCH(T365&amp;"|"&amp;R365,LAYOUT!$E$2:$E$80,0)),"CEK ZONA NO di luar layout",IF(S365&lt;&gt;INDEX(LAYOUT!$D$2:$D$80,MATCH(T365&amp;"|"&amp;R365,LAYOUT!$E$2:$E$80,0)),"CEK JENIS ZONA",IF($D365="","Zona STOCK",IF($E365="","CEK SKU DESCRIPTION kosong","OK")))))))</f>
        <v/>
      </c>
      <c r="V365" s="11" t="n"/>
      <c r="W365" s="11" t="n"/>
      <c r="X365" s="11" t="n"/>
      <c r="Y365" s="12">
        <f>IF(V365="","",IFERROR(INDEX(DAFTAR_FIXTURE!$B$2:$B$51,MATCH(V365,DAFTAR_FIXTURE!$A$2:$A$51,0)),""))</f>
        <v/>
      </c>
      <c r="Z365" s="12">
        <f>IF(V365="","",IF(Y365="","CEK ID FIXTURE tidak ada di DAFTAR_FIXTURE",IF(W365="","CEK ZONA NO kosong",IF(ISNA(MATCH(Y365&amp;"|"&amp;W365,LAYOUT!$E$2:$E$80,0)),"CEK ZONA NO di luar layout",IF(X365&lt;&gt;INDEX(LAYOUT!$D$2:$D$80,MATCH(Y365&amp;"|"&amp;W365,LAYOUT!$E$2:$E$80,0)),"CEK JENIS ZONA",IF($D365="","Zona STOCK",IF($E365="","CEK SKU DESCRIPTION kosong","OK")))))))</f>
        <v/>
      </c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1" t="n"/>
      <c r="M366" s="11" t="n"/>
      <c r="N366" s="11" t="n"/>
      <c r="O366" s="12">
        <f>IF(L366="","",IFERROR(INDEX(DAFTAR_FIXTURE!$B$2:$B$51,MATCH(L366,DAFTAR_FIXTURE!$A$2:$A$51,0)),""))</f>
        <v/>
      </c>
      <c r="P366" s="12">
        <f>IF(AND($D366="",L366=""),"",IF(L366="",IF(AND(Q366="",V366=""),"Belum ditempatkan",""),IF(O366="","CEK ID FIXTURE tidak ada di DAFTAR_FIXTURE",IF(M366="","CEK ZONA NO kosong",IF(ISNA(MATCH(O366&amp;"|"&amp;M366,LAYOUT!$E$2:$E$80,0)),"CEK ZONA NO di luar layout",IF(N366&lt;&gt;INDEX(LAYOUT!$D$2:$D$80,MATCH(O366&amp;"|"&amp;M366,LAYOUT!$E$2:$E$80,0)),"CEK JENIS ZONA",IF($D366="","Zona STOCK",IF($E366="","CEK SKU DESCRIPTION kosong","OK"))))))))</f>
        <v/>
      </c>
      <c r="Q366" s="11" t="n"/>
      <c r="R366" s="11" t="n"/>
      <c r="S366" s="11" t="n"/>
      <c r="T366" s="12">
        <f>IF(Q366="","",IFERROR(INDEX(DAFTAR_FIXTURE!$B$2:$B$51,MATCH(Q366,DAFTAR_FIXTURE!$A$2:$A$51,0)),""))</f>
        <v/>
      </c>
      <c r="U366" s="12">
        <f>IF(Q366="","",IF(T366="","CEK ID FIXTURE tidak ada di DAFTAR_FIXTURE",IF(R366="","CEK ZONA NO kosong",IF(ISNA(MATCH(T366&amp;"|"&amp;R366,LAYOUT!$E$2:$E$80,0)),"CEK ZONA NO di luar layout",IF(S366&lt;&gt;INDEX(LAYOUT!$D$2:$D$80,MATCH(T366&amp;"|"&amp;R366,LAYOUT!$E$2:$E$80,0)),"CEK JENIS ZONA",IF($D366="","Zona STOCK",IF($E366="","CEK SKU DESCRIPTION kosong","OK")))))))</f>
        <v/>
      </c>
      <c r="V366" s="11" t="n"/>
      <c r="W366" s="11" t="n"/>
      <c r="X366" s="11" t="n"/>
      <c r="Y366" s="12">
        <f>IF(V366="","",IFERROR(INDEX(DAFTAR_FIXTURE!$B$2:$B$51,MATCH(V366,DAFTAR_FIXTURE!$A$2:$A$51,0)),""))</f>
        <v/>
      </c>
      <c r="Z366" s="12">
        <f>IF(V366="","",IF(Y366="","CEK ID FIXTURE tidak ada di DAFTAR_FIXTURE",IF(W366="","CEK ZONA NO kosong",IF(ISNA(MATCH(Y366&amp;"|"&amp;W366,LAYOUT!$E$2:$E$80,0)),"CEK ZONA NO di luar layout",IF(X366&lt;&gt;INDEX(LAYOUT!$D$2:$D$80,MATCH(Y366&amp;"|"&amp;W366,LAYOUT!$E$2:$E$80,0)),"CEK JENIS ZONA",IF($D366="","Zona STOCK",IF($E366="","CEK SKU DESCRIPTION kosong","OK")))))))</f>
        <v/>
      </c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1" t="n"/>
      <c r="M367" s="11" t="n"/>
      <c r="N367" s="11" t="n"/>
      <c r="O367" s="12">
        <f>IF(L367="","",IFERROR(INDEX(DAFTAR_FIXTURE!$B$2:$B$51,MATCH(L367,DAFTAR_FIXTURE!$A$2:$A$51,0)),""))</f>
        <v/>
      </c>
      <c r="P367" s="12">
        <f>IF(AND($D367="",L367=""),"",IF(L367="",IF(AND(Q367="",V367=""),"Belum ditempatkan",""),IF(O367="","CEK ID FIXTURE tidak ada di DAFTAR_FIXTURE",IF(M367="","CEK ZONA NO kosong",IF(ISNA(MATCH(O367&amp;"|"&amp;M367,LAYOUT!$E$2:$E$80,0)),"CEK ZONA NO di luar layout",IF(N367&lt;&gt;INDEX(LAYOUT!$D$2:$D$80,MATCH(O367&amp;"|"&amp;M367,LAYOUT!$E$2:$E$80,0)),"CEK JENIS ZONA",IF($D367="","Zona STOCK",IF($E367="","CEK SKU DESCRIPTION kosong","OK"))))))))</f>
        <v/>
      </c>
      <c r="Q367" s="11" t="n"/>
      <c r="R367" s="11" t="n"/>
      <c r="S367" s="11" t="n"/>
      <c r="T367" s="12">
        <f>IF(Q367="","",IFERROR(INDEX(DAFTAR_FIXTURE!$B$2:$B$51,MATCH(Q367,DAFTAR_FIXTURE!$A$2:$A$51,0)),""))</f>
        <v/>
      </c>
      <c r="U367" s="12">
        <f>IF(Q367="","",IF(T367="","CEK ID FIXTURE tidak ada di DAFTAR_FIXTURE",IF(R367="","CEK ZONA NO kosong",IF(ISNA(MATCH(T367&amp;"|"&amp;R367,LAYOUT!$E$2:$E$80,0)),"CEK ZONA NO di luar layout",IF(S367&lt;&gt;INDEX(LAYOUT!$D$2:$D$80,MATCH(T367&amp;"|"&amp;R367,LAYOUT!$E$2:$E$80,0)),"CEK JENIS ZONA",IF($D367="","Zona STOCK",IF($E367="","CEK SKU DESCRIPTION kosong","OK")))))))</f>
        <v/>
      </c>
      <c r="V367" s="11" t="n"/>
      <c r="W367" s="11" t="n"/>
      <c r="X367" s="11" t="n"/>
      <c r="Y367" s="12">
        <f>IF(V367="","",IFERROR(INDEX(DAFTAR_FIXTURE!$B$2:$B$51,MATCH(V367,DAFTAR_FIXTURE!$A$2:$A$51,0)),""))</f>
        <v/>
      </c>
      <c r="Z367" s="12">
        <f>IF(V367="","",IF(Y367="","CEK ID FIXTURE tidak ada di DAFTAR_FIXTURE",IF(W367="","CEK ZONA NO kosong",IF(ISNA(MATCH(Y367&amp;"|"&amp;W367,LAYOUT!$E$2:$E$80,0)),"CEK ZONA NO di luar layout",IF(X367&lt;&gt;INDEX(LAYOUT!$D$2:$D$80,MATCH(Y367&amp;"|"&amp;W367,LAYOUT!$E$2:$E$80,0)),"CEK JENIS ZONA",IF($D367="","Zona STOCK",IF($E367="","CEK SKU DESCRIPTION kosong","OK")))))))</f>
        <v/>
      </c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1" t="n"/>
      <c r="M368" s="11" t="n"/>
      <c r="N368" s="11" t="n"/>
      <c r="O368" s="12">
        <f>IF(L368="","",IFERROR(INDEX(DAFTAR_FIXTURE!$B$2:$B$51,MATCH(L368,DAFTAR_FIXTURE!$A$2:$A$51,0)),""))</f>
        <v/>
      </c>
      <c r="P368" s="12">
        <f>IF(AND($D368="",L368=""),"",IF(L368="",IF(AND(Q368="",V368=""),"Belum ditempatkan",""),IF(O368="","CEK ID FIXTURE tidak ada di DAFTAR_FIXTURE",IF(M368="","CEK ZONA NO kosong",IF(ISNA(MATCH(O368&amp;"|"&amp;M368,LAYOUT!$E$2:$E$80,0)),"CEK ZONA NO di luar layout",IF(N368&lt;&gt;INDEX(LAYOUT!$D$2:$D$80,MATCH(O368&amp;"|"&amp;M368,LAYOUT!$E$2:$E$80,0)),"CEK JENIS ZONA",IF($D368="","Zona STOCK",IF($E368="","CEK SKU DESCRIPTION kosong","OK"))))))))</f>
        <v/>
      </c>
      <c r="Q368" s="11" t="n"/>
      <c r="R368" s="11" t="n"/>
      <c r="S368" s="11" t="n"/>
      <c r="T368" s="12">
        <f>IF(Q368="","",IFERROR(INDEX(DAFTAR_FIXTURE!$B$2:$B$51,MATCH(Q368,DAFTAR_FIXTURE!$A$2:$A$51,0)),""))</f>
        <v/>
      </c>
      <c r="U368" s="12">
        <f>IF(Q368="","",IF(T368="","CEK ID FIXTURE tidak ada di DAFTAR_FIXTURE",IF(R368="","CEK ZONA NO kosong",IF(ISNA(MATCH(T368&amp;"|"&amp;R368,LAYOUT!$E$2:$E$80,0)),"CEK ZONA NO di luar layout",IF(S368&lt;&gt;INDEX(LAYOUT!$D$2:$D$80,MATCH(T368&amp;"|"&amp;R368,LAYOUT!$E$2:$E$80,0)),"CEK JENIS ZONA",IF($D368="","Zona STOCK",IF($E368="","CEK SKU DESCRIPTION kosong","OK")))))))</f>
        <v/>
      </c>
      <c r="V368" s="11" t="n"/>
      <c r="W368" s="11" t="n"/>
      <c r="X368" s="11" t="n"/>
      <c r="Y368" s="12">
        <f>IF(V368="","",IFERROR(INDEX(DAFTAR_FIXTURE!$B$2:$B$51,MATCH(V368,DAFTAR_FIXTURE!$A$2:$A$51,0)),""))</f>
        <v/>
      </c>
      <c r="Z368" s="12">
        <f>IF(V368="","",IF(Y368="","CEK ID FIXTURE tidak ada di DAFTAR_FIXTURE",IF(W368="","CEK ZONA NO kosong",IF(ISNA(MATCH(Y368&amp;"|"&amp;W368,LAYOUT!$E$2:$E$80,0)),"CEK ZONA NO di luar layout",IF(X368&lt;&gt;INDEX(LAYOUT!$D$2:$D$80,MATCH(Y368&amp;"|"&amp;W368,LAYOUT!$E$2:$E$80,0)),"CEK JENIS ZONA",IF($D368="","Zona STOCK",IF($E368="","CEK SKU DESCRIPTION kosong","OK")))))))</f>
        <v/>
      </c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1" t="n"/>
      <c r="M369" s="11" t="n"/>
      <c r="N369" s="11" t="n"/>
      <c r="O369" s="12">
        <f>IF(L369="","",IFERROR(INDEX(DAFTAR_FIXTURE!$B$2:$B$51,MATCH(L369,DAFTAR_FIXTURE!$A$2:$A$51,0)),""))</f>
        <v/>
      </c>
      <c r="P369" s="12">
        <f>IF(AND($D369="",L369=""),"",IF(L369="",IF(AND(Q369="",V369=""),"Belum ditempatkan",""),IF(O369="","CEK ID FIXTURE tidak ada di DAFTAR_FIXTURE",IF(M369="","CEK ZONA NO kosong",IF(ISNA(MATCH(O369&amp;"|"&amp;M369,LAYOUT!$E$2:$E$80,0)),"CEK ZONA NO di luar layout",IF(N369&lt;&gt;INDEX(LAYOUT!$D$2:$D$80,MATCH(O369&amp;"|"&amp;M369,LAYOUT!$E$2:$E$80,0)),"CEK JENIS ZONA",IF($D369="","Zona STOCK",IF($E369="","CEK SKU DESCRIPTION kosong","OK"))))))))</f>
        <v/>
      </c>
      <c r="Q369" s="11" t="n"/>
      <c r="R369" s="11" t="n"/>
      <c r="S369" s="11" t="n"/>
      <c r="T369" s="12">
        <f>IF(Q369="","",IFERROR(INDEX(DAFTAR_FIXTURE!$B$2:$B$51,MATCH(Q369,DAFTAR_FIXTURE!$A$2:$A$51,0)),""))</f>
        <v/>
      </c>
      <c r="U369" s="12">
        <f>IF(Q369="","",IF(T369="","CEK ID FIXTURE tidak ada di DAFTAR_FIXTURE",IF(R369="","CEK ZONA NO kosong",IF(ISNA(MATCH(T369&amp;"|"&amp;R369,LAYOUT!$E$2:$E$80,0)),"CEK ZONA NO di luar layout",IF(S369&lt;&gt;INDEX(LAYOUT!$D$2:$D$80,MATCH(T369&amp;"|"&amp;R369,LAYOUT!$E$2:$E$80,0)),"CEK JENIS ZONA",IF($D369="","Zona STOCK",IF($E369="","CEK SKU DESCRIPTION kosong","OK")))))))</f>
        <v/>
      </c>
      <c r="V369" s="11" t="n"/>
      <c r="W369" s="11" t="n"/>
      <c r="X369" s="11" t="n"/>
      <c r="Y369" s="12">
        <f>IF(V369="","",IFERROR(INDEX(DAFTAR_FIXTURE!$B$2:$B$51,MATCH(V369,DAFTAR_FIXTURE!$A$2:$A$51,0)),""))</f>
        <v/>
      </c>
      <c r="Z369" s="12">
        <f>IF(V369="","",IF(Y369="","CEK ID FIXTURE tidak ada di DAFTAR_FIXTURE",IF(W369="","CEK ZONA NO kosong",IF(ISNA(MATCH(Y369&amp;"|"&amp;W369,LAYOUT!$E$2:$E$80,0)),"CEK ZONA NO di luar layout",IF(X369&lt;&gt;INDEX(LAYOUT!$D$2:$D$80,MATCH(Y369&amp;"|"&amp;W369,LAYOUT!$E$2:$E$80,0)),"CEK JENIS ZONA",IF($D369="","Zona STOCK",IF($E369="","CEK SKU DESCRIPTION kosong","OK")))))))</f>
        <v/>
      </c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1" t="n"/>
      <c r="M370" s="11" t="n"/>
      <c r="N370" s="11" t="n"/>
      <c r="O370" s="12">
        <f>IF(L370="","",IFERROR(INDEX(DAFTAR_FIXTURE!$B$2:$B$51,MATCH(L370,DAFTAR_FIXTURE!$A$2:$A$51,0)),""))</f>
        <v/>
      </c>
      <c r="P370" s="12">
        <f>IF(AND($D370="",L370=""),"",IF(L370="",IF(AND(Q370="",V370=""),"Belum ditempatkan",""),IF(O370="","CEK ID FIXTURE tidak ada di DAFTAR_FIXTURE",IF(M370="","CEK ZONA NO kosong",IF(ISNA(MATCH(O370&amp;"|"&amp;M370,LAYOUT!$E$2:$E$80,0)),"CEK ZONA NO di luar layout",IF(N370&lt;&gt;INDEX(LAYOUT!$D$2:$D$80,MATCH(O370&amp;"|"&amp;M370,LAYOUT!$E$2:$E$80,0)),"CEK JENIS ZONA",IF($D370="","Zona STOCK",IF($E370="","CEK SKU DESCRIPTION kosong","OK"))))))))</f>
        <v/>
      </c>
      <c r="Q370" s="11" t="n"/>
      <c r="R370" s="11" t="n"/>
      <c r="S370" s="11" t="n"/>
      <c r="T370" s="12">
        <f>IF(Q370="","",IFERROR(INDEX(DAFTAR_FIXTURE!$B$2:$B$51,MATCH(Q370,DAFTAR_FIXTURE!$A$2:$A$51,0)),""))</f>
        <v/>
      </c>
      <c r="U370" s="12">
        <f>IF(Q370="","",IF(T370="","CEK ID FIXTURE tidak ada di DAFTAR_FIXTURE",IF(R370="","CEK ZONA NO kosong",IF(ISNA(MATCH(T370&amp;"|"&amp;R370,LAYOUT!$E$2:$E$80,0)),"CEK ZONA NO di luar layout",IF(S370&lt;&gt;INDEX(LAYOUT!$D$2:$D$80,MATCH(T370&amp;"|"&amp;R370,LAYOUT!$E$2:$E$80,0)),"CEK JENIS ZONA",IF($D370="","Zona STOCK",IF($E370="","CEK SKU DESCRIPTION kosong","OK")))))))</f>
        <v/>
      </c>
      <c r="V370" s="11" t="n"/>
      <c r="W370" s="11" t="n"/>
      <c r="X370" s="11" t="n"/>
      <c r="Y370" s="12">
        <f>IF(V370="","",IFERROR(INDEX(DAFTAR_FIXTURE!$B$2:$B$51,MATCH(V370,DAFTAR_FIXTURE!$A$2:$A$51,0)),""))</f>
        <v/>
      </c>
      <c r="Z370" s="12">
        <f>IF(V370="","",IF(Y370="","CEK ID FIXTURE tidak ada di DAFTAR_FIXTURE",IF(W370="","CEK ZONA NO kosong",IF(ISNA(MATCH(Y370&amp;"|"&amp;W370,LAYOUT!$E$2:$E$80,0)),"CEK ZONA NO di luar layout",IF(X370&lt;&gt;INDEX(LAYOUT!$D$2:$D$80,MATCH(Y370&amp;"|"&amp;W370,LAYOUT!$E$2:$E$80,0)),"CEK JENIS ZONA",IF($D370="","Zona STOCK",IF($E370="","CEK SKU DESCRIPTION kosong","OK")))))))</f>
        <v/>
      </c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1" t="n"/>
      <c r="M371" s="11" t="n"/>
      <c r="N371" s="11" t="n"/>
      <c r="O371" s="12">
        <f>IF(L371="","",IFERROR(INDEX(DAFTAR_FIXTURE!$B$2:$B$51,MATCH(L371,DAFTAR_FIXTURE!$A$2:$A$51,0)),""))</f>
        <v/>
      </c>
      <c r="P371" s="12">
        <f>IF(AND($D371="",L371=""),"",IF(L371="",IF(AND(Q371="",V371=""),"Belum ditempatkan",""),IF(O371="","CEK ID FIXTURE tidak ada di DAFTAR_FIXTURE",IF(M371="","CEK ZONA NO kosong",IF(ISNA(MATCH(O371&amp;"|"&amp;M371,LAYOUT!$E$2:$E$80,0)),"CEK ZONA NO di luar layout",IF(N371&lt;&gt;INDEX(LAYOUT!$D$2:$D$80,MATCH(O371&amp;"|"&amp;M371,LAYOUT!$E$2:$E$80,0)),"CEK JENIS ZONA",IF($D371="","Zona STOCK",IF($E371="","CEK SKU DESCRIPTION kosong","OK"))))))))</f>
        <v/>
      </c>
      <c r="Q371" s="11" t="n"/>
      <c r="R371" s="11" t="n"/>
      <c r="S371" s="11" t="n"/>
      <c r="T371" s="12">
        <f>IF(Q371="","",IFERROR(INDEX(DAFTAR_FIXTURE!$B$2:$B$51,MATCH(Q371,DAFTAR_FIXTURE!$A$2:$A$51,0)),""))</f>
        <v/>
      </c>
      <c r="U371" s="12">
        <f>IF(Q371="","",IF(T371="","CEK ID FIXTURE tidak ada di DAFTAR_FIXTURE",IF(R371="","CEK ZONA NO kosong",IF(ISNA(MATCH(T371&amp;"|"&amp;R371,LAYOUT!$E$2:$E$80,0)),"CEK ZONA NO di luar layout",IF(S371&lt;&gt;INDEX(LAYOUT!$D$2:$D$80,MATCH(T371&amp;"|"&amp;R371,LAYOUT!$E$2:$E$80,0)),"CEK JENIS ZONA",IF($D371="","Zona STOCK",IF($E371="","CEK SKU DESCRIPTION kosong","OK")))))))</f>
        <v/>
      </c>
      <c r="V371" s="11" t="n"/>
      <c r="W371" s="11" t="n"/>
      <c r="X371" s="11" t="n"/>
      <c r="Y371" s="12">
        <f>IF(V371="","",IFERROR(INDEX(DAFTAR_FIXTURE!$B$2:$B$51,MATCH(V371,DAFTAR_FIXTURE!$A$2:$A$51,0)),""))</f>
        <v/>
      </c>
      <c r="Z371" s="12">
        <f>IF(V371="","",IF(Y371="","CEK ID FIXTURE tidak ada di DAFTAR_FIXTURE",IF(W371="","CEK ZONA NO kosong",IF(ISNA(MATCH(Y371&amp;"|"&amp;W371,LAYOUT!$E$2:$E$80,0)),"CEK ZONA NO di luar layout",IF(X371&lt;&gt;INDEX(LAYOUT!$D$2:$D$80,MATCH(Y371&amp;"|"&amp;W371,LAYOUT!$E$2:$E$80,0)),"CEK JENIS ZONA",IF($D371="","Zona STOCK",IF($E371="","CEK SKU DESCRIPTION kosong","OK")))))))</f>
        <v/>
      </c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1" t="n"/>
      <c r="M372" s="11" t="n"/>
      <c r="N372" s="11" t="n"/>
      <c r="O372" s="12">
        <f>IF(L372="","",IFERROR(INDEX(DAFTAR_FIXTURE!$B$2:$B$51,MATCH(L372,DAFTAR_FIXTURE!$A$2:$A$51,0)),""))</f>
        <v/>
      </c>
      <c r="P372" s="12">
        <f>IF(AND($D372="",L372=""),"",IF(L372="",IF(AND(Q372="",V372=""),"Belum ditempatkan",""),IF(O372="","CEK ID FIXTURE tidak ada di DAFTAR_FIXTURE",IF(M372="","CEK ZONA NO kosong",IF(ISNA(MATCH(O372&amp;"|"&amp;M372,LAYOUT!$E$2:$E$80,0)),"CEK ZONA NO di luar layout",IF(N372&lt;&gt;INDEX(LAYOUT!$D$2:$D$80,MATCH(O372&amp;"|"&amp;M372,LAYOUT!$E$2:$E$80,0)),"CEK JENIS ZONA",IF($D372="","Zona STOCK",IF($E372="","CEK SKU DESCRIPTION kosong","OK"))))))))</f>
        <v/>
      </c>
      <c r="Q372" s="11" t="n"/>
      <c r="R372" s="11" t="n"/>
      <c r="S372" s="11" t="n"/>
      <c r="T372" s="12">
        <f>IF(Q372="","",IFERROR(INDEX(DAFTAR_FIXTURE!$B$2:$B$51,MATCH(Q372,DAFTAR_FIXTURE!$A$2:$A$51,0)),""))</f>
        <v/>
      </c>
      <c r="U372" s="12">
        <f>IF(Q372="","",IF(T372="","CEK ID FIXTURE tidak ada di DAFTAR_FIXTURE",IF(R372="","CEK ZONA NO kosong",IF(ISNA(MATCH(T372&amp;"|"&amp;R372,LAYOUT!$E$2:$E$80,0)),"CEK ZONA NO di luar layout",IF(S372&lt;&gt;INDEX(LAYOUT!$D$2:$D$80,MATCH(T372&amp;"|"&amp;R372,LAYOUT!$E$2:$E$80,0)),"CEK JENIS ZONA",IF($D372="","Zona STOCK",IF($E372="","CEK SKU DESCRIPTION kosong","OK")))))))</f>
        <v/>
      </c>
      <c r="V372" s="11" t="n"/>
      <c r="W372" s="11" t="n"/>
      <c r="X372" s="11" t="n"/>
      <c r="Y372" s="12">
        <f>IF(V372="","",IFERROR(INDEX(DAFTAR_FIXTURE!$B$2:$B$51,MATCH(V372,DAFTAR_FIXTURE!$A$2:$A$51,0)),""))</f>
        <v/>
      </c>
      <c r="Z372" s="12">
        <f>IF(V372="","",IF(Y372="","CEK ID FIXTURE tidak ada di DAFTAR_FIXTURE",IF(W372="","CEK ZONA NO kosong",IF(ISNA(MATCH(Y372&amp;"|"&amp;W372,LAYOUT!$E$2:$E$80,0)),"CEK ZONA NO di luar layout",IF(X372&lt;&gt;INDEX(LAYOUT!$D$2:$D$80,MATCH(Y372&amp;"|"&amp;W372,LAYOUT!$E$2:$E$80,0)),"CEK JENIS ZONA",IF($D372="","Zona STOCK",IF($E372="","CEK SKU DESCRIPTION kosong","OK")))))))</f>
        <v/>
      </c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1" t="n"/>
      <c r="M373" s="11" t="n"/>
      <c r="N373" s="11" t="n"/>
      <c r="O373" s="12">
        <f>IF(L373="","",IFERROR(INDEX(DAFTAR_FIXTURE!$B$2:$B$51,MATCH(L373,DAFTAR_FIXTURE!$A$2:$A$51,0)),""))</f>
        <v/>
      </c>
      <c r="P373" s="12">
        <f>IF(AND($D373="",L373=""),"",IF(L373="",IF(AND(Q373="",V373=""),"Belum ditempatkan",""),IF(O373="","CEK ID FIXTURE tidak ada di DAFTAR_FIXTURE",IF(M373="","CEK ZONA NO kosong",IF(ISNA(MATCH(O373&amp;"|"&amp;M373,LAYOUT!$E$2:$E$80,0)),"CEK ZONA NO di luar layout",IF(N373&lt;&gt;INDEX(LAYOUT!$D$2:$D$80,MATCH(O373&amp;"|"&amp;M373,LAYOUT!$E$2:$E$80,0)),"CEK JENIS ZONA",IF($D373="","Zona STOCK",IF($E373="","CEK SKU DESCRIPTION kosong","OK"))))))))</f>
        <v/>
      </c>
      <c r="Q373" s="11" t="n"/>
      <c r="R373" s="11" t="n"/>
      <c r="S373" s="11" t="n"/>
      <c r="T373" s="12">
        <f>IF(Q373="","",IFERROR(INDEX(DAFTAR_FIXTURE!$B$2:$B$51,MATCH(Q373,DAFTAR_FIXTURE!$A$2:$A$51,0)),""))</f>
        <v/>
      </c>
      <c r="U373" s="12">
        <f>IF(Q373="","",IF(T373="","CEK ID FIXTURE tidak ada di DAFTAR_FIXTURE",IF(R373="","CEK ZONA NO kosong",IF(ISNA(MATCH(T373&amp;"|"&amp;R373,LAYOUT!$E$2:$E$80,0)),"CEK ZONA NO di luar layout",IF(S373&lt;&gt;INDEX(LAYOUT!$D$2:$D$80,MATCH(T373&amp;"|"&amp;R373,LAYOUT!$E$2:$E$80,0)),"CEK JENIS ZONA",IF($D373="","Zona STOCK",IF($E373="","CEK SKU DESCRIPTION kosong","OK")))))))</f>
        <v/>
      </c>
      <c r="V373" s="11" t="n"/>
      <c r="W373" s="11" t="n"/>
      <c r="X373" s="11" t="n"/>
      <c r="Y373" s="12">
        <f>IF(V373="","",IFERROR(INDEX(DAFTAR_FIXTURE!$B$2:$B$51,MATCH(V373,DAFTAR_FIXTURE!$A$2:$A$51,0)),""))</f>
        <v/>
      </c>
      <c r="Z373" s="12">
        <f>IF(V373="","",IF(Y373="","CEK ID FIXTURE tidak ada di DAFTAR_FIXTURE",IF(W373="","CEK ZONA NO kosong",IF(ISNA(MATCH(Y373&amp;"|"&amp;W373,LAYOUT!$E$2:$E$80,0)),"CEK ZONA NO di luar layout",IF(X373&lt;&gt;INDEX(LAYOUT!$D$2:$D$80,MATCH(Y373&amp;"|"&amp;W373,LAYOUT!$E$2:$E$80,0)),"CEK JENIS ZONA",IF($D373="","Zona STOCK",IF($E373="","CEK SKU DESCRIPTION kosong","OK")))))))</f>
        <v/>
      </c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1" t="n"/>
      <c r="M374" s="11" t="n"/>
      <c r="N374" s="11" t="n"/>
      <c r="O374" s="12">
        <f>IF(L374="","",IFERROR(INDEX(DAFTAR_FIXTURE!$B$2:$B$51,MATCH(L374,DAFTAR_FIXTURE!$A$2:$A$51,0)),""))</f>
        <v/>
      </c>
      <c r="P374" s="12">
        <f>IF(AND($D374="",L374=""),"",IF(L374="",IF(AND(Q374="",V374=""),"Belum ditempatkan",""),IF(O374="","CEK ID FIXTURE tidak ada di DAFTAR_FIXTURE",IF(M374="","CEK ZONA NO kosong",IF(ISNA(MATCH(O374&amp;"|"&amp;M374,LAYOUT!$E$2:$E$80,0)),"CEK ZONA NO di luar layout",IF(N374&lt;&gt;INDEX(LAYOUT!$D$2:$D$80,MATCH(O374&amp;"|"&amp;M374,LAYOUT!$E$2:$E$80,0)),"CEK JENIS ZONA",IF($D374="","Zona STOCK",IF($E374="","CEK SKU DESCRIPTION kosong","OK"))))))))</f>
        <v/>
      </c>
      <c r="Q374" s="11" t="n"/>
      <c r="R374" s="11" t="n"/>
      <c r="S374" s="11" t="n"/>
      <c r="T374" s="12">
        <f>IF(Q374="","",IFERROR(INDEX(DAFTAR_FIXTURE!$B$2:$B$51,MATCH(Q374,DAFTAR_FIXTURE!$A$2:$A$51,0)),""))</f>
        <v/>
      </c>
      <c r="U374" s="12">
        <f>IF(Q374="","",IF(T374="","CEK ID FIXTURE tidak ada di DAFTAR_FIXTURE",IF(R374="","CEK ZONA NO kosong",IF(ISNA(MATCH(T374&amp;"|"&amp;R374,LAYOUT!$E$2:$E$80,0)),"CEK ZONA NO di luar layout",IF(S374&lt;&gt;INDEX(LAYOUT!$D$2:$D$80,MATCH(T374&amp;"|"&amp;R374,LAYOUT!$E$2:$E$80,0)),"CEK JENIS ZONA",IF($D374="","Zona STOCK",IF($E374="","CEK SKU DESCRIPTION kosong","OK")))))))</f>
        <v/>
      </c>
      <c r="V374" s="11" t="n"/>
      <c r="W374" s="11" t="n"/>
      <c r="X374" s="11" t="n"/>
      <c r="Y374" s="12">
        <f>IF(V374="","",IFERROR(INDEX(DAFTAR_FIXTURE!$B$2:$B$51,MATCH(V374,DAFTAR_FIXTURE!$A$2:$A$51,0)),""))</f>
        <v/>
      </c>
      <c r="Z374" s="12">
        <f>IF(V374="","",IF(Y374="","CEK ID FIXTURE tidak ada di DAFTAR_FIXTURE",IF(W374="","CEK ZONA NO kosong",IF(ISNA(MATCH(Y374&amp;"|"&amp;W374,LAYOUT!$E$2:$E$80,0)),"CEK ZONA NO di luar layout",IF(X374&lt;&gt;INDEX(LAYOUT!$D$2:$D$80,MATCH(Y374&amp;"|"&amp;W374,LAYOUT!$E$2:$E$80,0)),"CEK JENIS ZONA",IF($D374="","Zona STOCK",IF($E374="","CEK SKU DESCRIPTION kosong","OK")))))))</f>
        <v/>
      </c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1" t="n"/>
      <c r="M375" s="11" t="n"/>
      <c r="N375" s="11" t="n"/>
      <c r="O375" s="12">
        <f>IF(L375="","",IFERROR(INDEX(DAFTAR_FIXTURE!$B$2:$B$51,MATCH(L375,DAFTAR_FIXTURE!$A$2:$A$51,0)),""))</f>
        <v/>
      </c>
      <c r="P375" s="12">
        <f>IF(AND($D375="",L375=""),"",IF(L375="",IF(AND(Q375="",V375=""),"Belum ditempatkan",""),IF(O375="","CEK ID FIXTURE tidak ada di DAFTAR_FIXTURE",IF(M375="","CEK ZONA NO kosong",IF(ISNA(MATCH(O375&amp;"|"&amp;M375,LAYOUT!$E$2:$E$80,0)),"CEK ZONA NO di luar layout",IF(N375&lt;&gt;INDEX(LAYOUT!$D$2:$D$80,MATCH(O375&amp;"|"&amp;M375,LAYOUT!$E$2:$E$80,0)),"CEK JENIS ZONA",IF($D375="","Zona STOCK",IF($E375="","CEK SKU DESCRIPTION kosong","OK"))))))))</f>
        <v/>
      </c>
      <c r="Q375" s="11" t="n"/>
      <c r="R375" s="11" t="n"/>
      <c r="S375" s="11" t="n"/>
      <c r="T375" s="12">
        <f>IF(Q375="","",IFERROR(INDEX(DAFTAR_FIXTURE!$B$2:$B$51,MATCH(Q375,DAFTAR_FIXTURE!$A$2:$A$51,0)),""))</f>
        <v/>
      </c>
      <c r="U375" s="12">
        <f>IF(Q375="","",IF(T375="","CEK ID FIXTURE tidak ada di DAFTAR_FIXTURE",IF(R375="","CEK ZONA NO kosong",IF(ISNA(MATCH(T375&amp;"|"&amp;R375,LAYOUT!$E$2:$E$80,0)),"CEK ZONA NO di luar layout",IF(S375&lt;&gt;INDEX(LAYOUT!$D$2:$D$80,MATCH(T375&amp;"|"&amp;R375,LAYOUT!$E$2:$E$80,0)),"CEK JENIS ZONA",IF($D375="","Zona STOCK",IF($E375="","CEK SKU DESCRIPTION kosong","OK")))))))</f>
        <v/>
      </c>
      <c r="V375" s="11" t="n"/>
      <c r="W375" s="11" t="n"/>
      <c r="X375" s="11" t="n"/>
      <c r="Y375" s="12">
        <f>IF(V375="","",IFERROR(INDEX(DAFTAR_FIXTURE!$B$2:$B$51,MATCH(V375,DAFTAR_FIXTURE!$A$2:$A$51,0)),""))</f>
        <v/>
      </c>
      <c r="Z375" s="12">
        <f>IF(V375="","",IF(Y375="","CEK ID FIXTURE tidak ada di DAFTAR_FIXTURE",IF(W375="","CEK ZONA NO kosong",IF(ISNA(MATCH(Y375&amp;"|"&amp;W375,LAYOUT!$E$2:$E$80,0)),"CEK ZONA NO di luar layout",IF(X375&lt;&gt;INDEX(LAYOUT!$D$2:$D$80,MATCH(Y375&amp;"|"&amp;W375,LAYOUT!$E$2:$E$80,0)),"CEK JENIS ZONA",IF($D375="","Zona STOCK",IF($E375="","CEK SKU DESCRIPTION kosong","OK")))))))</f>
        <v/>
      </c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1" t="n"/>
      <c r="M376" s="11" t="n"/>
      <c r="N376" s="11" t="n"/>
      <c r="O376" s="12">
        <f>IF(L376="","",IFERROR(INDEX(DAFTAR_FIXTURE!$B$2:$B$51,MATCH(L376,DAFTAR_FIXTURE!$A$2:$A$51,0)),""))</f>
        <v/>
      </c>
      <c r="P376" s="12">
        <f>IF(AND($D376="",L376=""),"",IF(L376="",IF(AND(Q376="",V376=""),"Belum ditempatkan",""),IF(O376="","CEK ID FIXTURE tidak ada di DAFTAR_FIXTURE",IF(M376="","CEK ZONA NO kosong",IF(ISNA(MATCH(O376&amp;"|"&amp;M376,LAYOUT!$E$2:$E$80,0)),"CEK ZONA NO di luar layout",IF(N376&lt;&gt;INDEX(LAYOUT!$D$2:$D$80,MATCH(O376&amp;"|"&amp;M376,LAYOUT!$E$2:$E$80,0)),"CEK JENIS ZONA",IF($D376="","Zona STOCK",IF($E376="","CEK SKU DESCRIPTION kosong","OK"))))))))</f>
        <v/>
      </c>
      <c r="Q376" s="11" t="n"/>
      <c r="R376" s="11" t="n"/>
      <c r="S376" s="11" t="n"/>
      <c r="T376" s="12">
        <f>IF(Q376="","",IFERROR(INDEX(DAFTAR_FIXTURE!$B$2:$B$51,MATCH(Q376,DAFTAR_FIXTURE!$A$2:$A$51,0)),""))</f>
        <v/>
      </c>
      <c r="U376" s="12">
        <f>IF(Q376="","",IF(T376="","CEK ID FIXTURE tidak ada di DAFTAR_FIXTURE",IF(R376="","CEK ZONA NO kosong",IF(ISNA(MATCH(T376&amp;"|"&amp;R376,LAYOUT!$E$2:$E$80,0)),"CEK ZONA NO di luar layout",IF(S376&lt;&gt;INDEX(LAYOUT!$D$2:$D$80,MATCH(T376&amp;"|"&amp;R376,LAYOUT!$E$2:$E$80,0)),"CEK JENIS ZONA",IF($D376="","Zona STOCK",IF($E376="","CEK SKU DESCRIPTION kosong","OK")))))))</f>
        <v/>
      </c>
      <c r="V376" s="11" t="n"/>
      <c r="W376" s="11" t="n"/>
      <c r="X376" s="11" t="n"/>
      <c r="Y376" s="12">
        <f>IF(V376="","",IFERROR(INDEX(DAFTAR_FIXTURE!$B$2:$B$51,MATCH(V376,DAFTAR_FIXTURE!$A$2:$A$51,0)),""))</f>
        <v/>
      </c>
      <c r="Z376" s="12">
        <f>IF(V376="","",IF(Y376="","CEK ID FIXTURE tidak ada di DAFTAR_FIXTURE",IF(W376="","CEK ZONA NO kosong",IF(ISNA(MATCH(Y376&amp;"|"&amp;W376,LAYOUT!$E$2:$E$80,0)),"CEK ZONA NO di luar layout",IF(X376&lt;&gt;INDEX(LAYOUT!$D$2:$D$80,MATCH(Y376&amp;"|"&amp;W376,LAYOUT!$E$2:$E$80,0)),"CEK JENIS ZONA",IF($D376="","Zona STOCK",IF($E376="","CEK SKU DESCRIPTION kosong","OK")))))))</f>
        <v/>
      </c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1" t="n"/>
      <c r="M377" s="11" t="n"/>
      <c r="N377" s="11" t="n"/>
      <c r="O377" s="12">
        <f>IF(L377="","",IFERROR(INDEX(DAFTAR_FIXTURE!$B$2:$B$51,MATCH(L377,DAFTAR_FIXTURE!$A$2:$A$51,0)),""))</f>
        <v/>
      </c>
      <c r="P377" s="12">
        <f>IF(AND($D377="",L377=""),"",IF(L377="",IF(AND(Q377="",V377=""),"Belum ditempatkan",""),IF(O377="","CEK ID FIXTURE tidak ada di DAFTAR_FIXTURE",IF(M377="","CEK ZONA NO kosong",IF(ISNA(MATCH(O377&amp;"|"&amp;M377,LAYOUT!$E$2:$E$80,0)),"CEK ZONA NO di luar layout",IF(N377&lt;&gt;INDEX(LAYOUT!$D$2:$D$80,MATCH(O377&amp;"|"&amp;M377,LAYOUT!$E$2:$E$80,0)),"CEK JENIS ZONA",IF($D377="","Zona STOCK",IF($E377="","CEK SKU DESCRIPTION kosong","OK"))))))))</f>
        <v/>
      </c>
      <c r="Q377" s="11" t="n"/>
      <c r="R377" s="11" t="n"/>
      <c r="S377" s="11" t="n"/>
      <c r="T377" s="12">
        <f>IF(Q377="","",IFERROR(INDEX(DAFTAR_FIXTURE!$B$2:$B$51,MATCH(Q377,DAFTAR_FIXTURE!$A$2:$A$51,0)),""))</f>
        <v/>
      </c>
      <c r="U377" s="12">
        <f>IF(Q377="","",IF(T377="","CEK ID FIXTURE tidak ada di DAFTAR_FIXTURE",IF(R377="","CEK ZONA NO kosong",IF(ISNA(MATCH(T377&amp;"|"&amp;R377,LAYOUT!$E$2:$E$80,0)),"CEK ZONA NO di luar layout",IF(S377&lt;&gt;INDEX(LAYOUT!$D$2:$D$80,MATCH(T377&amp;"|"&amp;R377,LAYOUT!$E$2:$E$80,0)),"CEK JENIS ZONA",IF($D377="","Zona STOCK",IF($E377="","CEK SKU DESCRIPTION kosong","OK")))))))</f>
        <v/>
      </c>
      <c r="V377" s="11" t="n"/>
      <c r="W377" s="11" t="n"/>
      <c r="X377" s="11" t="n"/>
      <c r="Y377" s="12">
        <f>IF(V377="","",IFERROR(INDEX(DAFTAR_FIXTURE!$B$2:$B$51,MATCH(V377,DAFTAR_FIXTURE!$A$2:$A$51,0)),""))</f>
        <v/>
      </c>
      <c r="Z377" s="12">
        <f>IF(V377="","",IF(Y377="","CEK ID FIXTURE tidak ada di DAFTAR_FIXTURE",IF(W377="","CEK ZONA NO kosong",IF(ISNA(MATCH(Y377&amp;"|"&amp;W377,LAYOUT!$E$2:$E$80,0)),"CEK ZONA NO di luar layout",IF(X377&lt;&gt;INDEX(LAYOUT!$D$2:$D$80,MATCH(Y377&amp;"|"&amp;W377,LAYOUT!$E$2:$E$80,0)),"CEK JENIS ZONA",IF($D377="","Zona STOCK",IF($E377="","CEK SKU DESCRIPTION kosong","OK")))))))</f>
        <v/>
      </c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1" t="n"/>
      <c r="M378" s="11" t="n"/>
      <c r="N378" s="11" t="n"/>
      <c r="O378" s="12">
        <f>IF(L378="","",IFERROR(INDEX(DAFTAR_FIXTURE!$B$2:$B$51,MATCH(L378,DAFTAR_FIXTURE!$A$2:$A$51,0)),""))</f>
        <v/>
      </c>
      <c r="P378" s="12">
        <f>IF(AND($D378="",L378=""),"",IF(L378="",IF(AND(Q378="",V378=""),"Belum ditempatkan",""),IF(O378="","CEK ID FIXTURE tidak ada di DAFTAR_FIXTURE",IF(M378="","CEK ZONA NO kosong",IF(ISNA(MATCH(O378&amp;"|"&amp;M378,LAYOUT!$E$2:$E$80,0)),"CEK ZONA NO di luar layout",IF(N378&lt;&gt;INDEX(LAYOUT!$D$2:$D$80,MATCH(O378&amp;"|"&amp;M378,LAYOUT!$E$2:$E$80,0)),"CEK JENIS ZONA",IF($D378="","Zona STOCK",IF($E378="","CEK SKU DESCRIPTION kosong","OK"))))))))</f>
        <v/>
      </c>
      <c r="Q378" s="11" t="n"/>
      <c r="R378" s="11" t="n"/>
      <c r="S378" s="11" t="n"/>
      <c r="T378" s="12">
        <f>IF(Q378="","",IFERROR(INDEX(DAFTAR_FIXTURE!$B$2:$B$51,MATCH(Q378,DAFTAR_FIXTURE!$A$2:$A$51,0)),""))</f>
        <v/>
      </c>
      <c r="U378" s="12">
        <f>IF(Q378="","",IF(T378="","CEK ID FIXTURE tidak ada di DAFTAR_FIXTURE",IF(R378="","CEK ZONA NO kosong",IF(ISNA(MATCH(T378&amp;"|"&amp;R378,LAYOUT!$E$2:$E$80,0)),"CEK ZONA NO di luar layout",IF(S378&lt;&gt;INDEX(LAYOUT!$D$2:$D$80,MATCH(T378&amp;"|"&amp;R378,LAYOUT!$E$2:$E$80,0)),"CEK JENIS ZONA",IF($D378="","Zona STOCK",IF($E378="","CEK SKU DESCRIPTION kosong","OK")))))))</f>
        <v/>
      </c>
      <c r="V378" s="11" t="n"/>
      <c r="W378" s="11" t="n"/>
      <c r="X378" s="11" t="n"/>
      <c r="Y378" s="12">
        <f>IF(V378="","",IFERROR(INDEX(DAFTAR_FIXTURE!$B$2:$B$51,MATCH(V378,DAFTAR_FIXTURE!$A$2:$A$51,0)),""))</f>
        <v/>
      </c>
      <c r="Z378" s="12">
        <f>IF(V378="","",IF(Y378="","CEK ID FIXTURE tidak ada di DAFTAR_FIXTURE",IF(W378="","CEK ZONA NO kosong",IF(ISNA(MATCH(Y378&amp;"|"&amp;W378,LAYOUT!$E$2:$E$80,0)),"CEK ZONA NO di luar layout",IF(X378&lt;&gt;INDEX(LAYOUT!$D$2:$D$80,MATCH(Y378&amp;"|"&amp;W378,LAYOUT!$E$2:$E$80,0)),"CEK JENIS ZONA",IF($D378="","Zona STOCK",IF($E378="","CEK SKU DESCRIPTION kosong","OK")))))))</f>
        <v/>
      </c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1" t="n"/>
      <c r="M379" s="11" t="n"/>
      <c r="N379" s="11" t="n"/>
      <c r="O379" s="12">
        <f>IF(L379="","",IFERROR(INDEX(DAFTAR_FIXTURE!$B$2:$B$51,MATCH(L379,DAFTAR_FIXTURE!$A$2:$A$51,0)),""))</f>
        <v/>
      </c>
      <c r="P379" s="12">
        <f>IF(AND($D379="",L379=""),"",IF(L379="",IF(AND(Q379="",V379=""),"Belum ditempatkan",""),IF(O379="","CEK ID FIXTURE tidak ada di DAFTAR_FIXTURE",IF(M379="","CEK ZONA NO kosong",IF(ISNA(MATCH(O379&amp;"|"&amp;M379,LAYOUT!$E$2:$E$80,0)),"CEK ZONA NO di luar layout",IF(N379&lt;&gt;INDEX(LAYOUT!$D$2:$D$80,MATCH(O379&amp;"|"&amp;M379,LAYOUT!$E$2:$E$80,0)),"CEK JENIS ZONA",IF($D379="","Zona STOCK",IF($E379="","CEK SKU DESCRIPTION kosong","OK"))))))))</f>
        <v/>
      </c>
      <c r="Q379" s="11" t="n"/>
      <c r="R379" s="11" t="n"/>
      <c r="S379" s="11" t="n"/>
      <c r="T379" s="12">
        <f>IF(Q379="","",IFERROR(INDEX(DAFTAR_FIXTURE!$B$2:$B$51,MATCH(Q379,DAFTAR_FIXTURE!$A$2:$A$51,0)),""))</f>
        <v/>
      </c>
      <c r="U379" s="12">
        <f>IF(Q379="","",IF(T379="","CEK ID FIXTURE tidak ada di DAFTAR_FIXTURE",IF(R379="","CEK ZONA NO kosong",IF(ISNA(MATCH(T379&amp;"|"&amp;R379,LAYOUT!$E$2:$E$80,0)),"CEK ZONA NO di luar layout",IF(S379&lt;&gt;INDEX(LAYOUT!$D$2:$D$80,MATCH(T379&amp;"|"&amp;R379,LAYOUT!$E$2:$E$80,0)),"CEK JENIS ZONA",IF($D379="","Zona STOCK",IF($E379="","CEK SKU DESCRIPTION kosong","OK")))))))</f>
        <v/>
      </c>
      <c r="V379" s="11" t="n"/>
      <c r="W379" s="11" t="n"/>
      <c r="X379" s="11" t="n"/>
      <c r="Y379" s="12">
        <f>IF(V379="","",IFERROR(INDEX(DAFTAR_FIXTURE!$B$2:$B$51,MATCH(V379,DAFTAR_FIXTURE!$A$2:$A$51,0)),""))</f>
        <v/>
      </c>
      <c r="Z379" s="12">
        <f>IF(V379="","",IF(Y379="","CEK ID FIXTURE tidak ada di DAFTAR_FIXTURE",IF(W379="","CEK ZONA NO kosong",IF(ISNA(MATCH(Y379&amp;"|"&amp;W379,LAYOUT!$E$2:$E$80,0)),"CEK ZONA NO di luar layout",IF(X379&lt;&gt;INDEX(LAYOUT!$D$2:$D$80,MATCH(Y379&amp;"|"&amp;W379,LAYOUT!$E$2:$E$80,0)),"CEK JENIS ZONA",IF($D379="","Zona STOCK",IF($E379="","CEK SKU DESCRIPTION kosong","OK")))))))</f>
        <v/>
      </c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1" t="n"/>
      <c r="M380" s="11" t="n"/>
      <c r="N380" s="11" t="n"/>
      <c r="O380" s="12">
        <f>IF(L380="","",IFERROR(INDEX(DAFTAR_FIXTURE!$B$2:$B$51,MATCH(L380,DAFTAR_FIXTURE!$A$2:$A$51,0)),""))</f>
        <v/>
      </c>
      <c r="P380" s="12">
        <f>IF(AND($D380="",L380=""),"",IF(L380="",IF(AND(Q380="",V380=""),"Belum ditempatkan",""),IF(O380="","CEK ID FIXTURE tidak ada di DAFTAR_FIXTURE",IF(M380="","CEK ZONA NO kosong",IF(ISNA(MATCH(O380&amp;"|"&amp;M380,LAYOUT!$E$2:$E$80,0)),"CEK ZONA NO di luar layout",IF(N380&lt;&gt;INDEX(LAYOUT!$D$2:$D$80,MATCH(O380&amp;"|"&amp;M380,LAYOUT!$E$2:$E$80,0)),"CEK JENIS ZONA",IF($D380="","Zona STOCK",IF($E380="","CEK SKU DESCRIPTION kosong","OK"))))))))</f>
        <v/>
      </c>
      <c r="Q380" s="11" t="n"/>
      <c r="R380" s="11" t="n"/>
      <c r="S380" s="11" t="n"/>
      <c r="T380" s="12">
        <f>IF(Q380="","",IFERROR(INDEX(DAFTAR_FIXTURE!$B$2:$B$51,MATCH(Q380,DAFTAR_FIXTURE!$A$2:$A$51,0)),""))</f>
        <v/>
      </c>
      <c r="U380" s="12">
        <f>IF(Q380="","",IF(T380="","CEK ID FIXTURE tidak ada di DAFTAR_FIXTURE",IF(R380="","CEK ZONA NO kosong",IF(ISNA(MATCH(T380&amp;"|"&amp;R380,LAYOUT!$E$2:$E$80,0)),"CEK ZONA NO di luar layout",IF(S380&lt;&gt;INDEX(LAYOUT!$D$2:$D$80,MATCH(T380&amp;"|"&amp;R380,LAYOUT!$E$2:$E$80,0)),"CEK JENIS ZONA",IF($D380="","Zona STOCK",IF($E380="","CEK SKU DESCRIPTION kosong","OK")))))))</f>
        <v/>
      </c>
      <c r="V380" s="11" t="n"/>
      <c r="W380" s="11" t="n"/>
      <c r="X380" s="11" t="n"/>
      <c r="Y380" s="12">
        <f>IF(V380="","",IFERROR(INDEX(DAFTAR_FIXTURE!$B$2:$B$51,MATCH(V380,DAFTAR_FIXTURE!$A$2:$A$51,0)),""))</f>
        <v/>
      </c>
      <c r="Z380" s="12">
        <f>IF(V380="","",IF(Y380="","CEK ID FIXTURE tidak ada di DAFTAR_FIXTURE",IF(W380="","CEK ZONA NO kosong",IF(ISNA(MATCH(Y380&amp;"|"&amp;W380,LAYOUT!$E$2:$E$80,0)),"CEK ZONA NO di luar layout",IF(X380&lt;&gt;INDEX(LAYOUT!$D$2:$D$80,MATCH(Y380&amp;"|"&amp;W380,LAYOUT!$E$2:$E$80,0)),"CEK JENIS ZONA",IF($D380="","Zona STOCK",IF($E380="","CEK SKU DESCRIPTION kosong","OK")))))))</f>
        <v/>
      </c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1" t="n"/>
      <c r="M381" s="11" t="n"/>
      <c r="N381" s="11" t="n"/>
      <c r="O381" s="12">
        <f>IF(L381="","",IFERROR(INDEX(DAFTAR_FIXTURE!$B$2:$B$51,MATCH(L381,DAFTAR_FIXTURE!$A$2:$A$51,0)),""))</f>
        <v/>
      </c>
      <c r="P381" s="12">
        <f>IF(AND($D381="",L381=""),"",IF(L381="",IF(AND(Q381="",V381=""),"Belum ditempatkan",""),IF(O381="","CEK ID FIXTURE tidak ada di DAFTAR_FIXTURE",IF(M381="","CEK ZONA NO kosong",IF(ISNA(MATCH(O381&amp;"|"&amp;M381,LAYOUT!$E$2:$E$80,0)),"CEK ZONA NO di luar layout",IF(N381&lt;&gt;INDEX(LAYOUT!$D$2:$D$80,MATCH(O381&amp;"|"&amp;M381,LAYOUT!$E$2:$E$80,0)),"CEK JENIS ZONA",IF($D381="","Zona STOCK",IF($E381="","CEK SKU DESCRIPTION kosong","OK"))))))))</f>
        <v/>
      </c>
      <c r="Q381" s="11" t="n"/>
      <c r="R381" s="11" t="n"/>
      <c r="S381" s="11" t="n"/>
      <c r="T381" s="12">
        <f>IF(Q381="","",IFERROR(INDEX(DAFTAR_FIXTURE!$B$2:$B$51,MATCH(Q381,DAFTAR_FIXTURE!$A$2:$A$51,0)),""))</f>
        <v/>
      </c>
      <c r="U381" s="12">
        <f>IF(Q381="","",IF(T381="","CEK ID FIXTURE tidak ada di DAFTAR_FIXTURE",IF(R381="","CEK ZONA NO kosong",IF(ISNA(MATCH(T381&amp;"|"&amp;R381,LAYOUT!$E$2:$E$80,0)),"CEK ZONA NO di luar layout",IF(S381&lt;&gt;INDEX(LAYOUT!$D$2:$D$80,MATCH(T381&amp;"|"&amp;R381,LAYOUT!$E$2:$E$80,0)),"CEK JENIS ZONA",IF($D381="","Zona STOCK",IF($E381="","CEK SKU DESCRIPTION kosong","OK")))))))</f>
        <v/>
      </c>
      <c r="V381" s="11" t="n"/>
      <c r="W381" s="11" t="n"/>
      <c r="X381" s="11" t="n"/>
      <c r="Y381" s="12">
        <f>IF(V381="","",IFERROR(INDEX(DAFTAR_FIXTURE!$B$2:$B$51,MATCH(V381,DAFTAR_FIXTURE!$A$2:$A$51,0)),""))</f>
        <v/>
      </c>
      <c r="Z381" s="12">
        <f>IF(V381="","",IF(Y381="","CEK ID FIXTURE tidak ada di DAFTAR_FIXTURE",IF(W381="","CEK ZONA NO kosong",IF(ISNA(MATCH(Y381&amp;"|"&amp;W381,LAYOUT!$E$2:$E$80,0)),"CEK ZONA NO di luar layout",IF(X381&lt;&gt;INDEX(LAYOUT!$D$2:$D$80,MATCH(Y381&amp;"|"&amp;W381,LAYOUT!$E$2:$E$80,0)),"CEK JENIS ZONA",IF($D381="","Zona STOCK",IF($E381="","CEK SKU DESCRIPTION kosong","OK")))))))</f>
        <v/>
      </c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1" t="n"/>
      <c r="M382" s="11" t="n"/>
      <c r="N382" s="11" t="n"/>
      <c r="O382" s="12">
        <f>IF(L382="","",IFERROR(INDEX(DAFTAR_FIXTURE!$B$2:$B$51,MATCH(L382,DAFTAR_FIXTURE!$A$2:$A$51,0)),""))</f>
        <v/>
      </c>
      <c r="P382" s="12">
        <f>IF(AND($D382="",L382=""),"",IF(L382="",IF(AND(Q382="",V382=""),"Belum ditempatkan",""),IF(O382="","CEK ID FIXTURE tidak ada di DAFTAR_FIXTURE",IF(M382="","CEK ZONA NO kosong",IF(ISNA(MATCH(O382&amp;"|"&amp;M382,LAYOUT!$E$2:$E$80,0)),"CEK ZONA NO di luar layout",IF(N382&lt;&gt;INDEX(LAYOUT!$D$2:$D$80,MATCH(O382&amp;"|"&amp;M382,LAYOUT!$E$2:$E$80,0)),"CEK JENIS ZONA",IF($D382="","Zona STOCK",IF($E382="","CEK SKU DESCRIPTION kosong","OK"))))))))</f>
        <v/>
      </c>
      <c r="Q382" s="11" t="n"/>
      <c r="R382" s="11" t="n"/>
      <c r="S382" s="11" t="n"/>
      <c r="T382" s="12">
        <f>IF(Q382="","",IFERROR(INDEX(DAFTAR_FIXTURE!$B$2:$B$51,MATCH(Q382,DAFTAR_FIXTURE!$A$2:$A$51,0)),""))</f>
        <v/>
      </c>
      <c r="U382" s="12">
        <f>IF(Q382="","",IF(T382="","CEK ID FIXTURE tidak ada di DAFTAR_FIXTURE",IF(R382="","CEK ZONA NO kosong",IF(ISNA(MATCH(T382&amp;"|"&amp;R382,LAYOUT!$E$2:$E$80,0)),"CEK ZONA NO di luar layout",IF(S382&lt;&gt;INDEX(LAYOUT!$D$2:$D$80,MATCH(T382&amp;"|"&amp;R382,LAYOUT!$E$2:$E$80,0)),"CEK JENIS ZONA",IF($D382="","Zona STOCK",IF($E382="","CEK SKU DESCRIPTION kosong","OK")))))))</f>
        <v/>
      </c>
      <c r="V382" s="11" t="n"/>
      <c r="W382" s="11" t="n"/>
      <c r="X382" s="11" t="n"/>
      <c r="Y382" s="12">
        <f>IF(V382="","",IFERROR(INDEX(DAFTAR_FIXTURE!$B$2:$B$51,MATCH(V382,DAFTAR_FIXTURE!$A$2:$A$51,0)),""))</f>
        <v/>
      </c>
      <c r="Z382" s="12">
        <f>IF(V382="","",IF(Y382="","CEK ID FIXTURE tidak ada di DAFTAR_FIXTURE",IF(W382="","CEK ZONA NO kosong",IF(ISNA(MATCH(Y382&amp;"|"&amp;W382,LAYOUT!$E$2:$E$80,0)),"CEK ZONA NO di luar layout",IF(X382&lt;&gt;INDEX(LAYOUT!$D$2:$D$80,MATCH(Y382&amp;"|"&amp;W382,LAYOUT!$E$2:$E$80,0)),"CEK JENIS ZONA",IF($D382="","Zona STOCK",IF($E382="","CEK SKU DESCRIPTION kosong","OK")))))))</f>
        <v/>
      </c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1" t="n"/>
      <c r="M383" s="11" t="n"/>
      <c r="N383" s="11" t="n"/>
      <c r="O383" s="12">
        <f>IF(L383="","",IFERROR(INDEX(DAFTAR_FIXTURE!$B$2:$B$51,MATCH(L383,DAFTAR_FIXTURE!$A$2:$A$51,0)),""))</f>
        <v/>
      </c>
      <c r="P383" s="12">
        <f>IF(AND($D383="",L383=""),"",IF(L383="",IF(AND(Q383="",V383=""),"Belum ditempatkan",""),IF(O383="","CEK ID FIXTURE tidak ada di DAFTAR_FIXTURE",IF(M383="","CEK ZONA NO kosong",IF(ISNA(MATCH(O383&amp;"|"&amp;M383,LAYOUT!$E$2:$E$80,0)),"CEK ZONA NO di luar layout",IF(N383&lt;&gt;INDEX(LAYOUT!$D$2:$D$80,MATCH(O383&amp;"|"&amp;M383,LAYOUT!$E$2:$E$80,0)),"CEK JENIS ZONA",IF($D383="","Zona STOCK",IF($E383="","CEK SKU DESCRIPTION kosong","OK"))))))))</f>
        <v/>
      </c>
      <c r="Q383" s="11" t="n"/>
      <c r="R383" s="11" t="n"/>
      <c r="S383" s="11" t="n"/>
      <c r="T383" s="12">
        <f>IF(Q383="","",IFERROR(INDEX(DAFTAR_FIXTURE!$B$2:$B$51,MATCH(Q383,DAFTAR_FIXTURE!$A$2:$A$51,0)),""))</f>
        <v/>
      </c>
      <c r="U383" s="12">
        <f>IF(Q383="","",IF(T383="","CEK ID FIXTURE tidak ada di DAFTAR_FIXTURE",IF(R383="","CEK ZONA NO kosong",IF(ISNA(MATCH(T383&amp;"|"&amp;R383,LAYOUT!$E$2:$E$80,0)),"CEK ZONA NO di luar layout",IF(S383&lt;&gt;INDEX(LAYOUT!$D$2:$D$80,MATCH(T383&amp;"|"&amp;R383,LAYOUT!$E$2:$E$80,0)),"CEK JENIS ZONA",IF($D383="","Zona STOCK",IF($E383="","CEK SKU DESCRIPTION kosong","OK")))))))</f>
        <v/>
      </c>
      <c r="V383" s="11" t="n"/>
      <c r="W383" s="11" t="n"/>
      <c r="X383" s="11" t="n"/>
      <c r="Y383" s="12">
        <f>IF(V383="","",IFERROR(INDEX(DAFTAR_FIXTURE!$B$2:$B$51,MATCH(V383,DAFTAR_FIXTURE!$A$2:$A$51,0)),""))</f>
        <v/>
      </c>
      <c r="Z383" s="12">
        <f>IF(V383="","",IF(Y383="","CEK ID FIXTURE tidak ada di DAFTAR_FIXTURE",IF(W383="","CEK ZONA NO kosong",IF(ISNA(MATCH(Y383&amp;"|"&amp;W383,LAYOUT!$E$2:$E$80,0)),"CEK ZONA NO di luar layout",IF(X383&lt;&gt;INDEX(LAYOUT!$D$2:$D$80,MATCH(Y383&amp;"|"&amp;W383,LAYOUT!$E$2:$E$80,0)),"CEK JENIS ZONA",IF($D383="","Zona STOCK",IF($E383="","CEK SKU DESCRIPTION kosong","OK")))))))</f>
        <v/>
      </c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1" t="n"/>
      <c r="M384" s="11" t="n"/>
      <c r="N384" s="11" t="n"/>
      <c r="O384" s="12">
        <f>IF(L384="","",IFERROR(INDEX(DAFTAR_FIXTURE!$B$2:$B$51,MATCH(L384,DAFTAR_FIXTURE!$A$2:$A$51,0)),""))</f>
        <v/>
      </c>
      <c r="P384" s="12">
        <f>IF(AND($D384="",L384=""),"",IF(L384="",IF(AND(Q384="",V384=""),"Belum ditempatkan",""),IF(O384="","CEK ID FIXTURE tidak ada di DAFTAR_FIXTURE",IF(M384="","CEK ZONA NO kosong",IF(ISNA(MATCH(O384&amp;"|"&amp;M384,LAYOUT!$E$2:$E$80,0)),"CEK ZONA NO di luar layout",IF(N384&lt;&gt;INDEX(LAYOUT!$D$2:$D$80,MATCH(O384&amp;"|"&amp;M384,LAYOUT!$E$2:$E$80,0)),"CEK JENIS ZONA",IF($D384="","Zona STOCK",IF($E384="","CEK SKU DESCRIPTION kosong","OK"))))))))</f>
        <v/>
      </c>
      <c r="Q384" s="11" t="n"/>
      <c r="R384" s="11" t="n"/>
      <c r="S384" s="11" t="n"/>
      <c r="T384" s="12">
        <f>IF(Q384="","",IFERROR(INDEX(DAFTAR_FIXTURE!$B$2:$B$51,MATCH(Q384,DAFTAR_FIXTURE!$A$2:$A$51,0)),""))</f>
        <v/>
      </c>
      <c r="U384" s="12">
        <f>IF(Q384="","",IF(T384="","CEK ID FIXTURE tidak ada di DAFTAR_FIXTURE",IF(R384="","CEK ZONA NO kosong",IF(ISNA(MATCH(T384&amp;"|"&amp;R384,LAYOUT!$E$2:$E$80,0)),"CEK ZONA NO di luar layout",IF(S384&lt;&gt;INDEX(LAYOUT!$D$2:$D$80,MATCH(T384&amp;"|"&amp;R384,LAYOUT!$E$2:$E$80,0)),"CEK JENIS ZONA",IF($D384="","Zona STOCK",IF($E384="","CEK SKU DESCRIPTION kosong","OK")))))))</f>
        <v/>
      </c>
      <c r="V384" s="11" t="n"/>
      <c r="W384" s="11" t="n"/>
      <c r="X384" s="11" t="n"/>
      <c r="Y384" s="12">
        <f>IF(V384="","",IFERROR(INDEX(DAFTAR_FIXTURE!$B$2:$B$51,MATCH(V384,DAFTAR_FIXTURE!$A$2:$A$51,0)),""))</f>
        <v/>
      </c>
      <c r="Z384" s="12">
        <f>IF(V384="","",IF(Y384="","CEK ID FIXTURE tidak ada di DAFTAR_FIXTURE",IF(W384="","CEK ZONA NO kosong",IF(ISNA(MATCH(Y384&amp;"|"&amp;W384,LAYOUT!$E$2:$E$80,0)),"CEK ZONA NO di luar layout",IF(X384&lt;&gt;INDEX(LAYOUT!$D$2:$D$80,MATCH(Y384&amp;"|"&amp;W384,LAYOUT!$E$2:$E$80,0)),"CEK JENIS ZONA",IF($D384="","Zona STOCK",IF($E384="","CEK SKU DESCRIPTION kosong","OK")))))))</f>
        <v/>
      </c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1" t="n"/>
      <c r="M385" s="11" t="n"/>
      <c r="N385" s="11" t="n"/>
      <c r="O385" s="12">
        <f>IF(L385="","",IFERROR(INDEX(DAFTAR_FIXTURE!$B$2:$B$51,MATCH(L385,DAFTAR_FIXTURE!$A$2:$A$51,0)),""))</f>
        <v/>
      </c>
      <c r="P385" s="12">
        <f>IF(AND($D385="",L385=""),"",IF(L385="",IF(AND(Q385="",V385=""),"Belum ditempatkan",""),IF(O385="","CEK ID FIXTURE tidak ada di DAFTAR_FIXTURE",IF(M385="","CEK ZONA NO kosong",IF(ISNA(MATCH(O385&amp;"|"&amp;M385,LAYOUT!$E$2:$E$80,0)),"CEK ZONA NO di luar layout",IF(N385&lt;&gt;INDEX(LAYOUT!$D$2:$D$80,MATCH(O385&amp;"|"&amp;M385,LAYOUT!$E$2:$E$80,0)),"CEK JENIS ZONA",IF($D385="","Zona STOCK",IF($E385="","CEK SKU DESCRIPTION kosong","OK"))))))))</f>
        <v/>
      </c>
      <c r="Q385" s="11" t="n"/>
      <c r="R385" s="11" t="n"/>
      <c r="S385" s="11" t="n"/>
      <c r="T385" s="12">
        <f>IF(Q385="","",IFERROR(INDEX(DAFTAR_FIXTURE!$B$2:$B$51,MATCH(Q385,DAFTAR_FIXTURE!$A$2:$A$51,0)),""))</f>
        <v/>
      </c>
      <c r="U385" s="12">
        <f>IF(Q385="","",IF(T385="","CEK ID FIXTURE tidak ada di DAFTAR_FIXTURE",IF(R385="","CEK ZONA NO kosong",IF(ISNA(MATCH(T385&amp;"|"&amp;R385,LAYOUT!$E$2:$E$80,0)),"CEK ZONA NO di luar layout",IF(S385&lt;&gt;INDEX(LAYOUT!$D$2:$D$80,MATCH(T385&amp;"|"&amp;R385,LAYOUT!$E$2:$E$80,0)),"CEK JENIS ZONA",IF($D385="","Zona STOCK",IF($E385="","CEK SKU DESCRIPTION kosong","OK")))))))</f>
        <v/>
      </c>
      <c r="V385" s="11" t="n"/>
      <c r="W385" s="11" t="n"/>
      <c r="X385" s="11" t="n"/>
      <c r="Y385" s="12">
        <f>IF(V385="","",IFERROR(INDEX(DAFTAR_FIXTURE!$B$2:$B$51,MATCH(V385,DAFTAR_FIXTURE!$A$2:$A$51,0)),""))</f>
        <v/>
      </c>
      <c r="Z385" s="12">
        <f>IF(V385="","",IF(Y385="","CEK ID FIXTURE tidak ada di DAFTAR_FIXTURE",IF(W385="","CEK ZONA NO kosong",IF(ISNA(MATCH(Y385&amp;"|"&amp;W385,LAYOUT!$E$2:$E$80,0)),"CEK ZONA NO di luar layout",IF(X385&lt;&gt;INDEX(LAYOUT!$D$2:$D$80,MATCH(Y385&amp;"|"&amp;W385,LAYOUT!$E$2:$E$80,0)),"CEK JENIS ZONA",IF($D385="","Zona STOCK",IF($E385="","CEK SKU DESCRIPTION kosong","OK")))))))</f>
        <v/>
      </c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1" t="n"/>
      <c r="M386" s="11" t="n"/>
      <c r="N386" s="11" t="n"/>
      <c r="O386" s="12">
        <f>IF(L386="","",IFERROR(INDEX(DAFTAR_FIXTURE!$B$2:$B$51,MATCH(L386,DAFTAR_FIXTURE!$A$2:$A$51,0)),""))</f>
        <v/>
      </c>
      <c r="P386" s="12">
        <f>IF(AND($D386="",L386=""),"",IF(L386="",IF(AND(Q386="",V386=""),"Belum ditempatkan",""),IF(O386="","CEK ID FIXTURE tidak ada di DAFTAR_FIXTURE",IF(M386="","CEK ZONA NO kosong",IF(ISNA(MATCH(O386&amp;"|"&amp;M386,LAYOUT!$E$2:$E$80,0)),"CEK ZONA NO di luar layout",IF(N386&lt;&gt;INDEX(LAYOUT!$D$2:$D$80,MATCH(O386&amp;"|"&amp;M386,LAYOUT!$E$2:$E$80,0)),"CEK JENIS ZONA",IF($D386="","Zona STOCK",IF($E386="","CEK SKU DESCRIPTION kosong","OK"))))))))</f>
        <v/>
      </c>
      <c r="Q386" s="11" t="n"/>
      <c r="R386" s="11" t="n"/>
      <c r="S386" s="11" t="n"/>
      <c r="T386" s="12">
        <f>IF(Q386="","",IFERROR(INDEX(DAFTAR_FIXTURE!$B$2:$B$51,MATCH(Q386,DAFTAR_FIXTURE!$A$2:$A$51,0)),""))</f>
        <v/>
      </c>
      <c r="U386" s="12">
        <f>IF(Q386="","",IF(T386="","CEK ID FIXTURE tidak ada di DAFTAR_FIXTURE",IF(R386="","CEK ZONA NO kosong",IF(ISNA(MATCH(T386&amp;"|"&amp;R386,LAYOUT!$E$2:$E$80,0)),"CEK ZONA NO di luar layout",IF(S386&lt;&gt;INDEX(LAYOUT!$D$2:$D$80,MATCH(T386&amp;"|"&amp;R386,LAYOUT!$E$2:$E$80,0)),"CEK JENIS ZONA",IF($D386="","Zona STOCK",IF($E386="","CEK SKU DESCRIPTION kosong","OK")))))))</f>
        <v/>
      </c>
      <c r="V386" s="11" t="n"/>
      <c r="W386" s="11" t="n"/>
      <c r="X386" s="11" t="n"/>
      <c r="Y386" s="12">
        <f>IF(V386="","",IFERROR(INDEX(DAFTAR_FIXTURE!$B$2:$B$51,MATCH(V386,DAFTAR_FIXTURE!$A$2:$A$51,0)),""))</f>
        <v/>
      </c>
      <c r="Z386" s="12">
        <f>IF(V386="","",IF(Y386="","CEK ID FIXTURE tidak ada di DAFTAR_FIXTURE",IF(W386="","CEK ZONA NO kosong",IF(ISNA(MATCH(Y386&amp;"|"&amp;W386,LAYOUT!$E$2:$E$80,0)),"CEK ZONA NO di luar layout",IF(X386&lt;&gt;INDEX(LAYOUT!$D$2:$D$80,MATCH(Y386&amp;"|"&amp;W386,LAYOUT!$E$2:$E$80,0)),"CEK JENIS ZONA",IF($D386="","Zona STOCK",IF($E386="","CEK SKU DESCRIPTION kosong","OK")))))))</f>
        <v/>
      </c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1" t="n"/>
      <c r="M387" s="11" t="n"/>
      <c r="N387" s="11" t="n"/>
      <c r="O387" s="12">
        <f>IF(L387="","",IFERROR(INDEX(DAFTAR_FIXTURE!$B$2:$B$51,MATCH(L387,DAFTAR_FIXTURE!$A$2:$A$51,0)),""))</f>
        <v/>
      </c>
      <c r="P387" s="12">
        <f>IF(AND($D387="",L387=""),"",IF(L387="",IF(AND(Q387="",V387=""),"Belum ditempatkan",""),IF(O387="","CEK ID FIXTURE tidak ada di DAFTAR_FIXTURE",IF(M387="","CEK ZONA NO kosong",IF(ISNA(MATCH(O387&amp;"|"&amp;M387,LAYOUT!$E$2:$E$80,0)),"CEK ZONA NO di luar layout",IF(N387&lt;&gt;INDEX(LAYOUT!$D$2:$D$80,MATCH(O387&amp;"|"&amp;M387,LAYOUT!$E$2:$E$80,0)),"CEK JENIS ZONA",IF($D387="","Zona STOCK",IF($E387="","CEK SKU DESCRIPTION kosong","OK"))))))))</f>
        <v/>
      </c>
      <c r="Q387" s="11" t="n"/>
      <c r="R387" s="11" t="n"/>
      <c r="S387" s="11" t="n"/>
      <c r="T387" s="12">
        <f>IF(Q387="","",IFERROR(INDEX(DAFTAR_FIXTURE!$B$2:$B$51,MATCH(Q387,DAFTAR_FIXTURE!$A$2:$A$51,0)),""))</f>
        <v/>
      </c>
      <c r="U387" s="12">
        <f>IF(Q387="","",IF(T387="","CEK ID FIXTURE tidak ada di DAFTAR_FIXTURE",IF(R387="","CEK ZONA NO kosong",IF(ISNA(MATCH(T387&amp;"|"&amp;R387,LAYOUT!$E$2:$E$80,0)),"CEK ZONA NO di luar layout",IF(S387&lt;&gt;INDEX(LAYOUT!$D$2:$D$80,MATCH(T387&amp;"|"&amp;R387,LAYOUT!$E$2:$E$80,0)),"CEK JENIS ZONA",IF($D387="","Zona STOCK",IF($E387="","CEK SKU DESCRIPTION kosong","OK")))))))</f>
        <v/>
      </c>
      <c r="V387" s="11" t="n"/>
      <c r="W387" s="11" t="n"/>
      <c r="X387" s="11" t="n"/>
      <c r="Y387" s="12">
        <f>IF(V387="","",IFERROR(INDEX(DAFTAR_FIXTURE!$B$2:$B$51,MATCH(V387,DAFTAR_FIXTURE!$A$2:$A$51,0)),""))</f>
        <v/>
      </c>
      <c r="Z387" s="12">
        <f>IF(V387="","",IF(Y387="","CEK ID FIXTURE tidak ada di DAFTAR_FIXTURE",IF(W387="","CEK ZONA NO kosong",IF(ISNA(MATCH(Y387&amp;"|"&amp;W387,LAYOUT!$E$2:$E$80,0)),"CEK ZONA NO di luar layout",IF(X387&lt;&gt;INDEX(LAYOUT!$D$2:$D$80,MATCH(Y387&amp;"|"&amp;W387,LAYOUT!$E$2:$E$80,0)),"CEK JENIS ZONA",IF($D387="","Zona STOCK",IF($E387="","CEK SKU DESCRIPTION kosong","OK")))))))</f>
        <v/>
      </c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1" t="n"/>
      <c r="M388" s="11" t="n"/>
      <c r="N388" s="11" t="n"/>
      <c r="O388" s="12">
        <f>IF(L388="","",IFERROR(INDEX(DAFTAR_FIXTURE!$B$2:$B$51,MATCH(L388,DAFTAR_FIXTURE!$A$2:$A$51,0)),""))</f>
        <v/>
      </c>
      <c r="P388" s="12">
        <f>IF(AND($D388="",L388=""),"",IF(L388="",IF(AND(Q388="",V388=""),"Belum ditempatkan",""),IF(O388="","CEK ID FIXTURE tidak ada di DAFTAR_FIXTURE",IF(M388="","CEK ZONA NO kosong",IF(ISNA(MATCH(O388&amp;"|"&amp;M388,LAYOUT!$E$2:$E$80,0)),"CEK ZONA NO di luar layout",IF(N388&lt;&gt;INDEX(LAYOUT!$D$2:$D$80,MATCH(O388&amp;"|"&amp;M388,LAYOUT!$E$2:$E$80,0)),"CEK JENIS ZONA",IF($D388="","Zona STOCK",IF($E388="","CEK SKU DESCRIPTION kosong","OK"))))))))</f>
        <v/>
      </c>
      <c r="Q388" s="11" t="n"/>
      <c r="R388" s="11" t="n"/>
      <c r="S388" s="11" t="n"/>
      <c r="T388" s="12">
        <f>IF(Q388="","",IFERROR(INDEX(DAFTAR_FIXTURE!$B$2:$B$51,MATCH(Q388,DAFTAR_FIXTURE!$A$2:$A$51,0)),""))</f>
        <v/>
      </c>
      <c r="U388" s="12">
        <f>IF(Q388="","",IF(T388="","CEK ID FIXTURE tidak ada di DAFTAR_FIXTURE",IF(R388="","CEK ZONA NO kosong",IF(ISNA(MATCH(T388&amp;"|"&amp;R388,LAYOUT!$E$2:$E$80,0)),"CEK ZONA NO di luar layout",IF(S388&lt;&gt;INDEX(LAYOUT!$D$2:$D$80,MATCH(T388&amp;"|"&amp;R388,LAYOUT!$E$2:$E$80,0)),"CEK JENIS ZONA",IF($D388="","Zona STOCK",IF($E388="","CEK SKU DESCRIPTION kosong","OK")))))))</f>
        <v/>
      </c>
      <c r="V388" s="11" t="n"/>
      <c r="W388" s="11" t="n"/>
      <c r="X388" s="11" t="n"/>
      <c r="Y388" s="12">
        <f>IF(V388="","",IFERROR(INDEX(DAFTAR_FIXTURE!$B$2:$B$51,MATCH(V388,DAFTAR_FIXTURE!$A$2:$A$51,0)),""))</f>
        <v/>
      </c>
      <c r="Z388" s="12">
        <f>IF(V388="","",IF(Y388="","CEK ID FIXTURE tidak ada di DAFTAR_FIXTURE",IF(W388="","CEK ZONA NO kosong",IF(ISNA(MATCH(Y388&amp;"|"&amp;W388,LAYOUT!$E$2:$E$80,0)),"CEK ZONA NO di luar layout",IF(X388&lt;&gt;INDEX(LAYOUT!$D$2:$D$80,MATCH(Y388&amp;"|"&amp;W388,LAYOUT!$E$2:$E$80,0)),"CEK JENIS ZONA",IF($D388="","Zona STOCK",IF($E388="","CEK SKU DESCRIPTION kosong","OK")))))))</f>
        <v/>
      </c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1" t="n"/>
      <c r="M389" s="11" t="n"/>
      <c r="N389" s="11" t="n"/>
      <c r="O389" s="12">
        <f>IF(L389="","",IFERROR(INDEX(DAFTAR_FIXTURE!$B$2:$B$51,MATCH(L389,DAFTAR_FIXTURE!$A$2:$A$51,0)),""))</f>
        <v/>
      </c>
      <c r="P389" s="12">
        <f>IF(AND($D389="",L389=""),"",IF(L389="",IF(AND(Q389="",V389=""),"Belum ditempatkan",""),IF(O389="","CEK ID FIXTURE tidak ada di DAFTAR_FIXTURE",IF(M389="","CEK ZONA NO kosong",IF(ISNA(MATCH(O389&amp;"|"&amp;M389,LAYOUT!$E$2:$E$80,0)),"CEK ZONA NO di luar layout",IF(N389&lt;&gt;INDEX(LAYOUT!$D$2:$D$80,MATCH(O389&amp;"|"&amp;M389,LAYOUT!$E$2:$E$80,0)),"CEK JENIS ZONA",IF($D389="","Zona STOCK",IF($E389="","CEK SKU DESCRIPTION kosong","OK"))))))))</f>
        <v/>
      </c>
      <c r="Q389" s="11" t="n"/>
      <c r="R389" s="11" t="n"/>
      <c r="S389" s="11" t="n"/>
      <c r="T389" s="12">
        <f>IF(Q389="","",IFERROR(INDEX(DAFTAR_FIXTURE!$B$2:$B$51,MATCH(Q389,DAFTAR_FIXTURE!$A$2:$A$51,0)),""))</f>
        <v/>
      </c>
      <c r="U389" s="12">
        <f>IF(Q389="","",IF(T389="","CEK ID FIXTURE tidak ada di DAFTAR_FIXTURE",IF(R389="","CEK ZONA NO kosong",IF(ISNA(MATCH(T389&amp;"|"&amp;R389,LAYOUT!$E$2:$E$80,0)),"CEK ZONA NO di luar layout",IF(S389&lt;&gt;INDEX(LAYOUT!$D$2:$D$80,MATCH(T389&amp;"|"&amp;R389,LAYOUT!$E$2:$E$80,0)),"CEK JENIS ZONA",IF($D389="","Zona STOCK",IF($E389="","CEK SKU DESCRIPTION kosong","OK")))))))</f>
        <v/>
      </c>
      <c r="V389" s="11" t="n"/>
      <c r="W389" s="11" t="n"/>
      <c r="X389" s="11" t="n"/>
      <c r="Y389" s="12">
        <f>IF(V389="","",IFERROR(INDEX(DAFTAR_FIXTURE!$B$2:$B$51,MATCH(V389,DAFTAR_FIXTURE!$A$2:$A$51,0)),""))</f>
        <v/>
      </c>
      <c r="Z389" s="12">
        <f>IF(V389="","",IF(Y389="","CEK ID FIXTURE tidak ada di DAFTAR_FIXTURE",IF(W389="","CEK ZONA NO kosong",IF(ISNA(MATCH(Y389&amp;"|"&amp;W389,LAYOUT!$E$2:$E$80,0)),"CEK ZONA NO di luar layout",IF(X389&lt;&gt;INDEX(LAYOUT!$D$2:$D$80,MATCH(Y389&amp;"|"&amp;W389,LAYOUT!$E$2:$E$80,0)),"CEK JENIS ZONA",IF($D389="","Zona STOCK",IF($E389="","CEK SKU DESCRIPTION kosong","OK")))))))</f>
        <v/>
      </c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1" t="n"/>
      <c r="M390" s="11" t="n"/>
      <c r="N390" s="11" t="n"/>
      <c r="O390" s="12">
        <f>IF(L390="","",IFERROR(INDEX(DAFTAR_FIXTURE!$B$2:$B$51,MATCH(L390,DAFTAR_FIXTURE!$A$2:$A$51,0)),""))</f>
        <v/>
      </c>
      <c r="P390" s="12">
        <f>IF(AND($D390="",L390=""),"",IF(L390="",IF(AND(Q390="",V390=""),"Belum ditempatkan",""),IF(O390="","CEK ID FIXTURE tidak ada di DAFTAR_FIXTURE",IF(M390="","CEK ZONA NO kosong",IF(ISNA(MATCH(O390&amp;"|"&amp;M390,LAYOUT!$E$2:$E$80,0)),"CEK ZONA NO di luar layout",IF(N390&lt;&gt;INDEX(LAYOUT!$D$2:$D$80,MATCH(O390&amp;"|"&amp;M390,LAYOUT!$E$2:$E$80,0)),"CEK JENIS ZONA",IF($D390="","Zona STOCK",IF($E390="","CEK SKU DESCRIPTION kosong","OK"))))))))</f>
        <v/>
      </c>
      <c r="Q390" s="11" t="n"/>
      <c r="R390" s="11" t="n"/>
      <c r="S390" s="11" t="n"/>
      <c r="T390" s="12">
        <f>IF(Q390="","",IFERROR(INDEX(DAFTAR_FIXTURE!$B$2:$B$51,MATCH(Q390,DAFTAR_FIXTURE!$A$2:$A$51,0)),""))</f>
        <v/>
      </c>
      <c r="U390" s="12">
        <f>IF(Q390="","",IF(T390="","CEK ID FIXTURE tidak ada di DAFTAR_FIXTURE",IF(R390="","CEK ZONA NO kosong",IF(ISNA(MATCH(T390&amp;"|"&amp;R390,LAYOUT!$E$2:$E$80,0)),"CEK ZONA NO di luar layout",IF(S390&lt;&gt;INDEX(LAYOUT!$D$2:$D$80,MATCH(T390&amp;"|"&amp;R390,LAYOUT!$E$2:$E$80,0)),"CEK JENIS ZONA",IF($D390="","Zona STOCK",IF($E390="","CEK SKU DESCRIPTION kosong","OK")))))))</f>
        <v/>
      </c>
      <c r="V390" s="11" t="n"/>
      <c r="W390" s="11" t="n"/>
      <c r="X390" s="11" t="n"/>
      <c r="Y390" s="12">
        <f>IF(V390="","",IFERROR(INDEX(DAFTAR_FIXTURE!$B$2:$B$51,MATCH(V390,DAFTAR_FIXTURE!$A$2:$A$51,0)),""))</f>
        <v/>
      </c>
      <c r="Z390" s="12">
        <f>IF(V390="","",IF(Y390="","CEK ID FIXTURE tidak ada di DAFTAR_FIXTURE",IF(W390="","CEK ZONA NO kosong",IF(ISNA(MATCH(Y390&amp;"|"&amp;W390,LAYOUT!$E$2:$E$80,0)),"CEK ZONA NO di luar layout",IF(X390&lt;&gt;INDEX(LAYOUT!$D$2:$D$80,MATCH(Y390&amp;"|"&amp;W390,LAYOUT!$E$2:$E$80,0)),"CEK JENIS ZONA",IF($D390="","Zona STOCK",IF($E390="","CEK SKU DESCRIPTION kosong","OK")))))))</f>
        <v/>
      </c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1" t="n"/>
      <c r="M391" s="11" t="n"/>
      <c r="N391" s="11" t="n"/>
      <c r="O391" s="12">
        <f>IF(L391="","",IFERROR(INDEX(DAFTAR_FIXTURE!$B$2:$B$51,MATCH(L391,DAFTAR_FIXTURE!$A$2:$A$51,0)),""))</f>
        <v/>
      </c>
      <c r="P391" s="12">
        <f>IF(AND($D391="",L391=""),"",IF(L391="",IF(AND(Q391="",V391=""),"Belum ditempatkan",""),IF(O391="","CEK ID FIXTURE tidak ada di DAFTAR_FIXTURE",IF(M391="","CEK ZONA NO kosong",IF(ISNA(MATCH(O391&amp;"|"&amp;M391,LAYOUT!$E$2:$E$80,0)),"CEK ZONA NO di luar layout",IF(N391&lt;&gt;INDEX(LAYOUT!$D$2:$D$80,MATCH(O391&amp;"|"&amp;M391,LAYOUT!$E$2:$E$80,0)),"CEK JENIS ZONA",IF($D391="","Zona STOCK",IF($E391="","CEK SKU DESCRIPTION kosong","OK"))))))))</f>
        <v/>
      </c>
      <c r="Q391" s="11" t="n"/>
      <c r="R391" s="11" t="n"/>
      <c r="S391" s="11" t="n"/>
      <c r="T391" s="12">
        <f>IF(Q391="","",IFERROR(INDEX(DAFTAR_FIXTURE!$B$2:$B$51,MATCH(Q391,DAFTAR_FIXTURE!$A$2:$A$51,0)),""))</f>
        <v/>
      </c>
      <c r="U391" s="12">
        <f>IF(Q391="","",IF(T391="","CEK ID FIXTURE tidak ada di DAFTAR_FIXTURE",IF(R391="","CEK ZONA NO kosong",IF(ISNA(MATCH(T391&amp;"|"&amp;R391,LAYOUT!$E$2:$E$80,0)),"CEK ZONA NO di luar layout",IF(S391&lt;&gt;INDEX(LAYOUT!$D$2:$D$80,MATCH(T391&amp;"|"&amp;R391,LAYOUT!$E$2:$E$80,0)),"CEK JENIS ZONA",IF($D391="","Zona STOCK",IF($E391="","CEK SKU DESCRIPTION kosong","OK")))))))</f>
        <v/>
      </c>
      <c r="V391" s="11" t="n"/>
      <c r="W391" s="11" t="n"/>
      <c r="X391" s="11" t="n"/>
      <c r="Y391" s="12">
        <f>IF(V391="","",IFERROR(INDEX(DAFTAR_FIXTURE!$B$2:$B$51,MATCH(V391,DAFTAR_FIXTURE!$A$2:$A$51,0)),""))</f>
        <v/>
      </c>
      <c r="Z391" s="12">
        <f>IF(V391="","",IF(Y391="","CEK ID FIXTURE tidak ada di DAFTAR_FIXTURE",IF(W391="","CEK ZONA NO kosong",IF(ISNA(MATCH(Y391&amp;"|"&amp;W391,LAYOUT!$E$2:$E$80,0)),"CEK ZONA NO di luar layout",IF(X391&lt;&gt;INDEX(LAYOUT!$D$2:$D$80,MATCH(Y391&amp;"|"&amp;W391,LAYOUT!$E$2:$E$80,0)),"CEK JENIS ZONA",IF($D391="","Zona STOCK",IF($E391="","CEK SKU DESCRIPTION kosong","OK")))))))</f>
        <v/>
      </c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1" t="n"/>
      <c r="M392" s="11" t="n"/>
      <c r="N392" s="11" t="n"/>
      <c r="O392" s="12">
        <f>IF(L392="","",IFERROR(INDEX(DAFTAR_FIXTURE!$B$2:$B$51,MATCH(L392,DAFTAR_FIXTURE!$A$2:$A$51,0)),""))</f>
        <v/>
      </c>
      <c r="P392" s="12">
        <f>IF(AND($D392="",L392=""),"",IF(L392="",IF(AND(Q392="",V392=""),"Belum ditempatkan",""),IF(O392="","CEK ID FIXTURE tidak ada di DAFTAR_FIXTURE",IF(M392="","CEK ZONA NO kosong",IF(ISNA(MATCH(O392&amp;"|"&amp;M392,LAYOUT!$E$2:$E$80,0)),"CEK ZONA NO di luar layout",IF(N392&lt;&gt;INDEX(LAYOUT!$D$2:$D$80,MATCH(O392&amp;"|"&amp;M392,LAYOUT!$E$2:$E$80,0)),"CEK JENIS ZONA",IF($D392="","Zona STOCK",IF($E392="","CEK SKU DESCRIPTION kosong","OK"))))))))</f>
        <v/>
      </c>
      <c r="Q392" s="11" t="n"/>
      <c r="R392" s="11" t="n"/>
      <c r="S392" s="11" t="n"/>
      <c r="T392" s="12">
        <f>IF(Q392="","",IFERROR(INDEX(DAFTAR_FIXTURE!$B$2:$B$51,MATCH(Q392,DAFTAR_FIXTURE!$A$2:$A$51,0)),""))</f>
        <v/>
      </c>
      <c r="U392" s="12">
        <f>IF(Q392="","",IF(T392="","CEK ID FIXTURE tidak ada di DAFTAR_FIXTURE",IF(R392="","CEK ZONA NO kosong",IF(ISNA(MATCH(T392&amp;"|"&amp;R392,LAYOUT!$E$2:$E$80,0)),"CEK ZONA NO di luar layout",IF(S392&lt;&gt;INDEX(LAYOUT!$D$2:$D$80,MATCH(T392&amp;"|"&amp;R392,LAYOUT!$E$2:$E$80,0)),"CEK JENIS ZONA",IF($D392="","Zona STOCK",IF($E392="","CEK SKU DESCRIPTION kosong","OK")))))))</f>
        <v/>
      </c>
      <c r="V392" s="11" t="n"/>
      <c r="W392" s="11" t="n"/>
      <c r="X392" s="11" t="n"/>
      <c r="Y392" s="12">
        <f>IF(V392="","",IFERROR(INDEX(DAFTAR_FIXTURE!$B$2:$B$51,MATCH(V392,DAFTAR_FIXTURE!$A$2:$A$51,0)),""))</f>
        <v/>
      </c>
      <c r="Z392" s="12">
        <f>IF(V392="","",IF(Y392="","CEK ID FIXTURE tidak ada di DAFTAR_FIXTURE",IF(W392="","CEK ZONA NO kosong",IF(ISNA(MATCH(Y392&amp;"|"&amp;W392,LAYOUT!$E$2:$E$80,0)),"CEK ZONA NO di luar layout",IF(X392&lt;&gt;INDEX(LAYOUT!$D$2:$D$80,MATCH(Y392&amp;"|"&amp;W392,LAYOUT!$E$2:$E$80,0)),"CEK JENIS ZONA",IF($D392="","Zona STOCK",IF($E392="","CEK SKU DESCRIPTION kosong","OK")))))))</f>
        <v/>
      </c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1" t="n"/>
      <c r="M393" s="11" t="n"/>
      <c r="N393" s="11" t="n"/>
      <c r="O393" s="12">
        <f>IF(L393="","",IFERROR(INDEX(DAFTAR_FIXTURE!$B$2:$B$51,MATCH(L393,DAFTAR_FIXTURE!$A$2:$A$51,0)),""))</f>
        <v/>
      </c>
      <c r="P393" s="12">
        <f>IF(AND($D393="",L393=""),"",IF(L393="",IF(AND(Q393="",V393=""),"Belum ditempatkan",""),IF(O393="","CEK ID FIXTURE tidak ada di DAFTAR_FIXTURE",IF(M393="","CEK ZONA NO kosong",IF(ISNA(MATCH(O393&amp;"|"&amp;M393,LAYOUT!$E$2:$E$80,0)),"CEK ZONA NO di luar layout",IF(N393&lt;&gt;INDEX(LAYOUT!$D$2:$D$80,MATCH(O393&amp;"|"&amp;M393,LAYOUT!$E$2:$E$80,0)),"CEK JENIS ZONA",IF($D393="","Zona STOCK",IF($E393="","CEK SKU DESCRIPTION kosong","OK"))))))))</f>
        <v/>
      </c>
      <c r="Q393" s="11" t="n"/>
      <c r="R393" s="11" t="n"/>
      <c r="S393" s="11" t="n"/>
      <c r="T393" s="12">
        <f>IF(Q393="","",IFERROR(INDEX(DAFTAR_FIXTURE!$B$2:$B$51,MATCH(Q393,DAFTAR_FIXTURE!$A$2:$A$51,0)),""))</f>
        <v/>
      </c>
      <c r="U393" s="12">
        <f>IF(Q393="","",IF(T393="","CEK ID FIXTURE tidak ada di DAFTAR_FIXTURE",IF(R393="","CEK ZONA NO kosong",IF(ISNA(MATCH(T393&amp;"|"&amp;R393,LAYOUT!$E$2:$E$80,0)),"CEK ZONA NO di luar layout",IF(S393&lt;&gt;INDEX(LAYOUT!$D$2:$D$80,MATCH(T393&amp;"|"&amp;R393,LAYOUT!$E$2:$E$80,0)),"CEK JENIS ZONA",IF($D393="","Zona STOCK",IF($E393="","CEK SKU DESCRIPTION kosong","OK")))))))</f>
        <v/>
      </c>
      <c r="V393" s="11" t="n"/>
      <c r="W393" s="11" t="n"/>
      <c r="X393" s="11" t="n"/>
      <c r="Y393" s="12">
        <f>IF(V393="","",IFERROR(INDEX(DAFTAR_FIXTURE!$B$2:$B$51,MATCH(V393,DAFTAR_FIXTURE!$A$2:$A$51,0)),""))</f>
        <v/>
      </c>
      <c r="Z393" s="12">
        <f>IF(V393="","",IF(Y393="","CEK ID FIXTURE tidak ada di DAFTAR_FIXTURE",IF(W393="","CEK ZONA NO kosong",IF(ISNA(MATCH(Y393&amp;"|"&amp;W393,LAYOUT!$E$2:$E$80,0)),"CEK ZONA NO di luar layout",IF(X393&lt;&gt;INDEX(LAYOUT!$D$2:$D$80,MATCH(Y393&amp;"|"&amp;W393,LAYOUT!$E$2:$E$80,0)),"CEK JENIS ZONA",IF($D393="","Zona STOCK",IF($E393="","CEK SKU DESCRIPTION kosong","OK")))))))</f>
        <v/>
      </c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1" t="n"/>
      <c r="M394" s="11" t="n"/>
      <c r="N394" s="11" t="n"/>
      <c r="O394" s="12">
        <f>IF(L394="","",IFERROR(INDEX(DAFTAR_FIXTURE!$B$2:$B$51,MATCH(L394,DAFTAR_FIXTURE!$A$2:$A$51,0)),""))</f>
        <v/>
      </c>
      <c r="P394" s="12">
        <f>IF(AND($D394="",L394=""),"",IF(L394="",IF(AND(Q394="",V394=""),"Belum ditempatkan",""),IF(O394="","CEK ID FIXTURE tidak ada di DAFTAR_FIXTURE",IF(M394="","CEK ZONA NO kosong",IF(ISNA(MATCH(O394&amp;"|"&amp;M394,LAYOUT!$E$2:$E$80,0)),"CEK ZONA NO di luar layout",IF(N394&lt;&gt;INDEX(LAYOUT!$D$2:$D$80,MATCH(O394&amp;"|"&amp;M394,LAYOUT!$E$2:$E$80,0)),"CEK JENIS ZONA",IF($D394="","Zona STOCK",IF($E394="","CEK SKU DESCRIPTION kosong","OK"))))))))</f>
        <v/>
      </c>
      <c r="Q394" s="11" t="n"/>
      <c r="R394" s="11" t="n"/>
      <c r="S394" s="11" t="n"/>
      <c r="T394" s="12">
        <f>IF(Q394="","",IFERROR(INDEX(DAFTAR_FIXTURE!$B$2:$B$51,MATCH(Q394,DAFTAR_FIXTURE!$A$2:$A$51,0)),""))</f>
        <v/>
      </c>
      <c r="U394" s="12">
        <f>IF(Q394="","",IF(T394="","CEK ID FIXTURE tidak ada di DAFTAR_FIXTURE",IF(R394="","CEK ZONA NO kosong",IF(ISNA(MATCH(T394&amp;"|"&amp;R394,LAYOUT!$E$2:$E$80,0)),"CEK ZONA NO di luar layout",IF(S394&lt;&gt;INDEX(LAYOUT!$D$2:$D$80,MATCH(T394&amp;"|"&amp;R394,LAYOUT!$E$2:$E$80,0)),"CEK JENIS ZONA",IF($D394="","Zona STOCK",IF($E394="","CEK SKU DESCRIPTION kosong","OK")))))))</f>
        <v/>
      </c>
      <c r="V394" s="11" t="n"/>
      <c r="W394" s="11" t="n"/>
      <c r="X394" s="11" t="n"/>
      <c r="Y394" s="12">
        <f>IF(V394="","",IFERROR(INDEX(DAFTAR_FIXTURE!$B$2:$B$51,MATCH(V394,DAFTAR_FIXTURE!$A$2:$A$51,0)),""))</f>
        <v/>
      </c>
      <c r="Z394" s="12">
        <f>IF(V394="","",IF(Y394="","CEK ID FIXTURE tidak ada di DAFTAR_FIXTURE",IF(W394="","CEK ZONA NO kosong",IF(ISNA(MATCH(Y394&amp;"|"&amp;W394,LAYOUT!$E$2:$E$80,0)),"CEK ZONA NO di luar layout",IF(X394&lt;&gt;INDEX(LAYOUT!$D$2:$D$80,MATCH(Y394&amp;"|"&amp;W394,LAYOUT!$E$2:$E$80,0)),"CEK JENIS ZONA",IF($D394="","Zona STOCK",IF($E394="","CEK SKU DESCRIPTION kosong","OK")))))))</f>
        <v/>
      </c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1" t="n"/>
      <c r="M395" s="11" t="n"/>
      <c r="N395" s="11" t="n"/>
      <c r="O395" s="12">
        <f>IF(L395="","",IFERROR(INDEX(DAFTAR_FIXTURE!$B$2:$B$51,MATCH(L395,DAFTAR_FIXTURE!$A$2:$A$51,0)),""))</f>
        <v/>
      </c>
      <c r="P395" s="12">
        <f>IF(AND($D395="",L395=""),"",IF(L395="",IF(AND(Q395="",V395=""),"Belum ditempatkan",""),IF(O395="","CEK ID FIXTURE tidak ada di DAFTAR_FIXTURE",IF(M395="","CEK ZONA NO kosong",IF(ISNA(MATCH(O395&amp;"|"&amp;M395,LAYOUT!$E$2:$E$80,0)),"CEK ZONA NO di luar layout",IF(N395&lt;&gt;INDEX(LAYOUT!$D$2:$D$80,MATCH(O395&amp;"|"&amp;M395,LAYOUT!$E$2:$E$80,0)),"CEK JENIS ZONA",IF($D395="","Zona STOCK",IF($E395="","CEK SKU DESCRIPTION kosong","OK"))))))))</f>
        <v/>
      </c>
      <c r="Q395" s="11" t="n"/>
      <c r="R395" s="11" t="n"/>
      <c r="S395" s="11" t="n"/>
      <c r="T395" s="12">
        <f>IF(Q395="","",IFERROR(INDEX(DAFTAR_FIXTURE!$B$2:$B$51,MATCH(Q395,DAFTAR_FIXTURE!$A$2:$A$51,0)),""))</f>
        <v/>
      </c>
      <c r="U395" s="12">
        <f>IF(Q395="","",IF(T395="","CEK ID FIXTURE tidak ada di DAFTAR_FIXTURE",IF(R395="","CEK ZONA NO kosong",IF(ISNA(MATCH(T395&amp;"|"&amp;R395,LAYOUT!$E$2:$E$80,0)),"CEK ZONA NO di luar layout",IF(S395&lt;&gt;INDEX(LAYOUT!$D$2:$D$80,MATCH(T395&amp;"|"&amp;R395,LAYOUT!$E$2:$E$80,0)),"CEK JENIS ZONA",IF($D395="","Zona STOCK",IF($E395="","CEK SKU DESCRIPTION kosong","OK")))))))</f>
        <v/>
      </c>
      <c r="V395" s="11" t="n"/>
      <c r="W395" s="11" t="n"/>
      <c r="X395" s="11" t="n"/>
      <c r="Y395" s="12">
        <f>IF(V395="","",IFERROR(INDEX(DAFTAR_FIXTURE!$B$2:$B$51,MATCH(V395,DAFTAR_FIXTURE!$A$2:$A$51,0)),""))</f>
        <v/>
      </c>
      <c r="Z395" s="12">
        <f>IF(V395="","",IF(Y395="","CEK ID FIXTURE tidak ada di DAFTAR_FIXTURE",IF(W395="","CEK ZONA NO kosong",IF(ISNA(MATCH(Y395&amp;"|"&amp;W395,LAYOUT!$E$2:$E$80,0)),"CEK ZONA NO di luar layout",IF(X395&lt;&gt;INDEX(LAYOUT!$D$2:$D$80,MATCH(Y395&amp;"|"&amp;W395,LAYOUT!$E$2:$E$80,0)),"CEK JENIS ZONA",IF($D395="","Zona STOCK",IF($E395="","CEK SKU DESCRIPTION kosong","OK")))))))</f>
        <v/>
      </c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1" t="n"/>
      <c r="M396" s="11" t="n"/>
      <c r="N396" s="11" t="n"/>
      <c r="O396" s="12">
        <f>IF(L396="","",IFERROR(INDEX(DAFTAR_FIXTURE!$B$2:$B$51,MATCH(L396,DAFTAR_FIXTURE!$A$2:$A$51,0)),""))</f>
        <v/>
      </c>
      <c r="P396" s="12">
        <f>IF(AND($D396="",L396=""),"",IF(L396="",IF(AND(Q396="",V396=""),"Belum ditempatkan",""),IF(O396="","CEK ID FIXTURE tidak ada di DAFTAR_FIXTURE",IF(M396="","CEK ZONA NO kosong",IF(ISNA(MATCH(O396&amp;"|"&amp;M396,LAYOUT!$E$2:$E$80,0)),"CEK ZONA NO di luar layout",IF(N396&lt;&gt;INDEX(LAYOUT!$D$2:$D$80,MATCH(O396&amp;"|"&amp;M396,LAYOUT!$E$2:$E$80,0)),"CEK JENIS ZONA",IF($D396="","Zona STOCK",IF($E396="","CEK SKU DESCRIPTION kosong","OK"))))))))</f>
        <v/>
      </c>
      <c r="Q396" s="11" t="n"/>
      <c r="R396" s="11" t="n"/>
      <c r="S396" s="11" t="n"/>
      <c r="T396" s="12">
        <f>IF(Q396="","",IFERROR(INDEX(DAFTAR_FIXTURE!$B$2:$B$51,MATCH(Q396,DAFTAR_FIXTURE!$A$2:$A$51,0)),""))</f>
        <v/>
      </c>
      <c r="U396" s="12">
        <f>IF(Q396="","",IF(T396="","CEK ID FIXTURE tidak ada di DAFTAR_FIXTURE",IF(R396="","CEK ZONA NO kosong",IF(ISNA(MATCH(T396&amp;"|"&amp;R396,LAYOUT!$E$2:$E$80,0)),"CEK ZONA NO di luar layout",IF(S396&lt;&gt;INDEX(LAYOUT!$D$2:$D$80,MATCH(T396&amp;"|"&amp;R396,LAYOUT!$E$2:$E$80,0)),"CEK JENIS ZONA",IF($D396="","Zona STOCK",IF($E396="","CEK SKU DESCRIPTION kosong","OK")))))))</f>
        <v/>
      </c>
      <c r="V396" s="11" t="n"/>
      <c r="W396" s="11" t="n"/>
      <c r="X396" s="11" t="n"/>
      <c r="Y396" s="12">
        <f>IF(V396="","",IFERROR(INDEX(DAFTAR_FIXTURE!$B$2:$B$51,MATCH(V396,DAFTAR_FIXTURE!$A$2:$A$51,0)),""))</f>
        <v/>
      </c>
      <c r="Z396" s="12">
        <f>IF(V396="","",IF(Y396="","CEK ID FIXTURE tidak ada di DAFTAR_FIXTURE",IF(W396="","CEK ZONA NO kosong",IF(ISNA(MATCH(Y396&amp;"|"&amp;W396,LAYOUT!$E$2:$E$80,0)),"CEK ZONA NO di luar layout",IF(X396&lt;&gt;INDEX(LAYOUT!$D$2:$D$80,MATCH(Y396&amp;"|"&amp;W396,LAYOUT!$E$2:$E$80,0)),"CEK JENIS ZONA",IF($D396="","Zona STOCK",IF($E396="","CEK SKU DESCRIPTION kosong","OK")))))))</f>
        <v/>
      </c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1" t="n"/>
      <c r="M397" s="11" t="n"/>
      <c r="N397" s="11" t="n"/>
      <c r="O397" s="12">
        <f>IF(L397="","",IFERROR(INDEX(DAFTAR_FIXTURE!$B$2:$B$51,MATCH(L397,DAFTAR_FIXTURE!$A$2:$A$51,0)),""))</f>
        <v/>
      </c>
      <c r="P397" s="12">
        <f>IF(AND($D397="",L397=""),"",IF(L397="",IF(AND(Q397="",V397=""),"Belum ditempatkan",""),IF(O397="","CEK ID FIXTURE tidak ada di DAFTAR_FIXTURE",IF(M397="","CEK ZONA NO kosong",IF(ISNA(MATCH(O397&amp;"|"&amp;M397,LAYOUT!$E$2:$E$80,0)),"CEK ZONA NO di luar layout",IF(N397&lt;&gt;INDEX(LAYOUT!$D$2:$D$80,MATCH(O397&amp;"|"&amp;M397,LAYOUT!$E$2:$E$80,0)),"CEK JENIS ZONA",IF($D397="","Zona STOCK",IF($E397="","CEK SKU DESCRIPTION kosong","OK"))))))))</f>
        <v/>
      </c>
      <c r="Q397" s="11" t="n"/>
      <c r="R397" s="11" t="n"/>
      <c r="S397" s="11" t="n"/>
      <c r="T397" s="12">
        <f>IF(Q397="","",IFERROR(INDEX(DAFTAR_FIXTURE!$B$2:$B$51,MATCH(Q397,DAFTAR_FIXTURE!$A$2:$A$51,0)),""))</f>
        <v/>
      </c>
      <c r="U397" s="12">
        <f>IF(Q397="","",IF(T397="","CEK ID FIXTURE tidak ada di DAFTAR_FIXTURE",IF(R397="","CEK ZONA NO kosong",IF(ISNA(MATCH(T397&amp;"|"&amp;R397,LAYOUT!$E$2:$E$80,0)),"CEK ZONA NO di luar layout",IF(S397&lt;&gt;INDEX(LAYOUT!$D$2:$D$80,MATCH(T397&amp;"|"&amp;R397,LAYOUT!$E$2:$E$80,0)),"CEK JENIS ZONA",IF($D397="","Zona STOCK",IF($E397="","CEK SKU DESCRIPTION kosong","OK")))))))</f>
        <v/>
      </c>
      <c r="V397" s="11" t="n"/>
      <c r="W397" s="11" t="n"/>
      <c r="X397" s="11" t="n"/>
      <c r="Y397" s="12">
        <f>IF(V397="","",IFERROR(INDEX(DAFTAR_FIXTURE!$B$2:$B$51,MATCH(V397,DAFTAR_FIXTURE!$A$2:$A$51,0)),""))</f>
        <v/>
      </c>
      <c r="Z397" s="12">
        <f>IF(V397="","",IF(Y397="","CEK ID FIXTURE tidak ada di DAFTAR_FIXTURE",IF(W397="","CEK ZONA NO kosong",IF(ISNA(MATCH(Y397&amp;"|"&amp;W397,LAYOUT!$E$2:$E$80,0)),"CEK ZONA NO di luar layout",IF(X397&lt;&gt;INDEX(LAYOUT!$D$2:$D$80,MATCH(Y397&amp;"|"&amp;W397,LAYOUT!$E$2:$E$80,0)),"CEK JENIS ZONA",IF($D397="","Zona STOCK",IF($E397="","CEK SKU DESCRIPTION kosong","OK")))))))</f>
        <v/>
      </c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1" t="n"/>
      <c r="M398" s="11" t="n"/>
      <c r="N398" s="11" t="n"/>
      <c r="O398" s="12">
        <f>IF(L398="","",IFERROR(INDEX(DAFTAR_FIXTURE!$B$2:$B$51,MATCH(L398,DAFTAR_FIXTURE!$A$2:$A$51,0)),""))</f>
        <v/>
      </c>
      <c r="P398" s="12">
        <f>IF(AND($D398="",L398=""),"",IF(L398="",IF(AND(Q398="",V398=""),"Belum ditempatkan",""),IF(O398="","CEK ID FIXTURE tidak ada di DAFTAR_FIXTURE",IF(M398="","CEK ZONA NO kosong",IF(ISNA(MATCH(O398&amp;"|"&amp;M398,LAYOUT!$E$2:$E$80,0)),"CEK ZONA NO di luar layout",IF(N398&lt;&gt;INDEX(LAYOUT!$D$2:$D$80,MATCH(O398&amp;"|"&amp;M398,LAYOUT!$E$2:$E$80,0)),"CEK JENIS ZONA",IF($D398="","Zona STOCK",IF($E398="","CEK SKU DESCRIPTION kosong","OK"))))))))</f>
        <v/>
      </c>
      <c r="Q398" s="11" t="n"/>
      <c r="R398" s="11" t="n"/>
      <c r="S398" s="11" t="n"/>
      <c r="T398" s="12">
        <f>IF(Q398="","",IFERROR(INDEX(DAFTAR_FIXTURE!$B$2:$B$51,MATCH(Q398,DAFTAR_FIXTURE!$A$2:$A$51,0)),""))</f>
        <v/>
      </c>
      <c r="U398" s="12">
        <f>IF(Q398="","",IF(T398="","CEK ID FIXTURE tidak ada di DAFTAR_FIXTURE",IF(R398="","CEK ZONA NO kosong",IF(ISNA(MATCH(T398&amp;"|"&amp;R398,LAYOUT!$E$2:$E$80,0)),"CEK ZONA NO di luar layout",IF(S398&lt;&gt;INDEX(LAYOUT!$D$2:$D$80,MATCH(T398&amp;"|"&amp;R398,LAYOUT!$E$2:$E$80,0)),"CEK JENIS ZONA",IF($D398="","Zona STOCK",IF($E398="","CEK SKU DESCRIPTION kosong","OK")))))))</f>
        <v/>
      </c>
      <c r="V398" s="11" t="n"/>
      <c r="W398" s="11" t="n"/>
      <c r="X398" s="11" t="n"/>
      <c r="Y398" s="12">
        <f>IF(V398="","",IFERROR(INDEX(DAFTAR_FIXTURE!$B$2:$B$51,MATCH(V398,DAFTAR_FIXTURE!$A$2:$A$51,0)),""))</f>
        <v/>
      </c>
      <c r="Z398" s="12">
        <f>IF(V398="","",IF(Y398="","CEK ID FIXTURE tidak ada di DAFTAR_FIXTURE",IF(W398="","CEK ZONA NO kosong",IF(ISNA(MATCH(Y398&amp;"|"&amp;W398,LAYOUT!$E$2:$E$80,0)),"CEK ZONA NO di luar layout",IF(X398&lt;&gt;INDEX(LAYOUT!$D$2:$D$80,MATCH(Y398&amp;"|"&amp;W398,LAYOUT!$E$2:$E$80,0)),"CEK JENIS ZONA",IF($D398="","Zona STOCK",IF($E398="","CEK SKU DESCRIPTION kosong","OK")))))))</f>
        <v/>
      </c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1" t="n"/>
      <c r="M399" s="11" t="n"/>
      <c r="N399" s="11" t="n"/>
      <c r="O399" s="12">
        <f>IF(L399="","",IFERROR(INDEX(DAFTAR_FIXTURE!$B$2:$B$51,MATCH(L399,DAFTAR_FIXTURE!$A$2:$A$51,0)),""))</f>
        <v/>
      </c>
      <c r="P399" s="12">
        <f>IF(AND($D399="",L399=""),"",IF(L399="",IF(AND(Q399="",V399=""),"Belum ditempatkan",""),IF(O399="","CEK ID FIXTURE tidak ada di DAFTAR_FIXTURE",IF(M399="","CEK ZONA NO kosong",IF(ISNA(MATCH(O399&amp;"|"&amp;M399,LAYOUT!$E$2:$E$80,0)),"CEK ZONA NO di luar layout",IF(N399&lt;&gt;INDEX(LAYOUT!$D$2:$D$80,MATCH(O399&amp;"|"&amp;M399,LAYOUT!$E$2:$E$80,0)),"CEK JENIS ZONA",IF($D399="","Zona STOCK",IF($E399="","CEK SKU DESCRIPTION kosong","OK"))))))))</f>
        <v/>
      </c>
      <c r="Q399" s="11" t="n"/>
      <c r="R399" s="11" t="n"/>
      <c r="S399" s="11" t="n"/>
      <c r="T399" s="12">
        <f>IF(Q399="","",IFERROR(INDEX(DAFTAR_FIXTURE!$B$2:$B$51,MATCH(Q399,DAFTAR_FIXTURE!$A$2:$A$51,0)),""))</f>
        <v/>
      </c>
      <c r="U399" s="12">
        <f>IF(Q399="","",IF(T399="","CEK ID FIXTURE tidak ada di DAFTAR_FIXTURE",IF(R399="","CEK ZONA NO kosong",IF(ISNA(MATCH(T399&amp;"|"&amp;R399,LAYOUT!$E$2:$E$80,0)),"CEK ZONA NO di luar layout",IF(S399&lt;&gt;INDEX(LAYOUT!$D$2:$D$80,MATCH(T399&amp;"|"&amp;R399,LAYOUT!$E$2:$E$80,0)),"CEK JENIS ZONA",IF($D399="","Zona STOCK",IF($E399="","CEK SKU DESCRIPTION kosong","OK")))))))</f>
        <v/>
      </c>
      <c r="V399" s="11" t="n"/>
      <c r="W399" s="11" t="n"/>
      <c r="X399" s="11" t="n"/>
      <c r="Y399" s="12">
        <f>IF(V399="","",IFERROR(INDEX(DAFTAR_FIXTURE!$B$2:$B$51,MATCH(V399,DAFTAR_FIXTURE!$A$2:$A$51,0)),""))</f>
        <v/>
      </c>
      <c r="Z399" s="12">
        <f>IF(V399="","",IF(Y399="","CEK ID FIXTURE tidak ada di DAFTAR_FIXTURE",IF(W399="","CEK ZONA NO kosong",IF(ISNA(MATCH(Y399&amp;"|"&amp;W399,LAYOUT!$E$2:$E$80,0)),"CEK ZONA NO di luar layout",IF(X399&lt;&gt;INDEX(LAYOUT!$D$2:$D$80,MATCH(Y399&amp;"|"&amp;W399,LAYOUT!$E$2:$E$80,0)),"CEK JENIS ZONA",IF($D399="","Zona STOCK",IF($E399="","CEK SKU DESCRIPTION kosong","OK")))))))</f>
        <v/>
      </c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1" t="n"/>
      <c r="M400" s="11" t="n"/>
      <c r="N400" s="11" t="n"/>
      <c r="O400" s="12">
        <f>IF(L400="","",IFERROR(INDEX(DAFTAR_FIXTURE!$B$2:$B$51,MATCH(L400,DAFTAR_FIXTURE!$A$2:$A$51,0)),""))</f>
        <v/>
      </c>
      <c r="P400" s="12">
        <f>IF(AND($D400="",L400=""),"",IF(L400="",IF(AND(Q400="",V400=""),"Belum ditempatkan",""),IF(O400="","CEK ID FIXTURE tidak ada di DAFTAR_FIXTURE",IF(M400="","CEK ZONA NO kosong",IF(ISNA(MATCH(O400&amp;"|"&amp;M400,LAYOUT!$E$2:$E$80,0)),"CEK ZONA NO di luar layout",IF(N400&lt;&gt;INDEX(LAYOUT!$D$2:$D$80,MATCH(O400&amp;"|"&amp;M400,LAYOUT!$E$2:$E$80,0)),"CEK JENIS ZONA",IF($D400="","Zona STOCK",IF($E400="","CEK SKU DESCRIPTION kosong","OK"))))))))</f>
        <v/>
      </c>
      <c r="Q400" s="11" t="n"/>
      <c r="R400" s="11" t="n"/>
      <c r="S400" s="11" t="n"/>
      <c r="T400" s="12">
        <f>IF(Q400="","",IFERROR(INDEX(DAFTAR_FIXTURE!$B$2:$B$51,MATCH(Q400,DAFTAR_FIXTURE!$A$2:$A$51,0)),""))</f>
        <v/>
      </c>
      <c r="U400" s="12">
        <f>IF(Q400="","",IF(T400="","CEK ID FIXTURE tidak ada di DAFTAR_FIXTURE",IF(R400="","CEK ZONA NO kosong",IF(ISNA(MATCH(T400&amp;"|"&amp;R400,LAYOUT!$E$2:$E$80,0)),"CEK ZONA NO di luar layout",IF(S400&lt;&gt;INDEX(LAYOUT!$D$2:$D$80,MATCH(T400&amp;"|"&amp;R400,LAYOUT!$E$2:$E$80,0)),"CEK JENIS ZONA",IF($D400="","Zona STOCK",IF($E400="","CEK SKU DESCRIPTION kosong","OK")))))))</f>
        <v/>
      </c>
      <c r="V400" s="11" t="n"/>
      <c r="W400" s="11" t="n"/>
      <c r="X400" s="11" t="n"/>
      <c r="Y400" s="12">
        <f>IF(V400="","",IFERROR(INDEX(DAFTAR_FIXTURE!$B$2:$B$51,MATCH(V400,DAFTAR_FIXTURE!$A$2:$A$51,0)),""))</f>
        <v/>
      </c>
      <c r="Z400" s="12">
        <f>IF(V400="","",IF(Y400="","CEK ID FIXTURE tidak ada di DAFTAR_FIXTURE",IF(W400="","CEK ZONA NO kosong",IF(ISNA(MATCH(Y400&amp;"|"&amp;W400,LAYOUT!$E$2:$E$80,0)),"CEK ZONA NO di luar layout",IF(X400&lt;&gt;INDEX(LAYOUT!$D$2:$D$80,MATCH(Y400&amp;"|"&amp;W400,LAYOUT!$E$2:$E$80,0)),"CEK JENIS ZONA",IF($D400="","Zona STOCK",IF($E400="","CEK SKU DESCRIPTION kosong","OK")))))))</f>
        <v/>
      </c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1" t="n"/>
      <c r="M401" s="11" t="n"/>
      <c r="N401" s="11" t="n"/>
      <c r="O401" s="12">
        <f>IF(L401="","",IFERROR(INDEX(DAFTAR_FIXTURE!$B$2:$B$51,MATCH(L401,DAFTAR_FIXTURE!$A$2:$A$51,0)),""))</f>
        <v/>
      </c>
      <c r="P401" s="12">
        <f>IF(AND($D401="",L401=""),"",IF(L401="",IF(AND(Q401="",V401=""),"Belum ditempatkan",""),IF(O401="","CEK ID FIXTURE tidak ada di DAFTAR_FIXTURE",IF(M401="","CEK ZONA NO kosong",IF(ISNA(MATCH(O401&amp;"|"&amp;M401,LAYOUT!$E$2:$E$80,0)),"CEK ZONA NO di luar layout",IF(N401&lt;&gt;INDEX(LAYOUT!$D$2:$D$80,MATCH(O401&amp;"|"&amp;M401,LAYOUT!$E$2:$E$80,0)),"CEK JENIS ZONA",IF($D401="","Zona STOCK",IF($E401="","CEK SKU DESCRIPTION kosong","OK"))))))))</f>
        <v/>
      </c>
      <c r="Q401" s="11" t="n"/>
      <c r="R401" s="11" t="n"/>
      <c r="S401" s="11" t="n"/>
      <c r="T401" s="12">
        <f>IF(Q401="","",IFERROR(INDEX(DAFTAR_FIXTURE!$B$2:$B$51,MATCH(Q401,DAFTAR_FIXTURE!$A$2:$A$51,0)),""))</f>
        <v/>
      </c>
      <c r="U401" s="12">
        <f>IF(Q401="","",IF(T401="","CEK ID FIXTURE tidak ada di DAFTAR_FIXTURE",IF(R401="","CEK ZONA NO kosong",IF(ISNA(MATCH(T401&amp;"|"&amp;R401,LAYOUT!$E$2:$E$80,0)),"CEK ZONA NO di luar layout",IF(S401&lt;&gt;INDEX(LAYOUT!$D$2:$D$80,MATCH(T401&amp;"|"&amp;R401,LAYOUT!$E$2:$E$80,0)),"CEK JENIS ZONA",IF($D401="","Zona STOCK",IF($E401="","CEK SKU DESCRIPTION kosong","OK")))))))</f>
        <v/>
      </c>
      <c r="V401" s="11" t="n"/>
      <c r="W401" s="11" t="n"/>
      <c r="X401" s="11" t="n"/>
      <c r="Y401" s="12">
        <f>IF(V401="","",IFERROR(INDEX(DAFTAR_FIXTURE!$B$2:$B$51,MATCH(V401,DAFTAR_FIXTURE!$A$2:$A$51,0)),""))</f>
        <v/>
      </c>
      <c r="Z401" s="12">
        <f>IF(V401="","",IF(Y401="","CEK ID FIXTURE tidak ada di DAFTAR_FIXTURE",IF(W401="","CEK ZONA NO kosong",IF(ISNA(MATCH(Y401&amp;"|"&amp;W401,LAYOUT!$E$2:$E$80,0)),"CEK ZONA NO di luar layout",IF(X401&lt;&gt;INDEX(LAYOUT!$D$2:$D$80,MATCH(Y401&amp;"|"&amp;W401,LAYOUT!$E$2:$E$80,0)),"CEK JENIS ZONA",IF($D401="","Zona STOCK",IF($E401="","CEK SKU DESCRIPTION kosong","OK")))))))</f>
        <v/>
      </c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1" t="n"/>
      <c r="M402" s="11" t="n"/>
      <c r="N402" s="11" t="n"/>
      <c r="O402" s="12">
        <f>IF(L402="","",IFERROR(INDEX(DAFTAR_FIXTURE!$B$2:$B$51,MATCH(L402,DAFTAR_FIXTURE!$A$2:$A$51,0)),""))</f>
        <v/>
      </c>
      <c r="P402" s="12">
        <f>IF(AND($D402="",L402=""),"",IF(L402="",IF(AND(Q402="",V402=""),"Belum ditempatkan",""),IF(O402="","CEK ID FIXTURE tidak ada di DAFTAR_FIXTURE",IF(M402="","CEK ZONA NO kosong",IF(ISNA(MATCH(O402&amp;"|"&amp;M402,LAYOUT!$E$2:$E$80,0)),"CEK ZONA NO di luar layout",IF(N402&lt;&gt;INDEX(LAYOUT!$D$2:$D$80,MATCH(O402&amp;"|"&amp;M402,LAYOUT!$E$2:$E$80,0)),"CEK JENIS ZONA",IF($D402="","Zona STOCK",IF($E402="","CEK SKU DESCRIPTION kosong","OK"))))))))</f>
        <v/>
      </c>
      <c r="Q402" s="11" t="n"/>
      <c r="R402" s="11" t="n"/>
      <c r="S402" s="11" t="n"/>
      <c r="T402" s="12">
        <f>IF(Q402="","",IFERROR(INDEX(DAFTAR_FIXTURE!$B$2:$B$51,MATCH(Q402,DAFTAR_FIXTURE!$A$2:$A$51,0)),""))</f>
        <v/>
      </c>
      <c r="U402" s="12">
        <f>IF(Q402="","",IF(T402="","CEK ID FIXTURE tidak ada di DAFTAR_FIXTURE",IF(R402="","CEK ZONA NO kosong",IF(ISNA(MATCH(T402&amp;"|"&amp;R402,LAYOUT!$E$2:$E$80,0)),"CEK ZONA NO di luar layout",IF(S402&lt;&gt;INDEX(LAYOUT!$D$2:$D$80,MATCH(T402&amp;"|"&amp;R402,LAYOUT!$E$2:$E$80,0)),"CEK JENIS ZONA",IF($D402="","Zona STOCK",IF($E402="","CEK SKU DESCRIPTION kosong","OK")))))))</f>
        <v/>
      </c>
      <c r="V402" s="11" t="n"/>
      <c r="W402" s="11" t="n"/>
      <c r="X402" s="11" t="n"/>
      <c r="Y402" s="12">
        <f>IF(V402="","",IFERROR(INDEX(DAFTAR_FIXTURE!$B$2:$B$51,MATCH(V402,DAFTAR_FIXTURE!$A$2:$A$51,0)),""))</f>
        <v/>
      </c>
      <c r="Z402" s="12">
        <f>IF(V402="","",IF(Y402="","CEK ID FIXTURE tidak ada di DAFTAR_FIXTURE",IF(W402="","CEK ZONA NO kosong",IF(ISNA(MATCH(Y402&amp;"|"&amp;W402,LAYOUT!$E$2:$E$80,0)),"CEK ZONA NO di luar layout",IF(X402&lt;&gt;INDEX(LAYOUT!$D$2:$D$80,MATCH(Y402&amp;"|"&amp;W402,LAYOUT!$E$2:$E$80,0)),"CEK JENIS ZONA",IF($D402="","Zona STOCK",IF($E402="","CEK SKU DESCRIPTION kosong","OK")))))))</f>
        <v/>
      </c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1" t="n"/>
      <c r="M403" s="11" t="n"/>
      <c r="N403" s="11" t="n"/>
      <c r="O403" s="12">
        <f>IF(L403="","",IFERROR(INDEX(DAFTAR_FIXTURE!$B$2:$B$51,MATCH(L403,DAFTAR_FIXTURE!$A$2:$A$51,0)),""))</f>
        <v/>
      </c>
      <c r="P403" s="12">
        <f>IF(AND($D403="",L403=""),"",IF(L403="",IF(AND(Q403="",V403=""),"Belum ditempatkan",""),IF(O403="","CEK ID FIXTURE tidak ada di DAFTAR_FIXTURE",IF(M403="","CEK ZONA NO kosong",IF(ISNA(MATCH(O403&amp;"|"&amp;M403,LAYOUT!$E$2:$E$80,0)),"CEK ZONA NO di luar layout",IF(N403&lt;&gt;INDEX(LAYOUT!$D$2:$D$80,MATCH(O403&amp;"|"&amp;M403,LAYOUT!$E$2:$E$80,0)),"CEK JENIS ZONA",IF($D403="","Zona STOCK",IF($E403="","CEK SKU DESCRIPTION kosong","OK"))))))))</f>
        <v/>
      </c>
      <c r="Q403" s="11" t="n"/>
      <c r="R403" s="11" t="n"/>
      <c r="S403" s="11" t="n"/>
      <c r="T403" s="12">
        <f>IF(Q403="","",IFERROR(INDEX(DAFTAR_FIXTURE!$B$2:$B$51,MATCH(Q403,DAFTAR_FIXTURE!$A$2:$A$51,0)),""))</f>
        <v/>
      </c>
      <c r="U403" s="12">
        <f>IF(Q403="","",IF(T403="","CEK ID FIXTURE tidak ada di DAFTAR_FIXTURE",IF(R403="","CEK ZONA NO kosong",IF(ISNA(MATCH(T403&amp;"|"&amp;R403,LAYOUT!$E$2:$E$80,0)),"CEK ZONA NO di luar layout",IF(S403&lt;&gt;INDEX(LAYOUT!$D$2:$D$80,MATCH(T403&amp;"|"&amp;R403,LAYOUT!$E$2:$E$80,0)),"CEK JENIS ZONA",IF($D403="","Zona STOCK",IF($E403="","CEK SKU DESCRIPTION kosong","OK")))))))</f>
        <v/>
      </c>
      <c r="V403" s="11" t="n"/>
      <c r="W403" s="11" t="n"/>
      <c r="X403" s="11" t="n"/>
      <c r="Y403" s="12">
        <f>IF(V403="","",IFERROR(INDEX(DAFTAR_FIXTURE!$B$2:$B$51,MATCH(V403,DAFTAR_FIXTURE!$A$2:$A$51,0)),""))</f>
        <v/>
      </c>
      <c r="Z403" s="12">
        <f>IF(V403="","",IF(Y403="","CEK ID FIXTURE tidak ada di DAFTAR_FIXTURE",IF(W403="","CEK ZONA NO kosong",IF(ISNA(MATCH(Y403&amp;"|"&amp;W403,LAYOUT!$E$2:$E$80,0)),"CEK ZONA NO di luar layout",IF(X403&lt;&gt;INDEX(LAYOUT!$D$2:$D$80,MATCH(Y403&amp;"|"&amp;W403,LAYOUT!$E$2:$E$80,0)),"CEK JENIS ZONA",IF($D403="","Zona STOCK",IF($E403="","CEK SKU DESCRIPTION kosong","OK")))))))</f>
        <v/>
      </c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1" t="n"/>
      <c r="M404" s="11" t="n"/>
      <c r="N404" s="11" t="n"/>
      <c r="O404" s="12">
        <f>IF(L404="","",IFERROR(INDEX(DAFTAR_FIXTURE!$B$2:$B$51,MATCH(L404,DAFTAR_FIXTURE!$A$2:$A$51,0)),""))</f>
        <v/>
      </c>
      <c r="P404" s="12">
        <f>IF(AND($D404="",L404=""),"",IF(L404="",IF(AND(Q404="",V404=""),"Belum ditempatkan",""),IF(O404="","CEK ID FIXTURE tidak ada di DAFTAR_FIXTURE",IF(M404="","CEK ZONA NO kosong",IF(ISNA(MATCH(O404&amp;"|"&amp;M404,LAYOUT!$E$2:$E$80,0)),"CEK ZONA NO di luar layout",IF(N404&lt;&gt;INDEX(LAYOUT!$D$2:$D$80,MATCH(O404&amp;"|"&amp;M404,LAYOUT!$E$2:$E$80,0)),"CEK JENIS ZONA",IF($D404="","Zona STOCK",IF($E404="","CEK SKU DESCRIPTION kosong","OK"))))))))</f>
        <v/>
      </c>
      <c r="Q404" s="11" t="n"/>
      <c r="R404" s="11" t="n"/>
      <c r="S404" s="11" t="n"/>
      <c r="T404" s="12">
        <f>IF(Q404="","",IFERROR(INDEX(DAFTAR_FIXTURE!$B$2:$B$51,MATCH(Q404,DAFTAR_FIXTURE!$A$2:$A$51,0)),""))</f>
        <v/>
      </c>
      <c r="U404" s="12">
        <f>IF(Q404="","",IF(T404="","CEK ID FIXTURE tidak ada di DAFTAR_FIXTURE",IF(R404="","CEK ZONA NO kosong",IF(ISNA(MATCH(T404&amp;"|"&amp;R404,LAYOUT!$E$2:$E$80,0)),"CEK ZONA NO di luar layout",IF(S404&lt;&gt;INDEX(LAYOUT!$D$2:$D$80,MATCH(T404&amp;"|"&amp;R404,LAYOUT!$E$2:$E$80,0)),"CEK JENIS ZONA",IF($D404="","Zona STOCK",IF($E404="","CEK SKU DESCRIPTION kosong","OK")))))))</f>
        <v/>
      </c>
      <c r="V404" s="11" t="n"/>
      <c r="W404" s="11" t="n"/>
      <c r="X404" s="11" t="n"/>
      <c r="Y404" s="12">
        <f>IF(V404="","",IFERROR(INDEX(DAFTAR_FIXTURE!$B$2:$B$51,MATCH(V404,DAFTAR_FIXTURE!$A$2:$A$51,0)),""))</f>
        <v/>
      </c>
      <c r="Z404" s="12">
        <f>IF(V404="","",IF(Y404="","CEK ID FIXTURE tidak ada di DAFTAR_FIXTURE",IF(W404="","CEK ZONA NO kosong",IF(ISNA(MATCH(Y404&amp;"|"&amp;W404,LAYOUT!$E$2:$E$80,0)),"CEK ZONA NO di luar layout",IF(X404&lt;&gt;INDEX(LAYOUT!$D$2:$D$80,MATCH(Y404&amp;"|"&amp;W404,LAYOUT!$E$2:$E$80,0)),"CEK JENIS ZONA",IF($D404="","Zona STOCK",IF($E404="","CEK SKU DESCRIPTION kosong","OK")))))))</f>
        <v/>
      </c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1" t="n"/>
      <c r="M405" s="11" t="n"/>
      <c r="N405" s="11" t="n"/>
      <c r="O405" s="12">
        <f>IF(L405="","",IFERROR(INDEX(DAFTAR_FIXTURE!$B$2:$B$51,MATCH(L405,DAFTAR_FIXTURE!$A$2:$A$51,0)),""))</f>
        <v/>
      </c>
      <c r="P405" s="12">
        <f>IF(AND($D405="",L405=""),"",IF(L405="",IF(AND(Q405="",V405=""),"Belum ditempatkan",""),IF(O405="","CEK ID FIXTURE tidak ada di DAFTAR_FIXTURE",IF(M405="","CEK ZONA NO kosong",IF(ISNA(MATCH(O405&amp;"|"&amp;M405,LAYOUT!$E$2:$E$80,0)),"CEK ZONA NO di luar layout",IF(N405&lt;&gt;INDEX(LAYOUT!$D$2:$D$80,MATCH(O405&amp;"|"&amp;M405,LAYOUT!$E$2:$E$80,0)),"CEK JENIS ZONA",IF($D405="","Zona STOCK",IF($E405="","CEK SKU DESCRIPTION kosong","OK"))))))))</f>
        <v/>
      </c>
      <c r="Q405" s="11" t="n"/>
      <c r="R405" s="11" t="n"/>
      <c r="S405" s="11" t="n"/>
      <c r="T405" s="12">
        <f>IF(Q405="","",IFERROR(INDEX(DAFTAR_FIXTURE!$B$2:$B$51,MATCH(Q405,DAFTAR_FIXTURE!$A$2:$A$51,0)),""))</f>
        <v/>
      </c>
      <c r="U405" s="12">
        <f>IF(Q405="","",IF(T405="","CEK ID FIXTURE tidak ada di DAFTAR_FIXTURE",IF(R405="","CEK ZONA NO kosong",IF(ISNA(MATCH(T405&amp;"|"&amp;R405,LAYOUT!$E$2:$E$80,0)),"CEK ZONA NO di luar layout",IF(S405&lt;&gt;INDEX(LAYOUT!$D$2:$D$80,MATCH(T405&amp;"|"&amp;R405,LAYOUT!$E$2:$E$80,0)),"CEK JENIS ZONA",IF($D405="","Zona STOCK",IF($E405="","CEK SKU DESCRIPTION kosong","OK")))))))</f>
        <v/>
      </c>
      <c r="V405" s="11" t="n"/>
      <c r="W405" s="11" t="n"/>
      <c r="X405" s="11" t="n"/>
      <c r="Y405" s="12">
        <f>IF(V405="","",IFERROR(INDEX(DAFTAR_FIXTURE!$B$2:$B$51,MATCH(V405,DAFTAR_FIXTURE!$A$2:$A$51,0)),""))</f>
        <v/>
      </c>
      <c r="Z405" s="12">
        <f>IF(V405="","",IF(Y405="","CEK ID FIXTURE tidak ada di DAFTAR_FIXTURE",IF(W405="","CEK ZONA NO kosong",IF(ISNA(MATCH(Y405&amp;"|"&amp;W405,LAYOUT!$E$2:$E$80,0)),"CEK ZONA NO di luar layout",IF(X405&lt;&gt;INDEX(LAYOUT!$D$2:$D$80,MATCH(Y405&amp;"|"&amp;W405,LAYOUT!$E$2:$E$80,0)),"CEK JENIS ZONA",IF($D405="","Zona STOCK",IF($E405="","CEK SKU DESCRIPTION kosong","OK")))))))</f>
        <v/>
      </c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1" t="n"/>
      <c r="M406" s="11" t="n"/>
      <c r="N406" s="11" t="n"/>
      <c r="O406" s="12">
        <f>IF(L406="","",IFERROR(INDEX(DAFTAR_FIXTURE!$B$2:$B$51,MATCH(L406,DAFTAR_FIXTURE!$A$2:$A$51,0)),""))</f>
        <v/>
      </c>
      <c r="P406" s="12">
        <f>IF(AND($D406="",L406=""),"",IF(L406="",IF(AND(Q406="",V406=""),"Belum ditempatkan",""),IF(O406="","CEK ID FIXTURE tidak ada di DAFTAR_FIXTURE",IF(M406="","CEK ZONA NO kosong",IF(ISNA(MATCH(O406&amp;"|"&amp;M406,LAYOUT!$E$2:$E$80,0)),"CEK ZONA NO di luar layout",IF(N406&lt;&gt;INDEX(LAYOUT!$D$2:$D$80,MATCH(O406&amp;"|"&amp;M406,LAYOUT!$E$2:$E$80,0)),"CEK JENIS ZONA",IF($D406="","Zona STOCK",IF($E406="","CEK SKU DESCRIPTION kosong","OK"))))))))</f>
        <v/>
      </c>
      <c r="Q406" s="11" t="n"/>
      <c r="R406" s="11" t="n"/>
      <c r="S406" s="11" t="n"/>
      <c r="T406" s="12">
        <f>IF(Q406="","",IFERROR(INDEX(DAFTAR_FIXTURE!$B$2:$B$51,MATCH(Q406,DAFTAR_FIXTURE!$A$2:$A$51,0)),""))</f>
        <v/>
      </c>
      <c r="U406" s="12">
        <f>IF(Q406="","",IF(T406="","CEK ID FIXTURE tidak ada di DAFTAR_FIXTURE",IF(R406="","CEK ZONA NO kosong",IF(ISNA(MATCH(T406&amp;"|"&amp;R406,LAYOUT!$E$2:$E$80,0)),"CEK ZONA NO di luar layout",IF(S406&lt;&gt;INDEX(LAYOUT!$D$2:$D$80,MATCH(T406&amp;"|"&amp;R406,LAYOUT!$E$2:$E$80,0)),"CEK JENIS ZONA",IF($D406="","Zona STOCK",IF($E406="","CEK SKU DESCRIPTION kosong","OK")))))))</f>
        <v/>
      </c>
      <c r="V406" s="11" t="n"/>
      <c r="W406" s="11" t="n"/>
      <c r="X406" s="11" t="n"/>
      <c r="Y406" s="12">
        <f>IF(V406="","",IFERROR(INDEX(DAFTAR_FIXTURE!$B$2:$B$51,MATCH(V406,DAFTAR_FIXTURE!$A$2:$A$51,0)),""))</f>
        <v/>
      </c>
      <c r="Z406" s="12">
        <f>IF(V406="","",IF(Y406="","CEK ID FIXTURE tidak ada di DAFTAR_FIXTURE",IF(W406="","CEK ZONA NO kosong",IF(ISNA(MATCH(Y406&amp;"|"&amp;W406,LAYOUT!$E$2:$E$80,0)),"CEK ZONA NO di luar layout",IF(X406&lt;&gt;INDEX(LAYOUT!$D$2:$D$80,MATCH(Y406&amp;"|"&amp;W406,LAYOUT!$E$2:$E$80,0)),"CEK JENIS ZONA",IF($D406="","Zona STOCK",IF($E406="","CEK SKU DESCRIPTION kosong","OK")))))))</f>
        <v/>
      </c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1" t="n"/>
      <c r="M407" s="11" t="n"/>
      <c r="N407" s="11" t="n"/>
      <c r="O407" s="12">
        <f>IF(L407="","",IFERROR(INDEX(DAFTAR_FIXTURE!$B$2:$B$51,MATCH(L407,DAFTAR_FIXTURE!$A$2:$A$51,0)),""))</f>
        <v/>
      </c>
      <c r="P407" s="12">
        <f>IF(AND($D407="",L407=""),"",IF(L407="",IF(AND(Q407="",V407=""),"Belum ditempatkan",""),IF(O407="","CEK ID FIXTURE tidak ada di DAFTAR_FIXTURE",IF(M407="","CEK ZONA NO kosong",IF(ISNA(MATCH(O407&amp;"|"&amp;M407,LAYOUT!$E$2:$E$80,0)),"CEK ZONA NO di luar layout",IF(N407&lt;&gt;INDEX(LAYOUT!$D$2:$D$80,MATCH(O407&amp;"|"&amp;M407,LAYOUT!$E$2:$E$80,0)),"CEK JENIS ZONA",IF($D407="","Zona STOCK",IF($E407="","CEK SKU DESCRIPTION kosong","OK"))))))))</f>
        <v/>
      </c>
      <c r="Q407" s="11" t="n"/>
      <c r="R407" s="11" t="n"/>
      <c r="S407" s="11" t="n"/>
      <c r="T407" s="12">
        <f>IF(Q407="","",IFERROR(INDEX(DAFTAR_FIXTURE!$B$2:$B$51,MATCH(Q407,DAFTAR_FIXTURE!$A$2:$A$51,0)),""))</f>
        <v/>
      </c>
      <c r="U407" s="12">
        <f>IF(Q407="","",IF(T407="","CEK ID FIXTURE tidak ada di DAFTAR_FIXTURE",IF(R407="","CEK ZONA NO kosong",IF(ISNA(MATCH(T407&amp;"|"&amp;R407,LAYOUT!$E$2:$E$80,0)),"CEK ZONA NO di luar layout",IF(S407&lt;&gt;INDEX(LAYOUT!$D$2:$D$80,MATCH(T407&amp;"|"&amp;R407,LAYOUT!$E$2:$E$80,0)),"CEK JENIS ZONA",IF($D407="","Zona STOCK",IF($E407="","CEK SKU DESCRIPTION kosong","OK")))))))</f>
        <v/>
      </c>
      <c r="V407" s="11" t="n"/>
      <c r="W407" s="11" t="n"/>
      <c r="X407" s="11" t="n"/>
      <c r="Y407" s="12">
        <f>IF(V407="","",IFERROR(INDEX(DAFTAR_FIXTURE!$B$2:$B$51,MATCH(V407,DAFTAR_FIXTURE!$A$2:$A$51,0)),""))</f>
        <v/>
      </c>
      <c r="Z407" s="12">
        <f>IF(V407="","",IF(Y407="","CEK ID FIXTURE tidak ada di DAFTAR_FIXTURE",IF(W407="","CEK ZONA NO kosong",IF(ISNA(MATCH(Y407&amp;"|"&amp;W407,LAYOUT!$E$2:$E$80,0)),"CEK ZONA NO di luar layout",IF(X407&lt;&gt;INDEX(LAYOUT!$D$2:$D$80,MATCH(Y407&amp;"|"&amp;W407,LAYOUT!$E$2:$E$80,0)),"CEK JENIS ZONA",IF($D407="","Zona STOCK",IF($E407="","CEK SKU DESCRIPTION kosong","OK")))))))</f>
        <v/>
      </c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1" t="n"/>
      <c r="M408" s="11" t="n"/>
      <c r="N408" s="11" t="n"/>
      <c r="O408" s="12">
        <f>IF(L408="","",IFERROR(INDEX(DAFTAR_FIXTURE!$B$2:$B$51,MATCH(L408,DAFTAR_FIXTURE!$A$2:$A$51,0)),""))</f>
        <v/>
      </c>
      <c r="P408" s="12">
        <f>IF(AND($D408="",L408=""),"",IF(L408="",IF(AND(Q408="",V408=""),"Belum ditempatkan",""),IF(O408="","CEK ID FIXTURE tidak ada di DAFTAR_FIXTURE",IF(M408="","CEK ZONA NO kosong",IF(ISNA(MATCH(O408&amp;"|"&amp;M408,LAYOUT!$E$2:$E$80,0)),"CEK ZONA NO di luar layout",IF(N408&lt;&gt;INDEX(LAYOUT!$D$2:$D$80,MATCH(O408&amp;"|"&amp;M408,LAYOUT!$E$2:$E$80,0)),"CEK JENIS ZONA",IF($D408="","Zona STOCK",IF($E408="","CEK SKU DESCRIPTION kosong","OK"))))))))</f>
        <v/>
      </c>
      <c r="Q408" s="11" t="n"/>
      <c r="R408" s="11" t="n"/>
      <c r="S408" s="11" t="n"/>
      <c r="T408" s="12">
        <f>IF(Q408="","",IFERROR(INDEX(DAFTAR_FIXTURE!$B$2:$B$51,MATCH(Q408,DAFTAR_FIXTURE!$A$2:$A$51,0)),""))</f>
        <v/>
      </c>
      <c r="U408" s="12">
        <f>IF(Q408="","",IF(T408="","CEK ID FIXTURE tidak ada di DAFTAR_FIXTURE",IF(R408="","CEK ZONA NO kosong",IF(ISNA(MATCH(T408&amp;"|"&amp;R408,LAYOUT!$E$2:$E$80,0)),"CEK ZONA NO di luar layout",IF(S408&lt;&gt;INDEX(LAYOUT!$D$2:$D$80,MATCH(T408&amp;"|"&amp;R408,LAYOUT!$E$2:$E$80,0)),"CEK JENIS ZONA",IF($D408="","Zona STOCK",IF($E408="","CEK SKU DESCRIPTION kosong","OK")))))))</f>
        <v/>
      </c>
      <c r="V408" s="11" t="n"/>
      <c r="W408" s="11" t="n"/>
      <c r="X408" s="11" t="n"/>
      <c r="Y408" s="12">
        <f>IF(V408="","",IFERROR(INDEX(DAFTAR_FIXTURE!$B$2:$B$51,MATCH(V408,DAFTAR_FIXTURE!$A$2:$A$51,0)),""))</f>
        <v/>
      </c>
      <c r="Z408" s="12">
        <f>IF(V408="","",IF(Y408="","CEK ID FIXTURE tidak ada di DAFTAR_FIXTURE",IF(W408="","CEK ZONA NO kosong",IF(ISNA(MATCH(Y408&amp;"|"&amp;W408,LAYOUT!$E$2:$E$80,0)),"CEK ZONA NO di luar layout",IF(X408&lt;&gt;INDEX(LAYOUT!$D$2:$D$80,MATCH(Y408&amp;"|"&amp;W408,LAYOUT!$E$2:$E$80,0)),"CEK JENIS ZONA",IF($D408="","Zona STOCK",IF($E408="","CEK SKU DESCRIPTION kosong","OK")))))))</f>
        <v/>
      </c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1" t="n"/>
      <c r="M409" s="11" t="n"/>
      <c r="N409" s="11" t="n"/>
      <c r="O409" s="12">
        <f>IF(L409="","",IFERROR(INDEX(DAFTAR_FIXTURE!$B$2:$B$51,MATCH(L409,DAFTAR_FIXTURE!$A$2:$A$51,0)),""))</f>
        <v/>
      </c>
      <c r="P409" s="12">
        <f>IF(AND($D409="",L409=""),"",IF(L409="",IF(AND(Q409="",V409=""),"Belum ditempatkan",""),IF(O409="","CEK ID FIXTURE tidak ada di DAFTAR_FIXTURE",IF(M409="","CEK ZONA NO kosong",IF(ISNA(MATCH(O409&amp;"|"&amp;M409,LAYOUT!$E$2:$E$80,0)),"CEK ZONA NO di luar layout",IF(N409&lt;&gt;INDEX(LAYOUT!$D$2:$D$80,MATCH(O409&amp;"|"&amp;M409,LAYOUT!$E$2:$E$80,0)),"CEK JENIS ZONA",IF($D409="","Zona STOCK",IF($E409="","CEK SKU DESCRIPTION kosong","OK"))))))))</f>
        <v/>
      </c>
      <c r="Q409" s="11" t="n"/>
      <c r="R409" s="11" t="n"/>
      <c r="S409" s="11" t="n"/>
      <c r="T409" s="12">
        <f>IF(Q409="","",IFERROR(INDEX(DAFTAR_FIXTURE!$B$2:$B$51,MATCH(Q409,DAFTAR_FIXTURE!$A$2:$A$51,0)),""))</f>
        <v/>
      </c>
      <c r="U409" s="12">
        <f>IF(Q409="","",IF(T409="","CEK ID FIXTURE tidak ada di DAFTAR_FIXTURE",IF(R409="","CEK ZONA NO kosong",IF(ISNA(MATCH(T409&amp;"|"&amp;R409,LAYOUT!$E$2:$E$80,0)),"CEK ZONA NO di luar layout",IF(S409&lt;&gt;INDEX(LAYOUT!$D$2:$D$80,MATCH(T409&amp;"|"&amp;R409,LAYOUT!$E$2:$E$80,0)),"CEK JENIS ZONA",IF($D409="","Zona STOCK",IF($E409="","CEK SKU DESCRIPTION kosong","OK")))))))</f>
        <v/>
      </c>
      <c r="V409" s="11" t="n"/>
      <c r="W409" s="11" t="n"/>
      <c r="X409" s="11" t="n"/>
      <c r="Y409" s="12">
        <f>IF(V409="","",IFERROR(INDEX(DAFTAR_FIXTURE!$B$2:$B$51,MATCH(V409,DAFTAR_FIXTURE!$A$2:$A$51,0)),""))</f>
        <v/>
      </c>
      <c r="Z409" s="12">
        <f>IF(V409="","",IF(Y409="","CEK ID FIXTURE tidak ada di DAFTAR_FIXTURE",IF(W409="","CEK ZONA NO kosong",IF(ISNA(MATCH(Y409&amp;"|"&amp;W409,LAYOUT!$E$2:$E$80,0)),"CEK ZONA NO di luar layout",IF(X409&lt;&gt;INDEX(LAYOUT!$D$2:$D$80,MATCH(Y409&amp;"|"&amp;W409,LAYOUT!$E$2:$E$80,0)),"CEK JENIS ZONA",IF($D409="","Zona STOCK",IF($E409="","CEK SKU DESCRIPTION kosong","OK")))))))</f>
        <v/>
      </c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1" t="n"/>
      <c r="M410" s="11" t="n"/>
      <c r="N410" s="11" t="n"/>
      <c r="O410" s="12">
        <f>IF(L410="","",IFERROR(INDEX(DAFTAR_FIXTURE!$B$2:$B$51,MATCH(L410,DAFTAR_FIXTURE!$A$2:$A$51,0)),""))</f>
        <v/>
      </c>
      <c r="P410" s="12">
        <f>IF(AND($D410="",L410=""),"",IF(L410="",IF(AND(Q410="",V410=""),"Belum ditempatkan",""),IF(O410="","CEK ID FIXTURE tidak ada di DAFTAR_FIXTURE",IF(M410="","CEK ZONA NO kosong",IF(ISNA(MATCH(O410&amp;"|"&amp;M410,LAYOUT!$E$2:$E$80,0)),"CEK ZONA NO di luar layout",IF(N410&lt;&gt;INDEX(LAYOUT!$D$2:$D$80,MATCH(O410&amp;"|"&amp;M410,LAYOUT!$E$2:$E$80,0)),"CEK JENIS ZONA",IF($D410="","Zona STOCK",IF($E410="","CEK SKU DESCRIPTION kosong","OK"))))))))</f>
        <v/>
      </c>
      <c r="Q410" s="11" t="n"/>
      <c r="R410" s="11" t="n"/>
      <c r="S410" s="11" t="n"/>
      <c r="T410" s="12">
        <f>IF(Q410="","",IFERROR(INDEX(DAFTAR_FIXTURE!$B$2:$B$51,MATCH(Q410,DAFTAR_FIXTURE!$A$2:$A$51,0)),""))</f>
        <v/>
      </c>
      <c r="U410" s="12">
        <f>IF(Q410="","",IF(T410="","CEK ID FIXTURE tidak ada di DAFTAR_FIXTURE",IF(R410="","CEK ZONA NO kosong",IF(ISNA(MATCH(T410&amp;"|"&amp;R410,LAYOUT!$E$2:$E$80,0)),"CEK ZONA NO di luar layout",IF(S410&lt;&gt;INDEX(LAYOUT!$D$2:$D$80,MATCH(T410&amp;"|"&amp;R410,LAYOUT!$E$2:$E$80,0)),"CEK JENIS ZONA",IF($D410="","Zona STOCK",IF($E410="","CEK SKU DESCRIPTION kosong","OK")))))))</f>
        <v/>
      </c>
      <c r="V410" s="11" t="n"/>
      <c r="W410" s="11" t="n"/>
      <c r="X410" s="11" t="n"/>
      <c r="Y410" s="12">
        <f>IF(V410="","",IFERROR(INDEX(DAFTAR_FIXTURE!$B$2:$B$51,MATCH(V410,DAFTAR_FIXTURE!$A$2:$A$51,0)),""))</f>
        <v/>
      </c>
      <c r="Z410" s="12">
        <f>IF(V410="","",IF(Y410="","CEK ID FIXTURE tidak ada di DAFTAR_FIXTURE",IF(W410="","CEK ZONA NO kosong",IF(ISNA(MATCH(Y410&amp;"|"&amp;W410,LAYOUT!$E$2:$E$80,0)),"CEK ZONA NO di luar layout",IF(X410&lt;&gt;INDEX(LAYOUT!$D$2:$D$80,MATCH(Y410&amp;"|"&amp;W410,LAYOUT!$E$2:$E$80,0)),"CEK JENIS ZONA",IF($D410="","Zona STOCK",IF($E410="","CEK SKU DESCRIPTION kosong","OK")))))))</f>
        <v/>
      </c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1" t="n"/>
      <c r="M411" s="11" t="n"/>
      <c r="N411" s="11" t="n"/>
      <c r="O411" s="12">
        <f>IF(L411="","",IFERROR(INDEX(DAFTAR_FIXTURE!$B$2:$B$51,MATCH(L411,DAFTAR_FIXTURE!$A$2:$A$51,0)),""))</f>
        <v/>
      </c>
      <c r="P411" s="12">
        <f>IF(AND($D411="",L411=""),"",IF(L411="",IF(AND(Q411="",V411=""),"Belum ditempatkan",""),IF(O411="","CEK ID FIXTURE tidak ada di DAFTAR_FIXTURE",IF(M411="","CEK ZONA NO kosong",IF(ISNA(MATCH(O411&amp;"|"&amp;M411,LAYOUT!$E$2:$E$80,0)),"CEK ZONA NO di luar layout",IF(N411&lt;&gt;INDEX(LAYOUT!$D$2:$D$80,MATCH(O411&amp;"|"&amp;M411,LAYOUT!$E$2:$E$80,0)),"CEK JENIS ZONA",IF($D411="","Zona STOCK",IF($E411="","CEK SKU DESCRIPTION kosong","OK"))))))))</f>
        <v/>
      </c>
      <c r="Q411" s="11" t="n"/>
      <c r="R411" s="11" t="n"/>
      <c r="S411" s="11" t="n"/>
      <c r="T411" s="12">
        <f>IF(Q411="","",IFERROR(INDEX(DAFTAR_FIXTURE!$B$2:$B$51,MATCH(Q411,DAFTAR_FIXTURE!$A$2:$A$51,0)),""))</f>
        <v/>
      </c>
      <c r="U411" s="12">
        <f>IF(Q411="","",IF(T411="","CEK ID FIXTURE tidak ada di DAFTAR_FIXTURE",IF(R411="","CEK ZONA NO kosong",IF(ISNA(MATCH(T411&amp;"|"&amp;R411,LAYOUT!$E$2:$E$80,0)),"CEK ZONA NO di luar layout",IF(S411&lt;&gt;INDEX(LAYOUT!$D$2:$D$80,MATCH(T411&amp;"|"&amp;R411,LAYOUT!$E$2:$E$80,0)),"CEK JENIS ZONA",IF($D411="","Zona STOCK",IF($E411="","CEK SKU DESCRIPTION kosong","OK")))))))</f>
        <v/>
      </c>
      <c r="V411" s="11" t="n"/>
      <c r="W411" s="11" t="n"/>
      <c r="X411" s="11" t="n"/>
      <c r="Y411" s="12">
        <f>IF(V411="","",IFERROR(INDEX(DAFTAR_FIXTURE!$B$2:$B$51,MATCH(V411,DAFTAR_FIXTURE!$A$2:$A$51,0)),""))</f>
        <v/>
      </c>
      <c r="Z411" s="12">
        <f>IF(V411="","",IF(Y411="","CEK ID FIXTURE tidak ada di DAFTAR_FIXTURE",IF(W411="","CEK ZONA NO kosong",IF(ISNA(MATCH(Y411&amp;"|"&amp;W411,LAYOUT!$E$2:$E$80,0)),"CEK ZONA NO di luar layout",IF(X411&lt;&gt;INDEX(LAYOUT!$D$2:$D$80,MATCH(Y411&amp;"|"&amp;W411,LAYOUT!$E$2:$E$80,0)),"CEK JENIS ZONA",IF($D411="","Zona STOCK",IF($E411="","CEK SKU DESCRIPTION kosong","OK")))))))</f>
        <v/>
      </c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1" t="n"/>
      <c r="M412" s="11" t="n"/>
      <c r="N412" s="11" t="n"/>
      <c r="O412" s="12">
        <f>IF(L412="","",IFERROR(INDEX(DAFTAR_FIXTURE!$B$2:$B$51,MATCH(L412,DAFTAR_FIXTURE!$A$2:$A$51,0)),""))</f>
        <v/>
      </c>
      <c r="P412" s="12">
        <f>IF(AND($D412="",L412=""),"",IF(L412="",IF(AND(Q412="",V412=""),"Belum ditempatkan",""),IF(O412="","CEK ID FIXTURE tidak ada di DAFTAR_FIXTURE",IF(M412="","CEK ZONA NO kosong",IF(ISNA(MATCH(O412&amp;"|"&amp;M412,LAYOUT!$E$2:$E$80,0)),"CEK ZONA NO di luar layout",IF(N412&lt;&gt;INDEX(LAYOUT!$D$2:$D$80,MATCH(O412&amp;"|"&amp;M412,LAYOUT!$E$2:$E$80,0)),"CEK JENIS ZONA",IF($D412="","Zona STOCK",IF($E412="","CEK SKU DESCRIPTION kosong","OK"))))))))</f>
        <v/>
      </c>
      <c r="Q412" s="11" t="n"/>
      <c r="R412" s="11" t="n"/>
      <c r="S412" s="11" t="n"/>
      <c r="T412" s="12">
        <f>IF(Q412="","",IFERROR(INDEX(DAFTAR_FIXTURE!$B$2:$B$51,MATCH(Q412,DAFTAR_FIXTURE!$A$2:$A$51,0)),""))</f>
        <v/>
      </c>
      <c r="U412" s="12">
        <f>IF(Q412="","",IF(T412="","CEK ID FIXTURE tidak ada di DAFTAR_FIXTURE",IF(R412="","CEK ZONA NO kosong",IF(ISNA(MATCH(T412&amp;"|"&amp;R412,LAYOUT!$E$2:$E$80,0)),"CEK ZONA NO di luar layout",IF(S412&lt;&gt;INDEX(LAYOUT!$D$2:$D$80,MATCH(T412&amp;"|"&amp;R412,LAYOUT!$E$2:$E$80,0)),"CEK JENIS ZONA",IF($D412="","Zona STOCK",IF($E412="","CEK SKU DESCRIPTION kosong","OK")))))))</f>
        <v/>
      </c>
      <c r="V412" s="11" t="n"/>
      <c r="W412" s="11" t="n"/>
      <c r="X412" s="11" t="n"/>
      <c r="Y412" s="12">
        <f>IF(V412="","",IFERROR(INDEX(DAFTAR_FIXTURE!$B$2:$B$51,MATCH(V412,DAFTAR_FIXTURE!$A$2:$A$51,0)),""))</f>
        <v/>
      </c>
      <c r="Z412" s="12">
        <f>IF(V412="","",IF(Y412="","CEK ID FIXTURE tidak ada di DAFTAR_FIXTURE",IF(W412="","CEK ZONA NO kosong",IF(ISNA(MATCH(Y412&amp;"|"&amp;W412,LAYOUT!$E$2:$E$80,0)),"CEK ZONA NO di luar layout",IF(X412&lt;&gt;INDEX(LAYOUT!$D$2:$D$80,MATCH(Y412&amp;"|"&amp;W412,LAYOUT!$E$2:$E$80,0)),"CEK JENIS ZONA",IF($D412="","Zona STOCK",IF($E412="","CEK SKU DESCRIPTION kosong","OK")))))))</f>
        <v/>
      </c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1" t="n"/>
      <c r="M413" s="11" t="n"/>
      <c r="N413" s="11" t="n"/>
      <c r="O413" s="12">
        <f>IF(L413="","",IFERROR(INDEX(DAFTAR_FIXTURE!$B$2:$B$51,MATCH(L413,DAFTAR_FIXTURE!$A$2:$A$51,0)),""))</f>
        <v/>
      </c>
      <c r="P413" s="12">
        <f>IF(AND($D413="",L413=""),"",IF(L413="",IF(AND(Q413="",V413=""),"Belum ditempatkan",""),IF(O413="","CEK ID FIXTURE tidak ada di DAFTAR_FIXTURE",IF(M413="","CEK ZONA NO kosong",IF(ISNA(MATCH(O413&amp;"|"&amp;M413,LAYOUT!$E$2:$E$80,0)),"CEK ZONA NO di luar layout",IF(N413&lt;&gt;INDEX(LAYOUT!$D$2:$D$80,MATCH(O413&amp;"|"&amp;M413,LAYOUT!$E$2:$E$80,0)),"CEK JENIS ZONA",IF($D413="","Zona STOCK",IF($E413="","CEK SKU DESCRIPTION kosong","OK"))))))))</f>
        <v/>
      </c>
      <c r="Q413" s="11" t="n"/>
      <c r="R413" s="11" t="n"/>
      <c r="S413" s="11" t="n"/>
      <c r="T413" s="12">
        <f>IF(Q413="","",IFERROR(INDEX(DAFTAR_FIXTURE!$B$2:$B$51,MATCH(Q413,DAFTAR_FIXTURE!$A$2:$A$51,0)),""))</f>
        <v/>
      </c>
      <c r="U413" s="12">
        <f>IF(Q413="","",IF(T413="","CEK ID FIXTURE tidak ada di DAFTAR_FIXTURE",IF(R413="","CEK ZONA NO kosong",IF(ISNA(MATCH(T413&amp;"|"&amp;R413,LAYOUT!$E$2:$E$80,0)),"CEK ZONA NO di luar layout",IF(S413&lt;&gt;INDEX(LAYOUT!$D$2:$D$80,MATCH(T413&amp;"|"&amp;R413,LAYOUT!$E$2:$E$80,0)),"CEK JENIS ZONA",IF($D413="","Zona STOCK",IF($E413="","CEK SKU DESCRIPTION kosong","OK")))))))</f>
        <v/>
      </c>
      <c r="V413" s="11" t="n"/>
      <c r="W413" s="11" t="n"/>
      <c r="X413" s="11" t="n"/>
      <c r="Y413" s="12">
        <f>IF(V413="","",IFERROR(INDEX(DAFTAR_FIXTURE!$B$2:$B$51,MATCH(V413,DAFTAR_FIXTURE!$A$2:$A$51,0)),""))</f>
        <v/>
      </c>
      <c r="Z413" s="12">
        <f>IF(V413="","",IF(Y413="","CEK ID FIXTURE tidak ada di DAFTAR_FIXTURE",IF(W413="","CEK ZONA NO kosong",IF(ISNA(MATCH(Y413&amp;"|"&amp;W413,LAYOUT!$E$2:$E$80,0)),"CEK ZONA NO di luar layout",IF(X413&lt;&gt;INDEX(LAYOUT!$D$2:$D$80,MATCH(Y413&amp;"|"&amp;W413,LAYOUT!$E$2:$E$80,0)),"CEK JENIS ZONA",IF($D413="","Zona STOCK",IF($E413="","CEK SKU DESCRIPTION kosong","OK")))))))</f>
        <v/>
      </c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1" t="n"/>
      <c r="M414" s="11" t="n"/>
      <c r="N414" s="11" t="n"/>
      <c r="O414" s="12">
        <f>IF(L414="","",IFERROR(INDEX(DAFTAR_FIXTURE!$B$2:$B$51,MATCH(L414,DAFTAR_FIXTURE!$A$2:$A$51,0)),""))</f>
        <v/>
      </c>
      <c r="P414" s="12">
        <f>IF(AND($D414="",L414=""),"",IF(L414="",IF(AND(Q414="",V414=""),"Belum ditempatkan",""),IF(O414="","CEK ID FIXTURE tidak ada di DAFTAR_FIXTURE",IF(M414="","CEK ZONA NO kosong",IF(ISNA(MATCH(O414&amp;"|"&amp;M414,LAYOUT!$E$2:$E$80,0)),"CEK ZONA NO di luar layout",IF(N414&lt;&gt;INDEX(LAYOUT!$D$2:$D$80,MATCH(O414&amp;"|"&amp;M414,LAYOUT!$E$2:$E$80,0)),"CEK JENIS ZONA",IF($D414="","Zona STOCK",IF($E414="","CEK SKU DESCRIPTION kosong","OK"))))))))</f>
        <v/>
      </c>
      <c r="Q414" s="11" t="n"/>
      <c r="R414" s="11" t="n"/>
      <c r="S414" s="11" t="n"/>
      <c r="T414" s="12">
        <f>IF(Q414="","",IFERROR(INDEX(DAFTAR_FIXTURE!$B$2:$B$51,MATCH(Q414,DAFTAR_FIXTURE!$A$2:$A$51,0)),""))</f>
        <v/>
      </c>
      <c r="U414" s="12">
        <f>IF(Q414="","",IF(T414="","CEK ID FIXTURE tidak ada di DAFTAR_FIXTURE",IF(R414="","CEK ZONA NO kosong",IF(ISNA(MATCH(T414&amp;"|"&amp;R414,LAYOUT!$E$2:$E$80,0)),"CEK ZONA NO di luar layout",IF(S414&lt;&gt;INDEX(LAYOUT!$D$2:$D$80,MATCH(T414&amp;"|"&amp;R414,LAYOUT!$E$2:$E$80,0)),"CEK JENIS ZONA",IF($D414="","Zona STOCK",IF($E414="","CEK SKU DESCRIPTION kosong","OK")))))))</f>
        <v/>
      </c>
      <c r="V414" s="11" t="n"/>
      <c r="W414" s="11" t="n"/>
      <c r="X414" s="11" t="n"/>
      <c r="Y414" s="12">
        <f>IF(V414="","",IFERROR(INDEX(DAFTAR_FIXTURE!$B$2:$B$51,MATCH(V414,DAFTAR_FIXTURE!$A$2:$A$51,0)),""))</f>
        <v/>
      </c>
      <c r="Z414" s="12">
        <f>IF(V414="","",IF(Y414="","CEK ID FIXTURE tidak ada di DAFTAR_FIXTURE",IF(W414="","CEK ZONA NO kosong",IF(ISNA(MATCH(Y414&amp;"|"&amp;W414,LAYOUT!$E$2:$E$80,0)),"CEK ZONA NO di luar layout",IF(X414&lt;&gt;INDEX(LAYOUT!$D$2:$D$80,MATCH(Y414&amp;"|"&amp;W414,LAYOUT!$E$2:$E$80,0)),"CEK JENIS ZONA",IF($D414="","Zona STOCK",IF($E414="","CEK SKU DESCRIPTION kosong","OK")))))))</f>
        <v/>
      </c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1" t="n"/>
      <c r="M415" s="11" t="n"/>
      <c r="N415" s="11" t="n"/>
      <c r="O415" s="12">
        <f>IF(L415="","",IFERROR(INDEX(DAFTAR_FIXTURE!$B$2:$B$51,MATCH(L415,DAFTAR_FIXTURE!$A$2:$A$51,0)),""))</f>
        <v/>
      </c>
      <c r="P415" s="12">
        <f>IF(AND($D415="",L415=""),"",IF(L415="",IF(AND(Q415="",V415=""),"Belum ditempatkan",""),IF(O415="","CEK ID FIXTURE tidak ada di DAFTAR_FIXTURE",IF(M415="","CEK ZONA NO kosong",IF(ISNA(MATCH(O415&amp;"|"&amp;M415,LAYOUT!$E$2:$E$80,0)),"CEK ZONA NO di luar layout",IF(N415&lt;&gt;INDEX(LAYOUT!$D$2:$D$80,MATCH(O415&amp;"|"&amp;M415,LAYOUT!$E$2:$E$80,0)),"CEK JENIS ZONA",IF($D415="","Zona STOCK",IF($E415="","CEK SKU DESCRIPTION kosong","OK"))))))))</f>
        <v/>
      </c>
      <c r="Q415" s="11" t="n"/>
      <c r="R415" s="11" t="n"/>
      <c r="S415" s="11" t="n"/>
      <c r="T415" s="12">
        <f>IF(Q415="","",IFERROR(INDEX(DAFTAR_FIXTURE!$B$2:$B$51,MATCH(Q415,DAFTAR_FIXTURE!$A$2:$A$51,0)),""))</f>
        <v/>
      </c>
      <c r="U415" s="12">
        <f>IF(Q415="","",IF(T415="","CEK ID FIXTURE tidak ada di DAFTAR_FIXTURE",IF(R415="","CEK ZONA NO kosong",IF(ISNA(MATCH(T415&amp;"|"&amp;R415,LAYOUT!$E$2:$E$80,0)),"CEK ZONA NO di luar layout",IF(S415&lt;&gt;INDEX(LAYOUT!$D$2:$D$80,MATCH(T415&amp;"|"&amp;R415,LAYOUT!$E$2:$E$80,0)),"CEK JENIS ZONA",IF($D415="","Zona STOCK",IF($E415="","CEK SKU DESCRIPTION kosong","OK")))))))</f>
        <v/>
      </c>
      <c r="V415" s="11" t="n"/>
      <c r="W415" s="11" t="n"/>
      <c r="X415" s="11" t="n"/>
      <c r="Y415" s="12">
        <f>IF(V415="","",IFERROR(INDEX(DAFTAR_FIXTURE!$B$2:$B$51,MATCH(V415,DAFTAR_FIXTURE!$A$2:$A$51,0)),""))</f>
        <v/>
      </c>
      <c r="Z415" s="12">
        <f>IF(V415="","",IF(Y415="","CEK ID FIXTURE tidak ada di DAFTAR_FIXTURE",IF(W415="","CEK ZONA NO kosong",IF(ISNA(MATCH(Y415&amp;"|"&amp;W415,LAYOUT!$E$2:$E$80,0)),"CEK ZONA NO di luar layout",IF(X415&lt;&gt;INDEX(LAYOUT!$D$2:$D$80,MATCH(Y415&amp;"|"&amp;W415,LAYOUT!$E$2:$E$80,0)),"CEK JENIS ZONA",IF($D415="","Zona STOCK",IF($E415="","CEK SKU DESCRIPTION kosong","OK")))))))</f>
        <v/>
      </c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1" t="n"/>
      <c r="M416" s="11" t="n"/>
      <c r="N416" s="11" t="n"/>
      <c r="O416" s="12">
        <f>IF(L416="","",IFERROR(INDEX(DAFTAR_FIXTURE!$B$2:$B$51,MATCH(L416,DAFTAR_FIXTURE!$A$2:$A$51,0)),""))</f>
        <v/>
      </c>
      <c r="P416" s="12">
        <f>IF(AND($D416="",L416=""),"",IF(L416="",IF(AND(Q416="",V416=""),"Belum ditempatkan",""),IF(O416="","CEK ID FIXTURE tidak ada di DAFTAR_FIXTURE",IF(M416="","CEK ZONA NO kosong",IF(ISNA(MATCH(O416&amp;"|"&amp;M416,LAYOUT!$E$2:$E$80,0)),"CEK ZONA NO di luar layout",IF(N416&lt;&gt;INDEX(LAYOUT!$D$2:$D$80,MATCH(O416&amp;"|"&amp;M416,LAYOUT!$E$2:$E$80,0)),"CEK JENIS ZONA",IF($D416="","Zona STOCK",IF($E416="","CEK SKU DESCRIPTION kosong","OK"))))))))</f>
        <v/>
      </c>
      <c r="Q416" s="11" t="n"/>
      <c r="R416" s="11" t="n"/>
      <c r="S416" s="11" t="n"/>
      <c r="T416" s="12">
        <f>IF(Q416="","",IFERROR(INDEX(DAFTAR_FIXTURE!$B$2:$B$51,MATCH(Q416,DAFTAR_FIXTURE!$A$2:$A$51,0)),""))</f>
        <v/>
      </c>
      <c r="U416" s="12">
        <f>IF(Q416="","",IF(T416="","CEK ID FIXTURE tidak ada di DAFTAR_FIXTURE",IF(R416="","CEK ZONA NO kosong",IF(ISNA(MATCH(T416&amp;"|"&amp;R416,LAYOUT!$E$2:$E$80,0)),"CEK ZONA NO di luar layout",IF(S416&lt;&gt;INDEX(LAYOUT!$D$2:$D$80,MATCH(T416&amp;"|"&amp;R416,LAYOUT!$E$2:$E$80,0)),"CEK JENIS ZONA",IF($D416="","Zona STOCK",IF($E416="","CEK SKU DESCRIPTION kosong","OK")))))))</f>
        <v/>
      </c>
      <c r="V416" s="11" t="n"/>
      <c r="W416" s="11" t="n"/>
      <c r="X416" s="11" t="n"/>
      <c r="Y416" s="12">
        <f>IF(V416="","",IFERROR(INDEX(DAFTAR_FIXTURE!$B$2:$B$51,MATCH(V416,DAFTAR_FIXTURE!$A$2:$A$51,0)),""))</f>
        <v/>
      </c>
      <c r="Z416" s="12">
        <f>IF(V416="","",IF(Y416="","CEK ID FIXTURE tidak ada di DAFTAR_FIXTURE",IF(W416="","CEK ZONA NO kosong",IF(ISNA(MATCH(Y416&amp;"|"&amp;W416,LAYOUT!$E$2:$E$80,0)),"CEK ZONA NO di luar layout",IF(X416&lt;&gt;INDEX(LAYOUT!$D$2:$D$80,MATCH(Y416&amp;"|"&amp;W416,LAYOUT!$E$2:$E$80,0)),"CEK JENIS ZONA",IF($D416="","Zona STOCK",IF($E416="","CEK SKU DESCRIPTION kosong","OK")))))))</f>
        <v/>
      </c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1" t="n"/>
      <c r="M417" s="11" t="n"/>
      <c r="N417" s="11" t="n"/>
      <c r="O417" s="12">
        <f>IF(L417="","",IFERROR(INDEX(DAFTAR_FIXTURE!$B$2:$B$51,MATCH(L417,DAFTAR_FIXTURE!$A$2:$A$51,0)),""))</f>
        <v/>
      </c>
      <c r="P417" s="12">
        <f>IF(AND($D417="",L417=""),"",IF(L417="",IF(AND(Q417="",V417=""),"Belum ditempatkan",""),IF(O417="","CEK ID FIXTURE tidak ada di DAFTAR_FIXTURE",IF(M417="","CEK ZONA NO kosong",IF(ISNA(MATCH(O417&amp;"|"&amp;M417,LAYOUT!$E$2:$E$80,0)),"CEK ZONA NO di luar layout",IF(N417&lt;&gt;INDEX(LAYOUT!$D$2:$D$80,MATCH(O417&amp;"|"&amp;M417,LAYOUT!$E$2:$E$80,0)),"CEK JENIS ZONA",IF($D417="","Zona STOCK",IF($E417="","CEK SKU DESCRIPTION kosong","OK"))))))))</f>
        <v/>
      </c>
      <c r="Q417" s="11" t="n"/>
      <c r="R417" s="11" t="n"/>
      <c r="S417" s="11" t="n"/>
      <c r="T417" s="12">
        <f>IF(Q417="","",IFERROR(INDEX(DAFTAR_FIXTURE!$B$2:$B$51,MATCH(Q417,DAFTAR_FIXTURE!$A$2:$A$51,0)),""))</f>
        <v/>
      </c>
      <c r="U417" s="12">
        <f>IF(Q417="","",IF(T417="","CEK ID FIXTURE tidak ada di DAFTAR_FIXTURE",IF(R417="","CEK ZONA NO kosong",IF(ISNA(MATCH(T417&amp;"|"&amp;R417,LAYOUT!$E$2:$E$80,0)),"CEK ZONA NO di luar layout",IF(S417&lt;&gt;INDEX(LAYOUT!$D$2:$D$80,MATCH(T417&amp;"|"&amp;R417,LAYOUT!$E$2:$E$80,0)),"CEK JENIS ZONA",IF($D417="","Zona STOCK",IF($E417="","CEK SKU DESCRIPTION kosong","OK")))))))</f>
        <v/>
      </c>
      <c r="V417" s="11" t="n"/>
      <c r="W417" s="11" t="n"/>
      <c r="X417" s="11" t="n"/>
      <c r="Y417" s="12">
        <f>IF(V417="","",IFERROR(INDEX(DAFTAR_FIXTURE!$B$2:$B$51,MATCH(V417,DAFTAR_FIXTURE!$A$2:$A$51,0)),""))</f>
        <v/>
      </c>
      <c r="Z417" s="12">
        <f>IF(V417="","",IF(Y417="","CEK ID FIXTURE tidak ada di DAFTAR_FIXTURE",IF(W417="","CEK ZONA NO kosong",IF(ISNA(MATCH(Y417&amp;"|"&amp;W417,LAYOUT!$E$2:$E$80,0)),"CEK ZONA NO di luar layout",IF(X417&lt;&gt;INDEX(LAYOUT!$D$2:$D$80,MATCH(Y417&amp;"|"&amp;W417,LAYOUT!$E$2:$E$80,0)),"CEK JENIS ZONA",IF($D417="","Zona STOCK",IF($E417="","CEK SKU DESCRIPTION kosong","OK")))))))</f>
        <v/>
      </c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1" t="n"/>
      <c r="M418" s="11" t="n"/>
      <c r="N418" s="11" t="n"/>
      <c r="O418" s="12">
        <f>IF(L418="","",IFERROR(INDEX(DAFTAR_FIXTURE!$B$2:$B$51,MATCH(L418,DAFTAR_FIXTURE!$A$2:$A$51,0)),""))</f>
        <v/>
      </c>
      <c r="P418" s="12">
        <f>IF(AND($D418="",L418=""),"",IF(L418="",IF(AND(Q418="",V418=""),"Belum ditempatkan",""),IF(O418="","CEK ID FIXTURE tidak ada di DAFTAR_FIXTURE",IF(M418="","CEK ZONA NO kosong",IF(ISNA(MATCH(O418&amp;"|"&amp;M418,LAYOUT!$E$2:$E$80,0)),"CEK ZONA NO di luar layout",IF(N418&lt;&gt;INDEX(LAYOUT!$D$2:$D$80,MATCH(O418&amp;"|"&amp;M418,LAYOUT!$E$2:$E$80,0)),"CEK JENIS ZONA",IF($D418="","Zona STOCK",IF($E418="","CEK SKU DESCRIPTION kosong","OK"))))))))</f>
        <v/>
      </c>
      <c r="Q418" s="11" t="n"/>
      <c r="R418" s="11" t="n"/>
      <c r="S418" s="11" t="n"/>
      <c r="T418" s="12">
        <f>IF(Q418="","",IFERROR(INDEX(DAFTAR_FIXTURE!$B$2:$B$51,MATCH(Q418,DAFTAR_FIXTURE!$A$2:$A$51,0)),""))</f>
        <v/>
      </c>
      <c r="U418" s="12">
        <f>IF(Q418="","",IF(T418="","CEK ID FIXTURE tidak ada di DAFTAR_FIXTURE",IF(R418="","CEK ZONA NO kosong",IF(ISNA(MATCH(T418&amp;"|"&amp;R418,LAYOUT!$E$2:$E$80,0)),"CEK ZONA NO di luar layout",IF(S418&lt;&gt;INDEX(LAYOUT!$D$2:$D$80,MATCH(T418&amp;"|"&amp;R418,LAYOUT!$E$2:$E$80,0)),"CEK JENIS ZONA",IF($D418="","Zona STOCK",IF($E418="","CEK SKU DESCRIPTION kosong","OK")))))))</f>
        <v/>
      </c>
      <c r="V418" s="11" t="n"/>
      <c r="W418" s="11" t="n"/>
      <c r="X418" s="11" t="n"/>
      <c r="Y418" s="12">
        <f>IF(V418="","",IFERROR(INDEX(DAFTAR_FIXTURE!$B$2:$B$51,MATCH(V418,DAFTAR_FIXTURE!$A$2:$A$51,0)),""))</f>
        <v/>
      </c>
      <c r="Z418" s="12">
        <f>IF(V418="","",IF(Y418="","CEK ID FIXTURE tidak ada di DAFTAR_FIXTURE",IF(W418="","CEK ZONA NO kosong",IF(ISNA(MATCH(Y418&amp;"|"&amp;W418,LAYOUT!$E$2:$E$80,0)),"CEK ZONA NO di luar layout",IF(X418&lt;&gt;INDEX(LAYOUT!$D$2:$D$80,MATCH(Y418&amp;"|"&amp;W418,LAYOUT!$E$2:$E$80,0)),"CEK JENIS ZONA",IF($D418="","Zona STOCK",IF($E418="","CEK SKU DESCRIPTION kosong","OK")))))))</f>
        <v/>
      </c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1" t="n"/>
      <c r="M419" s="11" t="n"/>
      <c r="N419" s="11" t="n"/>
      <c r="O419" s="12">
        <f>IF(L419="","",IFERROR(INDEX(DAFTAR_FIXTURE!$B$2:$B$51,MATCH(L419,DAFTAR_FIXTURE!$A$2:$A$51,0)),""))</f>
        <v/>
      </c>
      <c r="P419" s="12">
        <f>IF(AND($D419="",L419=""),"",IF(L419="",IF(AND(Q419="",V419=""),"Belum ditempatkan",""),IF(O419="","CEK ID FIXTURE tidak ada di DAFTAR_FIXTURE",IF(M419="","CEK ZONA NO kosong",IF(ISNA(MATCH(O419&amp;"|"&amp;M419,LAYOUT!$E$2:$E$80,0)),"CEK ZONA NO di luar layout",IF(N419&lt;&gt;INDEX(LAYOUT!$D$2:$D$80,MATCH(O419&amp;"|"&amp;M419,LAYOUT!$E$2:$E$80,0)),"CEK JENIS ZONA",IF($D419="","Zona STOCK",IF($E419="","CEK SKU DESCRIPTION kosong","OK"))))))))</f>
        <v/>
      </c>
      <c r="Q419" s="11" t="n"/>
      <c r="R419" s="11" t="n"/>
      <c r="S419" s="11" t="n"/>
      <c r="T419" s="12">
        <f>IF(Q419="","",IFERROR(INDEX(DAFTAR_FIXTURE!$B$2:$B$51,MATCH(Q419,DAFTAR_FIXTURE!$A$2:$A$51,0)),""))</f>
        <v/>
      </c>
      <c r="U419" s="12">
        <f>IF(Q419="","",IF(T419="","CEK ID FIXTURE tidak ada di DAFTAR_FIXTURE",IF(R419="","CEK ZONA NO kosong",IF(ISNA(MATCH(T419&amp;"|"&amp;R419,LAYOUT!$E$2:$E$80,0)),"CEK ZONA NO di luar layout",IF(S419&lt;&gt;INDEX(LAYOUT!$D$2:$D$80,MATCH(T419&amp;"|"&amp;R419,LAYOUT!$E$2:$E$80,0)),"CEK JENIS ZONA",IF($D419="","Zona STOCK",IF($E419="","CEK SKU DESCRIPTION kosong","OK")))))))</f>
        <v/>
      </c>
      <c r="V419" s="11" t="n"/>
      <c r="W419" s="11" t="n"/>
      <c r="X419" s="11" t="n"/>
      <c r="Y419" s="12">
        <f>IF(V419="","",IFERROR(INDEX(DAFTAR_FIXTURE!$B$2:$B$51,MATCH(V419,DAFTAR_FIXTURE!$A$2:$A$51,0)),""))</f>
        <v/>
      </c>
      <c r="Z419" s="12">
        <f>IF(V419="","",IF(Y419="","CEK ID FIXTURE tidak ada di DAFTAR_FIXTURE",IF(W419="","CEK ZONA NO kosong",IF(ISNA(MATCH(Y419&amp;"|"&amp;W419,LAYOUT!$E$2:$E$80,0)),"CEK ZONA NO di luar layout",IF(X419&lt;&gt;INDEX(LAYOUT!$D$2:$D$80,MATCH(Y419&amp;"|"&amp;W419,LAYOUT!$E$2:$E$80,0)),"CEK JENIS ZONA",IF($D419="","Zona STOCK",IF($E419="","CEK SKU DESCRIPTION kosong","OK")))))))</f>
        <v/>
      </c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1" t="n"/>
      <c r="M420" s="11" t="n"/>
      <c r="N420" s="11" t="n"/>
      <c r="O420" s="12">
        <f>IF(L420="","",IFERROR(INDEX(DAFTAR_FIXTURE!$B$2:$B$51,MATCH(L420,DAFTAR_FIXTURE!$A$2:$A$51,0)),""))</f>
        <v/>
      </c>
      <c r="P420" s="12">
        <f>IF(AND($D420="",L420=""),"",IF(L420="",IF(AND(Q420="",V420=""),"Belum ditempatkan",""),IF(O420="","CEK ID FIXTURE tidak ada di DAFTAR_FIXTURE",IF(M420="","CEK ZONA NO kosong",IF(ISNA(MATCH(O420&amp;"|"&amp;M420,LAYOUT!$E$2:$E$80,0)),"CEK ZONA NO di luar layout",IF(N420&lt;&gt;INDEX(LAYOUT!$D$2:$D$80,MATCH(O420&amp;"|"&amp;M420,LAYOUT!$E$2:$E$80,0)),"CEK JENIS ZONA",IF($D420="","Zona STOCK",IF($E420="","CEK SKU DESCRIPTION kosong","OK"))))))))</f>
        <v/>
      </c>
      <c r="Q420" s="11" t="n"/>
      <c r="R420" s="11" t="n"/>
      <c r="S420" s="11" t="n"/>
      <c r="T420" s="12">
        <f>IF(Q420="","",IFERROR(INDEX(DAFTAR_FIXTURE!$B$2:$B$51,MATCH(Q420,DAFTAR_FIXTURE!$A$2:$A$51,0)),""))</f>
        <v/>
      </c>
      <c r="U420" s="12">
        <f>IF(Q420="","",IF(T420="","CEK ID FIXTURE tidak ada di DAFTAR_FIXTURE",IF(R420="","CEK ZONA NO kosong",IF(ISNA(MATCH(T420&amp;"|"&amp;R420,LAYOUT!$E$2:$E$80,0)),"CEK ZONA NO di luar layout",IF(S420&lt;&gt;INDEX(LAYOUT!$D$2:$D$80,MATCH(T420&amp;"|"&amp;R420,LAYOUT!$E$2:$E$80,0)),"CEK JENIS ZONA",IF($D420="","Zona STOCK",IF($E420="","CEK SKU DESCRIPTION kosong","OK")))))))</f>
        <v/>
      </c>
      <c r="V420" s="11" t="n"/>
      <c r="W420" s="11" t="n"/>
      <c r="X420" s="11" t="n"/>
      <c r="Y420" s="12">
        <f>IF(V420="","",IFERROR(INDEX(DAFTAR_FIXTURE!$B$2:$B$51,MATCH(V420,DAFTAR_FIXTURE!$A$2:$A$51,0)),""))</f>
        <v/>
      </c>
      <c r="Z420" s="12">
        <f>IF(V420="","",IF(Y420="","CEK ID FIXTURE tidak ada di DAFTAR_FIXTURE",IF(W420="","CEK ZONA NO kosong",IF(ISNA(MATCH(Y420&amp;"|"&amp;W420,LAYOUT!$E$2:$E$80,0)),"CEK ZONA NO di luar layout",IF(X420&lt;&gt;INDEX(LAYOUT!$D$2:$D$80,MATCH(Y420&amp;"|"&amp;W420,LAYOUT!$E$2:$E$80,0)),"CEK JENIS ZONA",IF($D420="","Zona STOCK",IF($E420="","CEK SKU DESCRIPTION kosong","OK")))))))</f>
        <v/>
      </c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1" t="n"/>
      <c r="M421" s="11" t="n"/>
      <c r="N421" s="11" t="n"/>
      <c r="O421" s="12">
        <f>IF(L421="","",IFERROR(INDEX(DAFTAR_FIXTURE!$B$2:$B$51,MATCH(L421,DAFTAR_FIXTURE!$A$2:$A$51,0)),""))</f>
        <v/>
      </c>
      <c r="P421" s="12">
        <f>IF(AND($D421="",L421=""),"",IF(L421="",IF(AND(Q421="",V421=""),"Belum ditempatkan",""),IF(O421="","CEK ID FIXTURE tidak ada di DAFTAR_FIXTURE",IF(M421="","CEK ZONA NO kosong",IF(ISNA(MATCH(O421&amp;"|"&amp;M421,LAYOUT!$E$2:$E$80,0)),"CEK ZONA NO di luar layout",IF(N421&lt;&gt;INDEX(LAYOUT!$D$2:$D$80,MATCH(O421&amp;"|"&amp;M421,LAYOUT!$E$2:$E$80,0)),"CEK JENIS ZONA",IF($D421="","Zona STOCK",IF($E421="","CEK SKU DESCRIPTION kosong","OK"))))))))</f>
        <v/>
      </c>
      <c r="Q421" s="11" t="n"/>
      <c r="R421" s="11" t="n"/>
      <c r="S421" s="11" t="n"/>
      <c r="T421" s="12">
        <f>IF(Q421="","",IFERROR(INDEX(DAFTAR_FIXTURE!$B$2:$B$51,MATCH(Q421,DAFTAR_FIXTURE!$A$2:$A$51,0)),""))</f>
        <v/>
      </c>
      <c r="U421" s="12">
        <f>IF(Q421="","",IF(T421="","CEK ID FIXTURE tidak ada di DAFTAR_FIXTURE",IF(R421="","CEK ZONA NO kosong",IF(ISNA(MATCH(T421&amp;"|"&amp;R421,LAYOUT!$E$2:$E$80,0)),"CEK ZONA NO di luar layout",IF(S421&lt;&gt;INDEX(LAYOUT!$D$2:$D$80,MATCH(T421&amp;"|"&amp;R421,LAYOUT!$E$2:$E$80,0)),"CEK JENIS ZONA",IF($D421="","Zona STOCK",IF($E421="","CEK SKU DESCRIPTION kosong","OK")))))))</f>
        <v/>
      </c>
      <c r="V421" s="11" t="n"/>
      <c r="W421" s="11" t="n"/>
      <c r="X421" s="11" t="n"/>
      <c r="Y421" s="12">
        <f>IF(V421="","",IFERROR(INDEX(DAFTAR_FIXTURE!$B$2:$B$51,MATCH(V421,DAFTAR_FIXTURE!$A$2:$A$51,0)),""))</f>
        <v/>
      </c>
      <c r="Z421" s="12">
        <f>IF(V421="","",IF(Y421="","CEK ID FIXTURE tidak ada di DAFTAR_FIXTURE",IF(W421="","CEK ZONA NO kosong",IF(ISNA(MATCH(Y421&amp;"|"&amp;W421,LAYOUT!$E$2:$E$80,0)),"CEK ZONA NO di luar layout",IF(X421&lt;&gt;INDEX(LAYOUT!$D$2:$D$80,MATCH(Y421&amp;"|"&amp;W421,LAYOUT!$E$2:$E$80,0)),"CEK JENIS ZONA",IF($D421="","Zona STOCK",IF($E421="","CEK SKU DESCRIPTION kosong","OK")))))))</f>
        <v/>
      </c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1" t="n"/>
      <c r="M422" s="11" t="n"/>
      <c r="N422" s="11" t="n"/>
      <c r="O422" s="12">
        <f>IF(L422="","",IFERROR(INDEX(DAFTAR_FIXTURE!$B$2:$B$51,MATCH(L422,DAFTAR_FIXTURE!$A$2:$A$51,0)),""))</f>
        <v/>
      </c>
      <c r="P422" s="12">
        <f>IF(AND($D422="",L422=""),"",IF(L422="",IF(AND(Q422="",V422=""),"Belum ditempatkan",""),IF(O422="","CEK ID FIXTURE tidak ada di DAFTAR_FIXTURE",IF(M422="","CEK ZONA NO kosong",IF(ISNA(MATCH(O422&amp;"|"&amp;M422,LAYOUT!$E$2:$E$80,0)),"CEK ZONA NO di luar layout",IF(N422&lt;&gt;INDEX(LAYOUT!$D$2:$D$80,MATCH(O422&amp;"|"&amp;M422,LAYOUT!$E$2:$E$80,0)),"CEK JENIS ZONA",IF($D422="","Zona STOCK",IF($E422="","CEK SKU DESCRIPTION kosong","OK"))))))))</f>
        <v/>
      </c>
      <c r="Q422" s="11" t="n"/>
      <c r="R422" s="11" t="n"/>
      <c r="S422" s="11" t="n"/>
      <c r="T422" s="12">
        <f>IF(Q422="","",IFERROR(INDEX(DAFTAR_FIXTURE!$B$2:$B$51,MATCH(Q422,DAFTAR_FIXTURE!$A$2:$A$51,0)),""))</f>
        <v/>
      </c>
      <c r="U422" s="12">
        <f>IF(Q422="","",IF(T422="","CEK ID FIXTURE tidak ada di DAFTAR_FIXTURE",IF(R422="","CEK ZONA NO kosong",IF(ISNA(MATCH(T422&amp;"|"&amp;R422,LAYOUT!$E$2:$E$80,0)),"CEK ZONA NO di luar layout",IF(S422&lt;&gt;INDEX(LAYOUT!$D$2:$D$80,MATCH(T422&amp;"|"&amp;R422,LAYOUT!$E$2:$E$80,0)),"CEK JENIS ZONA",IF($D422="","Zona STOCK",IF($E422="","CEK SKU DESCRIPTION kosong","OK")))))))</f>
        <v/>
      </c>
      <c r="V422" s="11" t="n"/>
      <c r="W422" s="11" t="n"/>
      <c r="X422" s="11" t="n"/>
      <c r="Y422" s="12">
        <f>IF(V422="","",IFERROR(INDEX(DAFTAR_FIXTURE!$B$2:$B$51,MATCH(V422,DAFTAR_FIXTURE!$A$2:$A$51,0)),""))</f>
        <v/>
      </c>
      <c r="Z422" s="12">
        <f>IF(V422="","",IF(Y422="","CEK ID FIXTURE tidak ada di DAFTAR_FIXTURE",IF(W422="","CEK ZONA NO kosong",IF(ISNA(MATCH(Y422&amp;"|"&amp;W422,LAYOUT!$E$2:$E$80,0)),"CEK ZONA NO di luar layout",IF(X422&lt;&gt;INDEX(LAYOUT!$D$2:$D$80,MATCH(Y422&amp;"|"&amp;W422,LAYOUT!$E$2:$E$80,0)),"CEK JENIS ZONA",IF($D422="","Zona STOCK",IF($E422="","CEK SKU DESCRIPTION kosong","OK")))))))</f>
        <v/>
      </c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1" t="n"/>
      <c r="M423" s="11" t="n"/>
      <c r="N423" s="11" t="n"/>
      <c r="O423" s="12">
        <f>IF(L423="","",IFERROR(INDEX(DAFTAR_FIXTURE!$B$2:$B$51,MATCH(L423,DAFTAR_FIXTURE!$A$2:$A$51,0)),""))</f>
        <v/>
      </c>
      <c r="P423" s="12">
        <f>IF(AND($D423="",L423=""),"",IF(L423="",IF(AND(Q423="",V423=""),"Belum ditempatkan",""),IF(O423="","CEK ID FIXTURE tidak ada di DAFTAR_FIXTURE",IF(M423="","CEK ZONA NO kosong",IF(ISNA(MATCH(O423&amp;"|"&amp;M423,LAYOUT!$E$2:$E$80,0)),"CEK ZONA NO di luar layout",IF(N423&lt;&gt;INDEX(LAYOUT!$D$2:$D$80,MATCH(O423&amp;"|"&amp;M423,LAYOUT!$E$2:$E$80,0)),"CEK JENIS ZONA",IF($D423="","Zona STOCK",IF($E423="","CEK SKU DESCRIPTION kosong","OK"))))))))</f>
        <v/>
      </c>
      <c r="Q423" s="11" t="n"/>
      <c r="R423" s="11" t="n"/>
      <c r="S423" s="11" t="n"/>
      <c r="T423" s="12">
        <f>IF(Q423="","",IFERROR(INDEX(DAFTAR_FIXTURE!$B$2:$B$51,MATCH(Q423,DAFTAR_FIXTURE!$A$2:$A$51,0)),""))</f>
        <v/>
      </c>
      <c r="U423" s="12">
        <f>IF(Q423="","",IF(T423="","CEK ID FIXTURE tidak ada di DAFTAR_FIXTURE",IF(R423="","CEK ZONA NO kosong",IF(ISNA(MATCH(T423&amp;"|"&amp;R423,LAYOUT!$E$2:$E$80,0)),"CEK ZONA NO di luar layout",IF(S423&lt;&gt;INDEX(LAYOUT!$D$2:$D$80,MATCH(T423&amp;"|"&amp;R423,LAYOUT!$E$2:$E$80,0)),"CEK JENIS ZONA",IF($D423="","Zona STOCK",IF($E423="","CEK SKU DESCRIPTION kosong","OK")))))))</f>
        <v/>
      </c>
      <c r="V423" s="11" t="n"/>
      <c r="W423" s="11" t="n"/>
      <c r="X423" s="11" t="n"/>
      <c r="Y423" s="12">
        <f>IF(V423="","",IFERROR(INDEX(DAFTAR_FIXTURE!$B$2:$B$51,MATCH(V423,DAFTAR_FIXTURE!$A$2:$A$51,0)),""))</f>
        <v/>
      </c>
      <c r="Z423" s="12">
        <f>IF(V423="","",IF(Y423="","CEK ID FIXTURE tidak ada di DAFTAR_FIXTURE",IF(W423="","CEK ZONA NO kosong",IF(ISNA(MATCH(Y423&amp;"|"&amp;W423,LAYOUT!$E$2:$E$80,0)),"CEK ZONA NO di luar layout",IF(X423&lt;&gt;INDEX(LAYOUT!$D$2:$D$80,MATCH(Y423&amp;"|"&amp;W423,LAYOUT!$E$2:$E$80,0)),"CEK JENIS ZONA",IF($D423="","Zona STOCK",IF($E423="","CEK SKU DESCRIPTION kosong","OK")))))))</f>
        <v/>
      </c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1" t="n"/>
      <c r="M424" s="11" t="n"/>
      <c r="N424" s="11" t="n"/>
      <c r="O424" s="12">
        <f>IF(L424="","",IFERROR(INDEX(DAFTAR_FIXTURE!$B$2:$B$51,MATCH(L424,DAFTAR_FIXTURE!$A$2:$A$51,0)),""))</f>
        <v/>
      </c>
      <c r="P424" s="12">
        <f>IF(AND($D424="",L424=""),"",IF(L424="",IF(AND(Q424="",V424=""),"Belum ditempatkan",""),IF(O424="","CEK ID FIXTURE tidak ada di DAFTAR_FIXTURE",IF(M424="","CEK ZONA NO kosong",IF(ISNA(MATCH(O424&amp;"|"&amp;M424,LAYOUT!$E$2:$E$80,0)),"CEK ZONA NO di luar layout",IF(N424&lt;&gt;INDEX(LAYOUT!$D$2:$D$80,MATCH(O424&amp;"|"&amp;M424,LAYOUT!$E$2:$E$80,0)),"CEK JENIS ZONA",IF($D424="","Zona STOCK",IF($E424="","CEK SKU DESCRIPTION kosong","OK"))))))))</f>
        <v/>
      </c>
      <c r="Q424" s="11" t="n"/>
      <c r="R424" s="11" t="n"/>
      <c r="S424" s="11" t="n"/>
      <c r="T424" s="12">
        <f>IF(Q424="","",IFERROR(INDEX(DAFTAR_FIXTURE!$B$2:$B$51,MATCH(Q424,DAFTAR_FIXTURE!$A$2:$A$51,0)),""))</f>
        <v/>
      </c>
      <c r="U424" s="12">
        <f>IF(Q424="","",IF(T424="","CEK ID FIXTURE tidak ada di DAFTAR_FIXTURE",IF(R424="","CEK ZONA NO kosong",IF(ISNA(MATCH(T424&amp;"|"&amp;R424,LAYOUT!$E$2:$E$80,0)),"CEK ZONA NO di luar layout",IF(S424&lt;&gt;INDEX(LAYOUT!$D$2:$D$80,MATCH(T424&amp;"|"&amp;R424,LAYOUT!$E$2:$E$80,0)),"CEK JENIS ZONA",IF($D424="","Zona STOCK",IF($E424="","CEK SKU DESCRIPTION kosong","OK")))))))</f>
        <v/>
      </c>
      <c r="V424" s="11" t="n"/>
      <c r="W424" s="11" t="n"/>
      <c r="X424" s="11" t="n"/>
      <c r="Y424" s="12">
        <f>IF(V424="","",IFERROR(INDEX(DAFTAR_FIXTURE!$B$2:$B$51,MATCH(V424,DAFTAR_FIXTURE!$A$2:$A$51,0)),""))</f>
        <v/>
      </c>
      <c r="Z424" s="12">
        <f>IF(V424="","",IF(Y424="","CEK ID FIXTURE tidak ada di DAFTAR_FIXTURE",IF(W424="","CEK ZONA NO kosong",IF(ISNA(MATCH(Y424&amp;"|"&amp;W424,LAYOUT!$E$2:$E$80,0)),"CEK ZONA NO di luar layout",IF(X424&lt;&gt;INDEX(LAYOUT!$D$2:$D$80,MATCH(Y424&amp;"|"&amp;W424,LAYOUT!$E$2:$E$80,0)),"CEK JENIS ZONA",IF($D424="","Zona STOCK",IF($E424="","CEK SKU DESCRIPTION kosong","OK")))))))</f>
        <v/>
      </c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1" t="n"/>
      <c r="M425" s="11" t="n"/>
      <c r="N425" s="11" t="n"/>
      <c r="O425" s="12">
        <f>IF(L425="","",IFERROR(INDEX(DAFTAR_FIXTURE!$B$2:$B$51,MATCH(L425,DAFTAR_FIXTURE!$A$2:$A$51,0)),""))</f>
        <v/>
      </c>
      <c r="P425" s="12">
        <f>IF(AND($D425="",L425=""),"",IF(L425="",IF(AND(Q425="",V425=""),"Belum ditempatkan",""),IF(O425="","CEK ID FIXTURE tidak ada di DAFTAR_FIXTURE",IF(M425="","CEK ZONA NO kosong",IF(ISNA(MATCH(O425&amp;"|"&amp;M425,LAYOUT!$E$2:$E$80,0)),"CEK ZONA NO di luar layout",IF(N425&lt;&gt;INDEX(LAYOUT!$D$2:$D$80,MATCH(O425&amp;"|"&amp;M425,LAYOUT!$E$2:$E$80,0)),"CEK JENIS ZONA",IF($D425="","Zona STOCK",IF($E425="","CEK SKU DESCRIPTION kosong","OK"))))))))</f>
        <v/>
      </c>
      <c r="Q425" s="11" t="n"/>
      <c r="R425" s="11" t="n"/>
      <c r="S425" s="11" t="n"/>
      <c r="T425" s="12">
        <f>IF(Q425="","",IFERROR(INDEX(DAFTAR_FIXTURE!$B$2:$B$51,MATCH(Q425,DAFTAR_FIXTURE!$A$2:$A$51,0)),""))</f>
        <v/>
      </c>
      <c r="U425" s="12">
        <f>IF(Q425="","",IF(T425="","CEK ID FIXTURE tidak ada di DAFTAR_FIXTURE",IF(R425="","CEK ZONA NO kosong",IF(ISNA(MATCH(T425&amp;"|"&amp;R425,LAYOUT!$E$2:$E$80,0)),"CEK ZONA NO di luar layout",IF(S425&lt;&gt;INDEX(LAYOUT!$D$2:$D$80,MATCH(T425&amp;"|"&amp;R425,LAYOUT!$E$2:$E$80,0)),"CEK JENIS ZONA",IF($D425="","Zona STOCK",IF($E425="","CEK SKU DESCRIPTION kosong","OK")))))))</f>
        <v/>
      </c>
      <c r="V425" s="11" t="n"/>
      <c r="W425" s="11" t="n"/>
      <c r="X425" s="11" t="n"/>
      <c r="Y425" s="12">
        <f>IF(V425="","",IFERROR(INDEX(DAFTAR_FIXTURE!$B$2:$B$51,MATCH(V425,DAFTAR_FIXTURE!$A$2:$A$51,0)),""))</f>
        <v/>
      </c>
      <c r="Z425" s="12">
        <f>IF(V425="","",IF(Y425="","CEK ID FIXTURE tidak ada di DAFTAR_FIXTURE",IF(W425="","CEK ZONA NO kosong",IF(ISNA(MATCH(Y425&amp;"|"&amp;W425,LAYOUT!$E$2:$E$80,0)),"CEK ZONA NO di luar layout",IF(X425&lt;&gt;INDEX(LAYOUT!$D$2:$D$80,MATCH(Y425&amp;"|"&amp;W425,LAYOUT!$E$2:$E$80,0)),"CEK JENIS ZONA",IF($D425="","Zona STOCK",IF($E425="","CEK SKU DESCRIPTION kosong","OK")))))))</f>
        <v/>
      </c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1" t="n"/>
      <c r="M426" s="11" t="n"/>
      <c r="N426" s="11" t="n"/>
      <c r="O426" s="12">
        <f>IF(L426="","",IFERROR(INDEX(DAFTAR_FIXTURE!$B$2:$B$51,MATCH(L426,DAFTAR_FIXTURE!$A$2:$A$51,0)),""))</f>
        <v/>
      </c>
      <c r="P426" s="12">
        <f>IF(AND($D426="",L426=""),"",IF(L426="",IF(AND(Q426="",V426=""),"Belum ditempatkan",""),IF(O426="","CEK ID FIXTURE tidak ada di DAFTAR_FIXTURE",IF(M426="","CEK ZONA NO kosong",IF(ISNA(MATCH(O426&amp;"|"&amp;M426,LAYOUT!$E$2:$E$80,0)),"CEK ZONA NO di luar layout",IF(N426&lt;&gt;INDEX(LAYOUT!$D$2:$D$80,MATCH(O426&amp;"|"&amp;M426,LAYOUT!$E$2:$E$80,0)),"CEK JENIS ZONA",IF($D426="","Zona STOCK",IF($E426="","CEK SKU DESCRIPTION kosong","OK"))))))))</f>
        <v/>
      </c>
      <c r="Q426" s="11" t="n"/>
      <c r="R426" s="11" t="n"/>
      <c r="S426" s="11" t="n"/>
      <c r="T426" s="12">
        <f>IF(Q426="","",IFERROR(INDEX(DAFTAR_FIXTURE!$B$2:$B$51,MATCH(Q426,DAFTAR_FIXTURE!$A$2:$A$51,0)),""))</f>
        <v/>
      </c>
      <c r="U426" s="12">
        <f>IF(Q426="","",IF(T426="","CEK ID FIXTURE tidak ada di DAFTAR_FIXTURE",IF(R426="","CEK ZONA NO kosong",IF(ISNA(MATCH(T426&amp;"|"&amp;R426,LAYOUT!$E$2:$E$80,0)),"CEK ZONA NO di luar layout",IF(S426&lt;&gt;INDEX(LAYOUT!$D$2:$D$80,MATCH(T426&amp;"|"&amp;R426,LAYOUT!$E$2:$E$80,0)),"CEK JENIS ZONA",IF($D426="","Zona STOCK",IF($E426="","CEK SKU DESCRIPTION kosong","OK")))))))</f>
        <v/>
      </c>
      <c r="V426" s="11" t="n"/>
      <c r="W426" s="11" t="n"/>
      <c r="X426" s="11" t="n"/>
      <c r="Y426" s="12">
        <f>IF(V426="","",IFERROR(INDEX(DAFTAR_FIXTURE!$B$2:$B$51,MATCH(V426,DAFTAR_FIXTURE!$A$2:$A$51,0)),""))</f>
        <v/>
      </c>
      <c r="Z426" s="12">
        <f>IF(V426="","",IF(Y426="","CEK ID FIXTURE tidak ada di DAFTAR_FIXTURE",IF(W426="","CEK ZONA NO kosong",IF(ISNA(MATCH(Y426&amp;"|"&amp;W426,LAYOUT!$E$2:$E$80,0)),"CEK ZONA NO di luar layout",IF(X426&lt;&gt;INDEX(LAYOUT!$D$2:$D$80,MATCH(Y426&amp;"|"&amp;W426,LAYOUT!$E$2:$E$80,0)),"CEK JENIS ZONA",IF($D426="","Zona STOCK",IF($E426="","CEK SKU DESCRIPTION kosong","OK")))))))</f>
        <v/>
      </c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1" t="n"/>
      <c r="M427" s="11" t="n"/>
      <c r="N427" s="11" t="n"/>
      <c r="O427" s="12">
        <f>IF(L427="","",IFERROR(INDEX(DAFTAR_FIXTURE!$B$2:$B$51,MATCH(L427,DAFTAR_FIXTURE!$A$2:$A$51,0)),""))</f>
        <v/>
      </c>
      <c r="P427" s="12">
        <f>IF(AND($D427="",L427=""),"",IF(L427="",IF(AND(Q427="",V427=""),"Belum ditempatkan",""),IF(O427="","CEK ID FIXTURE tidak ada di DAFTAR_FIXTURE",IF(M427="","CEK ZONA NO kosong",IF(ISNA(MATCH(O427&amp;"|"&amp;M427,LAYOUT!$E$2:$E$80,0)),"CEK ZONA NO di luar layout",IF(N427&lt;&gt;INDEX(LAYOUT!$D$2:$D$80,MATCH(O427&amp;"|"&amp;M427,LAYOUT!$E$2:$E$80,0)),"CEK JENIS ZONA",IF($D427="","Zona STOCK",IF($E427="","CEK SKU DESCRIPTION kosong","OK"))))))))</f>
        <v/>
      </c>
      <c r="Q427" s="11" t="n"/>
      <c r="R427" s="11" t="n"/>
      <c r="S427" s="11" t="n"/>
      <c r="T427" s="12">
        <f>IF(Q427="","",IFERROR(INDEX(DAFTAR_FIXTURE!$B$2:$B$51,MATCH(Q427,DAFTAR_FIXTURE!$A$2:$A$51,0)),""))</f>
        <v/>
      </c>
      <c r="U427" s="12">
        <f>IF(Q427="","",IF(T427="","CEK ID FIXTURE tidak ada di DAFTAR_FIXTURE",IF(R427="","CEK ZONA NO kosong",IF(ISNA(MATCH(T427&amp;"|"&amp;R427,LAYOUT!$E$2:$E$80,0)),"CEK ZONA NO di luar layout",IF(S427&lt;&gt;INDEX(LAYOUT!$D$2:$D$80,MATCH(T427&amp;"|"&amp;R427,LAYOUT!$E$2:$E$80,0)),"CEK JENIS ZONA",IF($D427="","Zona STOCK",IF($E427="","CEK SKU DESCRIPTION kosong","OK")))))))</f>
        <v/>
      </c>
      <c r="V427" s="11" t="n"/>
      <c r="W427" s="11" t="n"/>
      <c r="X427" s="11" t="n"/>
      <c r="Y427" s="12">
        <f>IF(V427="","",IFERROR(INDEX(DAFTAR_FIXTURE!$B$2:$B$51,MATCH(V427,DAFTAR_FIXTURE!$A$2:$A$51,0)),""))</f>
        <v/>
      </c>
      <c r="Z427" s="12">
        <f>IF(V427="","",IF(Y427="","CEK ID FIXTURE tidak ada di DAFTAR_FIXTURE",IF(W427="","CEK ZONA NO kosong",IF(ISNA(MATCH(Y427&amp;"|"&amp;W427,LAYOUT!$E$2:$E$80,0)),"CEK ZONA NO di luar layout",IF(X427&lt;&gt;INDEX(LAYOUT!$D$2:$D$80,MATCH(Y427&amp;"|"&amp;W427,LAYOUT!$E$2:$E$80,0)),"CEK JENIS ZONA",IF($D427="","Zona STOCK",IF($E427="","CEK SKU DESCRIPTION kosong","OK")))))))</f>
        <v/>
      </c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1" t="n"/>
      <c r="M428" s="11" t="n"/>
      <c r="N428" s="11" t="n"/>
      <c r="O428" s="12">
        <f>IF(L428="","",IFERROR(INDEX(DAFTAR_FIXTURE!$B$2:$B$51,MATCH(L428,DAFTAR_FIXTURE!$A$2:$A$51,0)),""))</f>
        <v/>
      </c>
      <c r="P428" s="12">
        <f>IF(AND($D428="",L428=""),"",IF(L428="",IF(AND(Q428="",V428=""),"Belum ditempatkan",""),IF(O428="","CEK ID FIXTURE tidak ada di DAFTAR_FIXTURE",IF(M428="","CEK ZONA NO kosong",IF(ISNA(MATCH(O428&amp;"|"&amp;M428,LAYOUT!$E$2:$E$80,0)),"CEK ZONA NO di luar layout",IF(N428&lt;&gt;INDEX(LAYOUT!$D$2:$D$80,MATCH(O428&amp;"|"&amp;M428,LAYOUT!$E$2:$E$80,0)),"CEK JENIS ZONA",IF($D428="","Zona STOCK",IF($E428="","CEK SKU DESCRIPTION kosong","OK"))))))))</f>
        <v/>
      </c>
      <c r="Q428" s="11" t="n"/>
      <c r="R428" s="11" t="n"/>
      <c r="S428" s="11" t="n"/>
      <c r="T428" s="12">
        <f>IF(Q428="","",IFERROR(INDEX(DAFTAR_FIXTURE!$B$2:$B$51,MATCH(Q428,DAFTAR_FIXTURE!$A$2:$A$51,0)),""))</f>
        <v/>
      </c>
      <c r="U428" s="12">
        <f>IF(Q428="","",IF(T428="","CEK ID FIXTURE tidak ada di DAFTAR_FIXTURE",IF(R428="","CEK ZONA NO kosong",IF(ISNA(MATCH(T428&amp;"|"&amp;R428,LAYOUT!$E$2:$E$80,0)),"CEK ZONA NO di luar layout",IF(S428&lt;&gt;INDEX(LAYOUT!$D$2:$D$80,MATCH(T428&amp;"|"&amp;R428,LAYOUT!$E$2:$E$80,0)),"CEK JENIS ZONA",IF($D428="","Zona STOCK",IF($E428="","CEK SKU DESCRIPTION kosong","OK")))))))</f>
        <v/>
      </c>
      <c r="V428" s="11" t="n"/>
      <c r="W428" s="11" t="n"/>
      <c r="X428" s="11" t="n"/>
      <c r="Y428" s="12">
        <f>IF(V428="","",IFERROR(INDEX(DAFTAR_FIXTURE!$B$2:$B$51,MATCH(V428,DAFTAR_FIXTURE!$A$2:$A$51,0)),""))</f>
        <v/>
      </c>
      <c r="Z428" s="12">
        <f>IF(V428="","",IF(Y428="","CEK ID FIXTURE tidak ada di DAFTAR_FIXTURE",IF(W428="","CEK ZONA NO kosong",IF(ISNA(MATCH(Y428&amp;"|"&amp;W428,LAYOUT!$E$2:$E$80,0)),"CEK ZONA NO di luar layout",IF(X428&lt;&gt;INDEX(LAYOUT!$D$2:$D$80,MATCH(Y428&amp;"|"&amp;W428,LAYOUT!$E$2:$E$80,0)),"CEK JENIS ZONA",IF($D428="","Zona STOCK",IF($E428="","CEK SKU DESCRIPTION kosong","OK")))))))</f>
        <v/>
      </c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1" t="n"/>
      <c r="M429" s="11" t="n"/>
      <c r="N429" s="11" t="n"/>
      <c r="O429" s="12">
        <f>IF(L429="","",IFERROR(INDEX(DAFTAR_FIXTURE!$B$2:$B$51,MATCH(L429,DAFTAR_FIXTURE!$A$2:$A$51,0)),""))</f>
        <v/>
      </c>
      <c r="P429" s="12">
        <f>IF(AND($D429="",L429=""),"",IF(L429="",IF(AND(Q429="",V429=""),"Belum ditempatkan",""),IF(O429="","CEK ID FIXTURE tidak ada di DAFTAR_FIXTURE",IF(M429="","CEK ZONA NO kosong",IF(ISNA(MATCH(O429&amp;"|"&amp;M429,LAYOUT!$E$2:$E$80,0)),"CEK ZONA NO di luar layout",IF(N429&lt;&gt;INDEX(LAYOUT!$D$2:$D$80,MATCH(O429&amp;"|"&amp;M429,LAYOUT!$E$2:$E$80,0)),"CEK JENIS ZONA",IF($D429="","Zona STOCK",IF($E429="","CEK SKU DESCRIPTION kosong","OK"))))))))</f>
        <v/>
      </c>
      <c r="Q429" s="11" t="n"/>
      <c r="R429" s="11" t="n"/>
      <c r="S429" s="11" t="n"/>
      <c r="T429" s="12">
        <f>IF(Q429="","",IFERROR(INDEX(DAFTAR_FIXTURE!$B$2:$B$51,MATCH(Q429,DAFTAR_FIXTURE!$A$2:$A$51,0)),""))</f>
        <v/>
      </c>
      <c r="U429" s="12">
        <f>IF(Q429="","",IF(T429="","CEK ID FIXTURE tidak ada di DAFTAR_FIXTURE",IF(R429="","CEK ZONA NO kosong",IF(ISNA(MATCH(T429&amp;"|"&amp;R429,LAYOUT!$E$2:$E$80,0)),"CEK ZONA NO di luar layout",IF(S429&lt;&gt;INDEX(LAYOUT!$D$2:$D$80,MATCH(T429&amp;"|"&amp;R429,LAYOUT!$E$2:$E$80,0)),"CEK JENIS ZONA",IF($D429="","Zona STOCK",IF($E429="","CEK SKU DESCRIPTION kosong","OK")))))))</f>
        <v/>
      </c>
      <c r="V429" s="11" t="n"/>
      <c r="W429" s="11" t="n"/>
      <c r="X429" s="11" t="n"/>
      <c r="Y429" s="12">
        <f>IF(V429="","",IFERROR(INDEX(DAFTAR_FIXTURE!$B$2:$B$51,MATCH(V429,DAFTAR_FIXTURE!$A$2:$A$51,0)),""))</f>
        <v/>
      </c>
      <c r="Z429" s="12">
        <f>IF(V429="","",IF(Y429="","CEK ID FIXTURE tidak ada di DAFTAR_FIXTURE",IF(W429="","CEK ZONA NO kosong",IF(ISNA(MATCH(Y429&amp;"|"&amp;W429,LAYOUT!$E$2:$E$80,0)),"CEK ZONA NO di luar layout",IF(X429&lt;&gt;INDEX(LAYOUT!$D$2:$D$80,MATCH(Y429&amp;"|"&amp;W429,LAYOUT!$E$2:$E$80,0)),"CEK JENIS ZONA",IF($D429="","Zona STOCK",IF($E429="","CEK SKU DESCRIPTION kosong","OK")))))))</f>
        <v/>
      </c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1" t="n"/>
      <c r="M430" s="11" t="n"/>
      <c r="N430" s="11" t="n"/>
      <c r="O430" s="12">
        <f>IF(L430="","",IFERROR(INDEX(DAFTAR_FIXTURE!$B$2:$B$51,MATCH(L430,DAFTAR_FIXTURE!$A$2:$A$51,0)),""))</f>
        <v/>
      </c>
      <c r="P430" s="12">
        <f>IF(AND($D430="",L430=""),"",IF(L430="",IF(AND(Q430="",V430=""),"Belum ditempatkan",""),IF(O430="","CEK ID FIXTURE tidak ada di DAFTAR_FIXTURE",IF(M430="","CEK ZONA NO kosong",IF(ISNA(MATCH(O430&amp;"|"&amp;M430,LAYOUT!$E$2:$E$80,0)),"CEK ZONA NO di luar layout",IF(N430&lt;&gt;INDEX(LAYOUT!$D$2:$D$80,MATCH(O430&amp;"|"&amp;M430,LAYOUT!$E$2:$E$80,0)),"CEK JENIS ZONA",IF($D430="","Zona STOCK",IF($E430="","CEK SKU DESCRIPTION kosong","OK"))))))))</f>
        <v/>
      </c>
      <c r="Q430" s="11" t="n"/>
      <c r="R430" s="11" t="n"/>
      <c r="S430" s="11" t="n"/>
      <c r="T430" s="12">
        <f>IF(Q430="","",IFERROR(INDEX(DAFTAR_FIXTURE!$B$2:$B$51,MATCH(Q430,DAFTAR_FIXTURE!$A$2:$A$51,0)),""))</f>
        <v/>
      </c>
      <c r="U430" s="12">
        <f>IF(Q430="","",IF(T430="","CEK ID FIXTURE tidak ada di DAFTAR_FIXTURE",IF(R430="","CEK ZONA NO kosong",IF(ISNA(MATCH(T430&amp;"|"&amp;R430,LAYOUT!$E$2:$E$80,0)),"CEK ZONA NO di luar layout",IF(S430&lt;&gt;INDEX(LAYOUT!$D$2:$D$80,MATCH(T430&amp;"|"&amp;R430,LAYOUT!$E$2:$E$80,0)),"CEK JENIS ZONA",IF($D430="","Zona STOCK",IF($E430="","CEK SKU DESCRIPTION kosong","OK")))))))</f>
        <v/>
      </c>
      <c r="V430" s="11" t="n"/>
      <c r="W430" s="11" t="n"/>
      <c r="X430" s="11" t="n"/>
      <c r="Y430" s="12">
        <f>IF(V430="","",IFERROR(INDEX(DAFTAR_FIXTURE!$B$2:$B$51,MATCH(V430,DAFTAR_FIXTURE!$A$2:$A$51,0)),""))</f>
        <v/>
      </c>
      <c r="Z430" s="12">
        <f>IF(V430="","",IF(Y430="","CEK ID FIXTURE tidak ada di DAFTAR_FIXTURE",IF(W430="","CEK ZONA NO kosong",IF(ISNA(MATCH(Y430&amp;"|"&amp;W430,LAYOUT!$E$2:$E$80,0)),"CEK ZONA NO di luar layout",IF(X430&lt;&gt;INDEX(LAYOUT!$D$2:$D$80,MATCH(Y430&amp;"|"&amp;W430,LAYOUT!$E$2:$E$80,0)),"CEK JENIS ZONA",IF($D430="","Zona STOCK",IF($E430="","CEK SKU DESCRIPTION kosong","OK")))))))</f>
        <v/>
      </c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1" t="n"/>
      <c r="M431" s="11" t="n"/>
      <c r="N431" s="11" t="n"/>
      <c r="O431" s="12">
        <f>IF(L431="","",IFERROR(INDEX(DAFTAR_FIXTURE!$B$2:$B$51,MATCH(L431,DAFTAR_FIXTURE!$A$2:$A$51,0)),""))</f>
        <v/>
      </c>
      <c r="P431" s="12">
        <f>IF(AND($D431="",L431=""),"",IF(L431="",IF(AND(Q431="",V431=""),"Belum ditempatkan",""),IF(O431="","CEK ID FIXTURE tidak ada di DAFTAR_FIXTURE",IF(M431="","CEK ZONA NO kosong",IF(ISNA(MATCH(O431&amp;"|"&amp;M431,LAYOUT!$E$2:$E$80,0)),"CEK ZONA NO di luar layout",IF(N431&lt;&gt;INDEX(LAYOUT!$D$2:$D$80,MATCH(O431&amp;"|"&amp;M431,LAYOUT!$E$2:$E$80,0)),"CEK JENIS ZONA",IF($D431="","Zona STOCK",IF($E431="","CEK SKU DESCRIPTION kosong","OK"))))))))</f>
        <v/>
      </c>
      <c r="Q431" s="11" t="n"/>
      <c r="R431" s="11" t="n"/>
      <c r="S431" s="11" t="n"/>
      <c r="T431" s="12">
        <f>IF(Q431="","",IFERROR(INDEX(DAFTAR_FIXTURE!$B$2:$B$51,MATCH(Q431,DAFTAR_FIXTURE!$A$2:$A$51,0)),""))</f>
        <v/>
      </c>
      <c r="U431" s="12">
        <f>IF(Q431="","",IF(T431="","CEK ID FIXTURE tidak ada di DAFTAR_FIXTURE",IF(R431="","CEK ZONA NO kosong",IF(ISNA(MATCH(T431&amp;"|"&amp;R431,LAYOUT!$E$2:$E$80,0)),"CEK ZONA NO di luar layout",IF(S431&lt;&gt;INDEX(LAYOUT!$D$2:$D$80,MATCH(T431&amp;"|"&amp;R431,LAYOUT!$E$2:$E$80,0)),"CEK JENIS ZONA",IF($D431="","Zona STOCK",IF($E431="","CEK SKU DESCRIPTION kosong","OK")))))))</f>
        <v/>
      </c>
      <c r="V431" s="11" t="n"/>
      <c r="W431" s="11" t="n"/>
      <c r="X431" s="11" t="n"/>
      <c r="Y431" s="12">
        <f>IF(V431="","",IFERROR(INDEX(DAFTAR_FIXTURE!$B$2:$B$51,MATCH(V431,DAFTAR_FIXTURE!$A$2:$A$51,0)),""))</f>
        <v/>
      </c>
      <c r="Z431" s="12">
        <f>IF(V431="","",IF(Y431="","CEK ID FIXTURE tidak ada di DAFTAR_FIXTURE",IF(W431="","CEK ZONA NO kosong",IF(ISNA(MATCH(Y431&amp;"|"&amp;W431,LAYOUT!$E$2:$E$80,0)),"CEK ZONA NO di luar layout",IF(X431&lt;&gt;INDEX(LAYOUT!$D$2:$D$80,MATCH(Y431&amp;"|"&amp;W431,LAYOUT!$E$2:$E$80,0)),"CEK JENIS ZONA",IF($D431="","Zona STOCK",IF($E431="","CEK SKU DESCRIPTION kosong","OK")))))))</f>
        <v/>
      </c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1" t="n"/>
      <c r="M432" s="11" t="n"/>
      <c r="N432" s="11" t="n"/>
      <c r="O432" s="12">
        <f>IF(L432="","",IFERROR(INDEX(DAFTAR_FIXTURE!$B$2:$B$51,MATCH(L432,DAFTAR_FIXTURE!$A$2:$A$51,0)),""))</f>
        <v/>
      </c>
      <c r="P432" s="12">
        <f>IF(AND($D432="",L432=""),"",IF(L432="",IF(AND(Q432="",V432=""),"Belum ditempatkan",""),IF(O432="","CEK ID FIXTURE tidak ada di DAFTAR_FIXTURE",IF(M432="","CEK ZONA NO kosong",IF(ISNA(MATCH(O432&amp;"|"&amp;M432,LAYOUT!$E$2:$E$80,0)),"CEK ZONA NO di luar layout",IF(N432&lt;&gt;INDEX(LAYOUT!$D$2:$D$80,MATCH(O432&amp;"|"&amp;M432,LAYOUT!$E$2:$E$80,0)),"CEK JENIS ZONA",IF($D432="","Zona STOCK",IF($E432="","CEK SKU DESCRIPTION kosong","OK"))))))))</f>
        <v/>
      </c>
      <c r="Q432" s="11" t="n"/>
      <c r="R432" s="11" t="n"/>
      <c r="S432" s="11" t="n"/>
      <c r="T432" s="12">
        <f>IF(Q432="","",IFERROR(INDEX(DAFTAR_FIXTURE!$B$2:$B$51,MATCH(Q432,DAFTAR_FIXTURE!$A$2:$A$51,0)),""))</f>
        <v/>
      </c>
      <c r="U432" s="12">
        <f>IF(Q432="","",IF(T432="","CEK ID FIXTURE tidak ada di DAFTAR_FIXTURE",IF(R432="","CEK ZONA NO kosong",IF(ISNA(MATCH(T432&amp;"|"&amp;R432,LAYOUT!$E$2:$E$80,0)),"CEK ZONA NO di luar layout",IF(S432&lt;&gt;INDEX(LAYOUT!$D$2:$D$80,MATCH(T432&amp;"|"&amp;R432,LAYOUT!$E$2:$E$80,0)),"CEK JENIS ZONA",IF($D432="","Zona STOCK",IF($E432="","CEK SKU DESCRIPTION kosong","OK")))))))</f>
        <v/>
      </c>
      <c r="V432" s="11" t="n"/>
      <c r="W432" s="11" t="n"/>
      <c r="X432" s="11" t="n"/>
      <c r="Y432" s="12">
        <f>IF(V432="","",IFERROR(INDEX(DAFTAR_FIXTURE!$B$2:$B$51,MATCH(V432,DAFTAR_FIXTURE!$A$2:$A$51,0)),""))</f>
        <v/>
      </c>
      <c r="Z432" s="12">
        <f>IF(V432="","",IF(Y432="","CEK ID FIXTURE tidak ada di DAFTAR_FIXTURE",IF(W432="","CEK ZONA NO kosong",IF(ISNA(MATCH(Y432&amp;"|"&amp;W432,LAYOUT!$E$2:$E$80,0)),"CEK ZONA NO di luar layout",IF(X432&lt;&gt;INDEX(LAYOUT!$D$2:$D$80,MATCH(Y432&amp;"|"&amp;W432,LAYOUT!$E$2:$E$80,0)),"CEK JENIS ZONA",IF($D432="","Zona STOCK",IF($E432="","CEK SKU DESCRIPTION kosong","OK")))))))</f>
        <v/>
      </c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1" t="n"/>
      <c r="M433" s="11" t="n"/>
      <c r="N433" s="11" t="n"/>
      <c r="O433" s="12">
        <f>IF(L433="","",IFERROR(INDEX(DAFTAR_FIXTURE!$B$2:$B$51,MATCH(L433,DAFTAR_FIXTURE!$A$2:$A$51,0)),""))</f>
        <v/>
      </c>
      <c r="P433" s="12">
        <f>IF(AND($D433="",L433=""),"",IF(L433="",IF(AND(Q433="",V433=""),"Belum ditempatkan",""),IF(O433="","CEK ID FIXTURE tidak ada di DAFTAR_FIXTURE",IF(M433="","CEK ZONA NO kosong",IF(ISNA(MATCH(O433&amp;"|"&amp;M433,LAYOUT!$E$2:$E$80,0)),"CEK ZONA NO di luar layout",IF(N433&lt;&gt;INDEX(LAYOUT!$D$2:$D$80,MATCH(O433&amp;"|"&amp;M433,LAYOUT!$E$2:$E$80,0)),"CEK JENIS ZONA",IF($D433="","Zona STOCK",IF($E433="","CEK SKU DESCRIPTION kosong","OK"))))))))</f>
        <v/>
      </c>
      <c r="Q433" s="11" t="n"/>
      <c r="R433" s="11" t="n"/>
      <c r="S433" s="11" t="n"/>
      <c r="T433" s="12">
        <f>IF(Q433="","",IFERROR(INDEX(DAFTAR_FIXTURE!$B$2:$B$51,MATCH(Q433,DAFTAR_FIXTURE!$A$2:$A$51,0)),""))</f>
        <v/>
      </c>
      <c r="U433" s="12">
        <f>IF(Q433="","",IF(T433="","CEK ID FIXTURE tidak ada di DAFTAR_FIXTURE",IF(R433="","CEK ZONA NO kosong",IF(ISNA(MATCH(T433&amp;"|"&amp;R433,LAYOUT!$E$2:$E$80,0)),"CEK ZONA NO di luar layout",IF(S433&lt;&gt;INDEX(LAYOUT!$D$2:$D$80,MATCH(T433&amp;"|"&amp;R433,LAYOUT!$E$2:$E$80,0)),"CEK JENIS ZONA",IF($D433="","Zona STOCK",IF($E433="","CEK SKU DESCRIPTION kosong","OK")))))))</f>
        <v/>
      </c>
      <c r="V433" s="11" t="n"/>
      <c r="W433" s="11" t="n"/>
      <c r="X433" s="11" t="n"/>
      <c r="Y433" s="12">
        <f>IF(V433="","",IFERROR(INDEX(DAFTAR_FIXTURE!$B$2:$B$51,MATCH(V433,DAFTAR_FIXTURE!$A$2:$A$51,0)),""))</f>
        <v/>
      </c>
      <c r="Z433" s="12">
        <f>IF(V433="","",IF(Y433="","CEK ID FIXTURE tidak ada di DAFTAR_FIXTURE",IF(W433="","CEK ZONA NO kosong",IF(ISNA(MATCH(Y433&amp;"|"&amp;W433,LAYOUT!$E$2:$E$80,0)),"CEK ZONA NO di luar layout",IF(X433&lt;&gt;INDEX(LAYOUT!$D$2:$D$80,MATCH(Y433&amp;"|"&amp;W433,LAYOUT!$E$2:$E$80,0)),"CEK JENIS ZONA",IF($D433="","Zona STOCK",IF($E433="","CEK SKU DESCRIPTION kosong","OK")))))))</f>
        <v/>
      </c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1" t="n"/>
      <c r="M434" s="11" t="n"/>
      <c r="N434" s="11" t="n"/>
      <c r="O434" s="12">
        <f>IF(L434="","",IFERROR(INDEX(DAFTAR_FIXTURE!$B$2:$B$51,MATCH(L434,DAFTAR_FIXTURE!$A$2:$A$51,0)),""))</f>
        <v/>
      </c>
      <c r="P434" s="12">
        <f>IF(AND($D434="",L434=""),"",IF(L434="",IF(AND(Q434="",V434=""),"Belum ditempatkan",""),IF(O434="","CEK ID FIXTURE tidak ada di DAFTAR_FIXTURE",IF(M434="","CEK ZONA NO kosong",IF(ISNA(MATCH(O434&amp;"|"&amp;M434,LAYOUT!$E$2:$E$80,0)),"CEK ZONA NO di luar layout",IF(N434&lt;&gt;INDEX(LAYOUT!$D$2:$D$80,MATCH(O434&amp;"|"&amp;M434,LAYOUT!$E$2:$E$80,0)),"CEK JENIS ZONA",IF($D434="","Zona STOCK",IF($E434="","CEK SKU DESCRIPTION kosong","OK"))))))))</f>
        <v/>
      </c>
      <c r="Q434" s="11" t="n"/>
      <c r="R434" s="11" t="n"/>
      <c r="S434" s="11" t="n"/>
      <c r="T434" s="12">
        <f>IF(Q434="","",IFERROR(INDEX(DAFTAR_FIXTURE!$B$2:$B$51,MATCH(Q434,DAFTAR_FIXTURE!$A$2:$A$51,0)),""))</f>
        <v/>
      </c>
      <c r="U434" s="12">
        <f>IF(Q434="","",IF(T434="","CEK ID FIXTURE tidak ada di DAFTAR_FIXTURE",IF(R434="","CEK ZONA NO kosong",IF(ISNA(MATCH(T434&amp;"|"&amp;R434,LAYOUT!$E$2:$E$80,0)),"CEK ZONA NO di luar layout",IF(S434&lt;&gt;INDEX(LAYOUT!$D$2:$D$80,MATCH(T434&amp;"|"&amp;R434,LAYOUT!$E$2:$E$80,0)),"CEK JENIS ZONA",IF($D434="","Zona STOCK",IF($E434="","CEK SKU DESCRIPTION kosong","OK")))))))</f>
        <v/>
      </c>
      <c r="V434" s="11" t="n"/>
      <c r="W434" s="11" t="n"/>
      <c r="X434" s="11" t="n"/>
      <c r="Y434" s="12">
        <f>IF(V434="","",IFERROR(INDEX(DAFTAR_FIXTURE!$B$2:$B$51,MATCH(V434,DAFTAR_FIXTURE!$A$2:$A$51,0)),""))</f>
        <v/>
      </c>
      <c r="Z434" s="12">
        <f>IF(V434="","",IF(Y434="","CEK ID FIXTURE tidak ada di DAFTAR_FIXTURE",IF(W434="","CEK ZONA NO kosong",IF(ISNA(MATCH(Y434&amp;"|"&amp;W434,LAYOUT!$E$2:$E$80,0)),"CEK ZONA NO di luar layout",IF(X434&lt;&gt;INDEX(LAYOUT!$D$2:$D$80,MATCH(Y434&amp;"|"&amp;W434,LAYOUT!$E$2:$E$80,0)),"CEK JENIS ZONA",IF($D434="","Zona STOCK",IF($E434="","CEK SKU DESCRIPTION kosong","OK")))))))</f>
        <v/>
      </c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1" t="n"/>
      <c r="M435" s="11" t="n"/>
      <c r="N435" s="11" t="n"/>
      <c r="O435" s="12">
        <f>IF(L435="","",IFERROR(INDEX(DAFTAR_FIXTURE!$B$2:$B$51,MATCH(L435,DAFTAR_FIXTURE!$A$2:$A$51,0)),""))</f>
        <v/>
      </c>
      <c r="P435" s="12">
        <f>IF(AND($D435="",L435=""),"",IF(L435="",IF(AND(Q435="",V435=""),"Belum ditempatkan",""),IF(O435="","CEK ID FIXTURE tidak ada di DAFTAR_FIXTURE",IF(M435="","CEK ZONA NO kosong",IF(ISNA(MATCH(O435&amp;"|"&amp;M435,LAYOUT!$E$2:$E$80,0)),"CEK ZONA NO di luar layout",IF(N435&lt;&gt;INDEX(LAYOUT!$D$2:$D$80,MATCH(O435&amp;"|"&amp;M435,LAYOUT!$E$2:$E$80,0)),"CEK JENIS ZONA",IF($D435="","Zona STOCK",IF($E435="","CEK SKU DESCRIPTION kosong","OK"))))))))</f>
        <v/>
      </c>
      <c r="Q435" s="11" t="n"/>
      <c r="R435" s="11" t="n"/>
      <c r="S435" s="11" t="n"/>
      <c r="T435" s="12">
        <f>IF(Q435="","",IFERROR(INDEX(DAFTAR_FIXTURE!$B$2:$B$51,MATCH(Q435,DAFTAR_FIXTURE!$A$2:$A$51,0)),""))</f>
        <v/>
      </c>
      <c r="U435" s="12">
        <f>IF(Q435="","",IF(T435="","CEK ID FIXTURE tidak ada di DAFTAR_FIXTURE",IF(R435="","CEK ZONA NO kosong",IF(ISNA(MATCH(T435&amp;"|"&amp;R435,LAYOUT!$E$2:$E$80,0)),"CEK ZONA NO di luar layout",IF(S435&lt;&gt;INDEX(LAYOUT!$D$2:$D$80,MATCH(T435&amp;"|"&amp;R435,LAYOUT!$E$2:$E$80,0)),"CEK JENIS ZONA",IF($D435="","Zona STOCK",IF($E435="","CEK SKU DESCRIPTION kosong","OK")))))))</f>
        <v/>
      </c>
      <c r="V435" s="11" t="n"/>
      <c r="W435" s="11" t="n"/>
      <c r="X435" s="11" t="n"/>
      <c r="Y435" s="12">
        <f>IF(V435="","",IFERROR(INDEX(DAFTAR_FIXTURE!$B$2:$B$51,MATCH(V435,DAFTAR_FIXTURE!$A$2:$A$51,0)),""))</f>
        <v/>
      </c>
      <c r="Z435" s="12">
        <f>IF(V435="","",IF(Y435="","CEK ID FIXTURE tidak ada di DAFTAR_FIXTURE",IF(W435="","CEK ZONA NO kosong",IF(ISNA(MATCH(Y435&amp;"|"&amp;W435,LAYOUT!$E$2:$E$80,0)),"CEK ZONA NO di luar layout",IF(X435&lt;&gt;INDEX(LAYOUT!$D$2:$D$80,MATCH(Y435&amp;"|"&amp;W435,LAYOUT!$E$2:$E$80,0)),"CEK JENIS ZONA",IF($D435="","Zona STOCK",IF($E435="","CEK SKU DESCRIPTION kosong","OK")))))))</f>
        <v/>
      </c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1" t="n"/>
      <c r="M436" s="11" t="n"/>
      <c r="N436" s="11" t="n"/>
      <c r="O436" s="12">
        <f>IF(L436="","",IFERROR(INDEX(DAFTAR_FIXTURE!$B$2:$B$51,MATCH(L436,DAFTAR_FIXTURE!$A$2:$A$51,0)),""))</f>
        <v/>
      </c>
      <c r="P436" s="12">
        <f>IF(AND($D436="",L436=""),"",IF(L436="",IF(AND(Q436="",V436=""),"Belum ditempatkan",""),IF(O436="","CEK ID FIXTURE tidak ada di DAFTAR_FIXTURE",IF(M436="","CEK ZONA NO kosong",IF(ISNA(MATCH(O436&amp;"|"&amp;M436,LAYOUT!$E$2:$E$80,0)),"CEK ZONA NO di luar layout",IF(N436&lt;&gt;INDEX(LAYOUT!$D$2:$D$80,MATCH(O436&amp;"|"&amp;M436,LAYOUT!$E$2:$E$80,0)),"CEK JENIS ZONA",IF($D436="","Zona STOCK",IF($E436="","CEK SKU DESCRIPTION kosong","OK"))))))))</f>
        <v/>
      </c>
      <c r="Q436" s="11" t="n"/>
      <c r="R436" s="11" t="n"/>
      <c r="S436" s="11" t="n"/>
      <c r="T436" s="12">
        <f>IF(Q436="","",IFERROR(INDEX(DAFTAR_FIXTURE!$B$2:$B$51,MATCH(Q436,DAFTAR_FIXTURE!$A$2:$A$51,0)),""))</f>
        <v/>
      </c>
      <c r="U436" s="12">
        <f>IF(Q436="","",IF(T436="","CEK ID FIXTURE tidak ada di DAFTAR_FIXTURE",IF(R436="","CEK ZONA NO kosong",IF(ISNA(MATCH(T436&amp;"|"&amp;R436,LAYOUT!$E$2:$E$80,0)),"CEK ZONA NO di luar layout",IF(S436&lt;&gt;INDEX(LAYOUT!$D$2:$D$80,MATCH(T436&amp;"|"&amp;R436,LAYOUT!$E$2:$E$80,0)),"CEK JENIS ZONA",IF($D436="","Zona STOCK",IF($E436="","CEK SKU DESCRIPTION kosong","OK")))))))</f>
        <v/>
      </c>
      <c r="V436" s="11" t="n"/>
      <c r="W436" s="11" t="n"/>
      <c r="X436" s="11" t="n"/>
      <c r="Y436" s="12">
        <f>IF(V436="","",IFERROR(INDEX(DAFTAR_FIXTURE!$B$2:$B$51,MATCH(V436,DAFTAR_FIXTURE!$A$2:$A$51,0)),""))</f>
        <v/>
      </c>
      <c r="Z436" s="12">
        <f>IF(V436="","",IF(Y436="","CEK ID FIXTURE tidak ada di DAFTAR_FIXTURE",IF(W436="","CEK ZONA NO kosong",IF(ISNA(MATCH(Y436&amp;"|"&amp;W436,LAYOUT!$E$2:$E$80,0)),"CEK ZONA NO di luar layout",IF(X436&lt;&gt;INDEX(LAYOUT!$D$2:$D$80,MATCH(Y436&amp;"|"&amp;W436,LAYOUT!$E$2:$E$80,0)),"CEK JENIS ZONA",IF($D436="","Zona STOCK",IF($E436="","CEK SKU DESCRIPTION kosong","OK")))))))</f>
        <v/>
      </c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1" t="n"/>
      <c r="M437" s="11" t="n"/>
      <c r="N437" s="11" t="n"/>
      <c r="O437" s="12">
        <f>IF(L437="","",IFERROR(INDEX(DAFTAR_FIXTURE!$B$2:$B$51,MATCH(L437,DAFTAR_FIXTURE!$A$2:$A$51,0)),""))</f>
        <v/>
      </c>
      <c r="P437" s="12">
        <f>IF(AND($D437="",L437=""),"",IF(L437="",IF(AND(Q437="",V437=""),"Belum ditempatkan",""),IF(O437="","CEK ID FIXTURE tidak ada di DAFTAR_FIXTURE",IF(M437="","CEK ZONA NO kosong",IF(ISNA(MATCH(O437&amp;"|"&amp;M437,LAYOUT!$E$2:$E$80,0)),"CEK ZONA NO di luar layout",IF(N437&lt;&gt;INDEX(LAYOUT!$D$2:$D$80,MATCH(O437&amp;"|"&amp;M437,LAYOUT!$E$2:$E$80,0)),"CEK JENIS ZONA",IF($D437="","Zona STOCK",IF($E437="","CEK SKU DESCRIPTION kosong","OK"))))))))</f>
        <v/>
      </c>
      <c r="Q437" s="11" t="n"/>
      <c r="R437" s="11" t="n"/>
      <c r="S437" s="11" t="n"/>
      <c r="T437" s="12">
        <f>IF(Q437="","",IFERROR(INDEX(DAFTAR_FIXTURE!$B$2:$B$51,MATCH(Q437,DAFTAR_FIXTURE!$A$2:$A$51,0)),""))</f>
        <v/>
      </c>
      <c r="U437" s="12">
        <f>IF(Q437="","",IF(T437="","CEK ID FIXTURE tidak ada di DAFTAR_FIXTURE",IF(R437="","CEK ZONA NO kosong",IF(ISNA(MATCH(T437&amp;"|"&amp;R437,LAYOUT!$E$2:$E$80,0)),"CEK ZONA NO di luar layout",IF(S437&lt;&gt;INDEX(LAYOUT!$D$2:$D$80,MATCH(T437&amp;"|"&amp;R437,LAYOUT!$E$2:$E$80,0)),"CEK JENIS ZONA",IF($D437="","Zona STOCK",IF($E437="","CEK SKU DESCRIPTION kosong","OK")))))))</f>
        <v/>
      </c>
      <c r="V437" s="11" t="n"/>
      <c r="W437" s="11" t="n"/>
      <c r="X437" s="11" t="n"/>
      <c r="Y437" s="12">
        <f>IF(V437="","",IFERROR(INDEX(DAFTAR_FIXTURE!$B$2:$B$51,MATCH(V437,DAFTAR_FIXTURE!$A$2:$A$51,0)),""))</f>
        <v/>
      </c>
      <c r="Z437" s="12">
        <f>IF(V437="","",IF(Y437="","CEK ID FIXTURE tidak ada di DAFTAR_FIXTURE",IF(W437="","CEK ZONA NO kosong",IF(ISNA(MATCH(Y437&amp;"|"&amp;W437,LAYOUT!$E$2:$E$80,0)),"CEK ZONA NO di luar layout",IF(X437&lt;&gt;INDEX(LAYOUT!$D$2:$D$80,MATCH(Y437&amp;"|"&amp;W437,LAYOUT!$E$2:$E$80,0)),"CEK JENIS ZONA",IF($D437="","Zona STOCK",IF($E437="","CEK SKU DESCRIPTION kosong","OK")))))))</f>
        <v/>
      </c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1" t="n"/>
      <c r="M438" s="11" t="n"/>
      <c r="N438" s="11" t="n"/>
      <c r="O438" s="12">
        <f>IF(L438="","",IFERROR(INDEX(DAFTAR_FIXTURE!$B$2:$B$51,MATCH(L438,DAFTAR_FIXTURE!$A$2:$A$51,0)),""))</f>
        <v/>
      </c>
      <c r="P438" s="12">
        <f>IF(AND($D438="",L438=""),"",IF(L438="",IF(AND(Q438="",V438=""),"Belum ditempatkan",""),IF(O438="","CEK ID FIXTURE tidak ada di DAFTAR_FIXTURE",IF(M438="","CEK ZONA NO kosong",IF(ISNA(MATCH(O438&amp;"|"&amp;M438,LAYOUT!$E$2:$E$80,0)),"CEK ZONA NO di luar layout",IF(N438&lt;&gt;INDEX(LAYOUT!$D$2:$D$80,MATCH(O438&amp;"|"&amp;M438,LAYOUT!$E$2:$E$80,0)),"CEK JENIS ZONA",IF($D438="","Zona STOCK",IF($E438="","CEK SKU DESCRIPTION kosong","OK"))))))))</f>
        <v/>
      </c>
      <c r="Q438" s="11" t="n"/>
      <c r="R438" s="11" t="n"/>
      <c r="S438" s="11" t="n"/>
      <c r="T438" s="12">
        <f>IF(Q438="","",IFERROR(INDEX(DAFTAR_FIXTURE!$B$2:$B$51,MATCH(Q438,DAFTAR_FIXTURE!$A$2:$A$51,0)),""))</f>
        <v/>
      </c>
      <c r="U438" s="12">
        <f>IF(Q438="","",IF(T438="","CEK ID FIXTURE tidak ada di DAFTAR_FIXTURE",IF(R438="","CEK ZONA NO kosong",IF(ISNA(MATCH(T438&amp;"|"&amp;R438,LAYOUT!$E$2:$E$80,0)),"CEK ZONA NO di luar layout",IF(S438&lt;&gt;INDEX(LAYOUT!$D$2:$D$80,MATCH(T438&amp;"|"&amp;R438,LAYOUT!$E$2:$E$80,0)),"CEK JENIS ZONA",IF($D438="","Zona STOCK",IF($E438="","CEK SKU DESCRIPTION kosong","OK")))))))</f>
        <v/>
      </c>
      <c r="V438" s="11" t="n"/>
      <c r="W438" s="11" t="n"/>
      <c r="X438" s="11" t="n"/>
      <c r="Y438" s="12">
        <f>IF(V438="","",IFERROR(INDEX(DAFTAR_FIXTURE!$B$2:$B$51,MATCH(V438,DAFTAR_FIXTURE!$A$2:$A$51,0)),""))</f>
        <v/>
      </c>
      <c r="Z438" s="12">
        <f>IF(V438="","",IF(Y438="","CEK ID FIXTURE tidak ada di DAFTAR_FIXTURE",IF(W438="","CEK ZONA NO kosong",IF(ISNA(MATCH(Y438&amp;"|"&amp;W438,LAYOUT!$E$2:$E$80,0)),"CEK ZONA NO di luar layout",IF(X438&lt;&gt;INDEX(LAYOUT!$D$2:$D$80,MATCH(Y438&amp;"|"&amp;W438,LAYOUT!$E$2:$E$80,0)),"CEK JENIS ZONA",IF($D438="","Zona STOCK",IF($E438="","CEK SKU DESCRIPTION kosong","OK")))))))</f>
        <v/>
      </c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1" t="n"/>
      <c r="M439" s="11" t="n"/>
      <c r="N439" s="11" t="n"/>
      <c r="O439" s="12">
        <f>IF(L439="","",IFERROR(INDEX(DAFTAR_FIXTURE!$B$2:$B$51,MATCH(L439,DAFTAR_FIXTURE!$A$2:$A$51,0)),""))</f>
        <v/>
      </c>
      <c r="P439" s="12">
        <f>IF(AND($D439="",L439=""),"",IF(L439="",IF(AND(Q439="",V439=""),"Belum ditempatkan",""),IF(O439="","CEK ID FIXTURE tidak ada di DAFTAR_FIXTURE",IF(M439="","CEK ZONA NO kosong",IF(ISNA(MATCH(O439&amp;"|"&amp;M439,LAYOUT!$E$2:$E$80,0)),"CEK ZONA NO di luar layout",IF(N439&lt;&gt;INDEX(LAYOUT!$D$2:$D$80,MATCH(O439&amp;"|"&amp;M439,LAYOUT!$E$2:$E$80,0)),"CEK JENIS ZONA",IF($D439="","Zona STOCK",IF($E439="","CEK SKU DESCRIPTION kosong","OK"))))))))</f>
        <v/>
      </c>
      <c r="Q439" s="11" t="n"/>
      <c r="R439" s="11" t="n"/>
      <c r="S439" s="11" t="n"/>
      <c r="T439" s="12">
        <f>IF(Q439="","",IFERROR(INDEX(DAFTAR_FIXTURE!$B$2:$B$51,MATCH(Q439,DAFTAR_FIXTURE!$A$2:$A$51,0)),""))</f>
        <v/>
      </c>
      <c r="U439" s="12">
        <f>IF(Q439="","",IF(T439="","CEK ID FIXTURE tidak ada di DAFTAR_FIXTURE",IF(R439="","CEK ZONA NO kosong",IF(ISNA(MATCH(T439&amp;"|"&amp;R439,LAYOUT!$E$2:$E$80,0)),"CEK ZONA NO di luar layout",IF(S439&lt;&gt;INDEX(LAYOUT!$D$2:$D$80,MATCH(T439&amp;"|"&amp;R439,LAYOUT!$E$2:$E$80,0)),"CEK JENIS ZONA",IF($D439="","Zona STOCK",IF($E439="","CEK SKU DESCRIPTION kosong","OK")))))))</f>
        <v/>
      </c>
      <c r="V439" s="11" t="n"/>
      <c r="W439" s="11" t="n"/>
      <c r="X439" s="11" t="n"/>
      <c r="Y439" s="12">
        <f>IF(V439="","",IFERROR(INDEX(DAFTAR_FIXTURE!$B$2:$B$51,MATCH(V439,DAFTAR_FIXTURE!$A$2:$A$51,0)),""))</f>
        <v/>
      </c>
      <c r="Z439" s="12">
        <f>IF(V439="","",IF(Y439="","CEK ID FIXTURE tidak ada di DAFTAR_FIXTURE",IF(W439="","CEK ZONA NO kosong",IF(ISNA(MATCH(Y439&amp;"|"&amp;W439,LAYOUT!$E$2:$E$80,0)),"CEK ZONA NO di luar layout",IF(X439&lt;&gt;INDEX(LAYOUT!$D$2:$D$80,MATCH(Y439&amp;"|"&amp;W439,LAYOUT!$E$2:$E$80,0)),"CEK JENIS ZONA",IF($D439="","Zona STOCK",IF($E439="","CEK SKU DESCRIPTION kosong","OK")))))))</f>
        <v/>
      </c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1" t="n"/>
      <c r="M440" s="11" t="n"/>
      <c r="N440" s="11" t="n"/>
      <c r="O440" s="12">
        <f>IF(L440="","",IFERROR(INDEX(DAFTAR_FIXTURE!$B$2:$B$51,MATCH(L440,DAFTAR_FIXTURE!$A$2:$A$51,0)),""))</f>
        <v/>
      </c>
      <c r="P440" s="12">
        <f>IF(AND($D440="",L440=""),"",IF(L440="",IF(AND(Q440="",V440=""),"Belum ditempatkan",""),IF(O440="","CEK ID FIXTURE tidak ada di DAFTAR_FIXTURE",IF(M440="","CEK ZONA NO kosong",IF(ISNA(MATCH(O440&amp;"|"&amp;M440,LAYOUT!$E$2:$E$80,0)),"CEK ZONA NO di luar layout",IF(N440&lt;&gt;INDEX(LAYOUT!$D$2:$D$80,MATCH(O440&amp;"|"&amp;M440,LAYOUT!$E$2:$E$80,0)),"CEK JENIS ZONA",IF($D440="","Zona STOCK",IF($E440="","CEK SKU DESCRIPTION kosong","OK"))))))))</f>
        <v/>
      </c>
      <c r="Q440" s="11" t="n"/>
      <c r="R440" s="11" t="n"/>
      <c r="S440" s="11" t="n"/>
      <c r="T440" s="12">
        <f>IF(Q440="","",IFERROR(INDEX(DAFTAR_FIXTURE!$B$2:$B$51,MATCH(Q440,DAFTAR_FIXTURE!$A$2:$A$51,0)),""))</f>
        <v/>
      </c>
      <c r="U440" s="12">
        <f>IF(Q440="","",IF(T440="","CEK ID FIXTURE tidak ada di DAFTAR_FIXTURE",IF(R440="","CEK ZONA NO kosong",IF(ISNA(MATCH(T440&amp;"|"&amp;R440,LAYOUT!$E$2:$E$80,0)),"CEK ZONA NO di luar layout",IF(S440&lt;&gt;INDEX(LAYOUT!$D$2:$D$80,MATCH(T440&amp;"|"&amp;R440,LAYOUT!$E$2:$E$80,0)),"CEK JENIS ZONA",IF($D440="","Zona STOCK",IF($E440="","CEK SKU DESCRIPTION kosong","OK")))))))</f>
        <v/>
      </c>
      <c r="V440" s="11" t="n"/>
      <c r="W440" s="11" t="n"/>
      <c r="X440" s="11" t="n"/>
      <c r="Y440" s="12">
        <f>IF(V440="","",IFERROR(INDEX(DAFTAR_FIXTURE!$B$2:$B$51,MATCH(V440,DAFTAR_FIXTURE!$A$2:$A$51,0)),""))</f>
        <v/>
      </c>
      <c r="Z440" s="12">
        <f>IF(V440="","",IF(Y440="","CEK ID FIXTURE tidak ada di DAFTAR_FIXTURE",IF(W440="","CEK ZONA NO kosong",IF(ISNA(MATCH(Y440&amp;"|"&amp;W440,LAYOUT!$E$2:$E$80,0)),"CEK ZONA NO di luar layout",IF(X440&lt;&gt;INDEX(LAYOUT!$D$2:$D$80,MATCH(Y440&amp;"|"&amp;W440,LAYOUT!$E$2:$E$80,0)),"CEK JENIS ZONA",IF($D440="","Zona STOCK",IF($E440="","CEK SKU DESCRIPTION kosong","OK")))))))</f>
        <v/>
      </c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1" t="n"/>
      <c r="M441" s="11" t="n"/>
      <c r="N441" s="11" t="n"/>
      <c r="O441" s="12">
        <f>IF(L441="","",IFERROR(INDEX(DAFTAR_FIXTURE!$B$2:$B$51,MATCH(L441,DAFTAR_FIXTURE!$A$2:$A$51,0)),""))</f>
        <v/>
      </c>
      <c r="P441" s="12">
        <f>IF(AND($D441="",L441=""),"",IF(L441="",IF(AND(Q441="",V441=""),"Belum ditempatkan",""),IF(O441="","CEK ID FIXTURE tidak ada di DAFTAR_FIXTURE",IF(M441="","CEK ZONA NO kosong",IF(ISNA(MATCH(O441&amp;"|"&amp;M441,LAYOUT!$E$2:$E$80,0)),"CEK ZONA NO di luar layout",IF(N441&lt;&gt;INDEX(LAYOUT!$D$2:$D$80,MATCH(O441&amp;"|"&amp;M441,LAYOUT!$E$2:$E$80,0)),"CEK JENIS ZONA",IF($D441="","Zona STOCK",IF($E441="","CEK SKU DESCRIPTION kosong","OK"))))))))</f>
        <v/>
      </c>
      <c r="Q441" s="11" t="n"/>
      <c r="R441" s="11" t="n"/>
      <c r="S441" s="11" t="n"/>
      <c r="T441" s="12">
        <f>IF(Q441="","",IFERROR(INDEX(DAFTAR_FIXTURE!$B$2:$B$51,MATCH(Q441,DAFTAR_FIXTURE!$A$2:$A$51,0)),""))</f>
        <v/>
      </c>
      <c r="U441" s="12">
        <f>IF(Q441="","",IF(T441="","CEK ID FIXTURE tidak ada di DAFTAR_FIXTURE",IF(R441="","CEK ZONA NO kosong",IF(ISNA(MATCH(T441&amp;"|"&amp;R441,LAYOUT!$E$2:$E$80,0)),"CEK ZONA NO di luar layout",IF(S441&lt;&gt;INDEX(LAYOUT!$D$2:$D$80,MATCH(T441&amp;"|"&amp;R441,LAYOUT!$E$2:$E$80,0)),"CEK JENIS ZONA",IF($D441="","Zona STOCK",IF($E441="","CEK SKU DESCRIPTION kosong","OK")))))))</f>
        <v/>
      </c>
      <c r="V441" s="11" t="n"/>
      <c r="W441" s="11" t="n"/>
      <c r="X441" s="11" t="n"/>
      <c r="Y441" s="12">
        <f>IF(V441="","",IFERROR(INDEX(DAFTAR_FIXTURE!$B$2:$B$51,MATCH(V441,DAFTAR_FIXTURE!$A$2:$A$51,0)),""))</f>
        <v/>
      </c>
      <c r="Z441" s="12">
        <f>IF(V441="","",IF(Y441="","CEK ID FIXTURE tidak ada di DAFTAR_FIXTURE",IF(W441="","CEK ZONA NO kosong",IF(ISNA(MATCH(Y441&amp;"|"&amp;W441,LAYOUT!$E$2:$E$80,0)),"CEK ZONA NO di luar layout",IF(X441&lt;&gt;INDEX(LAYOUT!$D$2:$D$80,MATCH(Y441&amp;"|"&amp;W441,LAYOUT!$E$2:$E$80,0)),"CEK JENIS ZONA",IF($D441="","Zona STOCK",IF($E441="","CEK SKU DESCRIPTION kosong","OK")))))))</f>
        <v/>
      </c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1" t="n"/>
      <c r="M442" s="11" t="n"/>
      <c r="N442" s="11" t="n"/>
      <c r="O442" s="12">
        <f>IF(L442="","",IFERROR(INDEX(DAFTAR_FIXTURE!$B$2:$B$51,MATCH(L442,DAFTAR_FIXTURE!$A$2:$A$51,0)),""))</f>
        <v/>
      </c>
      <c r="P442" s="12">
        <f>IF(AND($D442="",L442=""),"",IF(L442="",IF(AND(Q442="",V442=""),"Belum ditempatkan",""),IF(O442="","CEK ID FIXTURE tidak ada di DAFTAR_FIXTURE",IF(M442="","CEK ZONA NO kosong",IF(ISNA(MATCH(O442&amp;"|"&amp;M442,LAYOUT!$E$2:$E$80,0)),"CEK ZONA NO di luar layout",IF(N442&lt;&gt;INDEX(LAYOUT!$D$2:$D$80,MATCH(O442&amp;"|"&amp;M442,LAYOUT!$E$2:$E$80,0)),"CEK JENIS ZONA",IF($D442="","Zona STOCK",IF($E442="","CEK SKU DESCRIPTION kosong","OK"))))))))</f>
        <v/>
      </c>
      <c r="Q442" s="11" t="n"/>
      <c r="R442" s="11" t="n"/>
      <c r="S442" s="11" t="n"/>
      <c r="T442" s="12">
        <f>IF(Q442="","",IFERROR(INDEX(DAFTAR_FIXTURE!$B$2:$B$51,MATCH(Q442,DAFTAR_FIXTURE!$A$2:$A$51,0)),""))</f>
        <v/>
      </c>
      <c r="U442" s="12">
        <f>IF(Q442="","",IF(T442="","CEK ID FIXTURE tidak ada di DAFTAR_FIXTURE",IF(R442="","CEK ZONA NO kosong",IF(ISNA(MATCH(T442&amp;"|"&amp;R442,LAYOUT!$E$2:$E$80,0)),"CEK ZONA NO di luar layout",IF(S442&lt;&gt;INDEX(LAYOUT!$D$2:$D$80,MATCH(T442&amp;"|"&amp;R442,LAYOUT!$E$2:$E$80,0)),"CEK JENIS ZONA",IF($D442="","Zona STOCK",IF($E442="","CEK SKU DESCRIPTION kosong","OK")))))))</f>
        <v/>
      </c>
      <c r="V442" s="11" t="n"/>
      <c r="W442" s="11" t="n"/>
      <c r="X442" s="11" t="n"/>
      <c r="Y442" s="12">
        <f>IF(V442="","",IFERROR(INDEX(DAFTAR_FIXTURE!$B$2:$B$51,MATCH(V442,DAFTAR_FIXTURE!$A$2:$A$51,0)),""))</f>
        <v/>
      </c>
      <c r="Z442" s="12">
        <f>IF(V442="","",IF(Y442="","CEK ID FIXTURE tidak ada di DAFTAR_FIXTURE",IF(W442="","CEK ZONA NO kosong",IF(ISNA(MATCH(Y442&amp;"|"&amp;W442,LAYOUT!$E$2:$E$80,0)),"CEK ZONA NO di luar layout",IF(X442&lt;&gt;INDEX(LAYOUT!$D$2:$D$80,MATCH(Y442&amp;"|"&amp;W442,LAYOUT!$E$2:$E$80,0)),"CEK JENIS ZONA",IF($D442="","Zona STOCK",IF($E442="","CEK SKU DESCRIPTION kosong","OK")))))))</f>
        <v/>
      </c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1" t="n"/>
      <c r="M443" s="11" t="n"/>
      <c r="N443" s="11" t="n"/>
      <c r="O443" s="12">
        <f>IF(L443="","",IFERROR(INDEX(DAFTAR_FIXTURE!$B$2:$B$51,MATCH(L443,DAFTAR_FIXTURE!$A$2:$A$51,0)),""))</f>
        <v/>
      </c>
      <c r="P443" s="12">
        <f>IF(AND($D443="",L443=""),"",IF(L443="",IF(AND(Q443="",V443=""),"Belum ditempatkan",""),IF(O443="","CEK ID FIXTURE tidak ada di DAFTAR_FIXTURE",IF(M443="","CEK ZONA NO kosong",IF(ISNA(MATCH(O443&amp;"|"&amp;M443,LAYOUT!$E$2:$E$80,0)),"CEK ZONA NO di luar layout",IF(N443&lt;&gt;INDEX(LAYOUT!$D$2:$D$80,MATCH(O443&amp;"|"&amp;M443,LAYOUT!$E$2:$E$80,0)),"CEK JENIS ZONA",IF($D443="","Zona STOCK",IF($E443="","CEK SKU DESCRIPTION kosong","OK"))))))))</f>
        <v/>
      </c>
      <c r="Q443" s="11" t="n"/>
      <c r="R443" s="11" t="n"/>
      <c r="S443" s="11" t="n"/>
      <c r="T443" s="12">
        <f>IF(Q443="","",IFERROR(INDEX(DAFTAR_FIXTURE!$B$2:$B$51,MATCH(Q443,DAFTAR_FIXTURE!$A$2:$A$51,0)),""))</f>
        <v/>
      </c>
      <c r="U443" s="12">
        <f>IF(Q443="","",IF(T443="","CEK ID FIXTURE tidak ada di DAFTAR_FIXTURE",IF(R443="","CEK ZONA NO kosong",IF(ISNA(MATCH(T443&amp;"|"&amp;R443,LAYOUT!$E$2:$E$80,0)),"CEK ZONA NO di luar layout",IF(S443&lt;&gt;INDEX(LAYOUT!$D$2:$D$80,MATCH(T443&amp;"|"&amp;R443,LAYOUT!$E$2:$E$80,0)),"CEK JENIS ZONA",IF($D443="","Zona STOCK",IF($E443="","CEK SKU DESCRIPTION kosong","OK")))))))</f>
        <v/>
      </c>
      <c r="V443" s="11" t="n"/>
      <c r="W443" s="11" t="n"/>
      <c r="X443" s="11" t="n"/>
      <c r="Y443" s="12">
        <f>IF(V443="","",IFERROR(INDEX(DAFTAR_FIXTURE!$B$2:$B$51,MATCH(V443,DAFTAR_FIXTURE!$A$2:$A$51,0)),""))</f>
        <v/>
      </c>
      <c r="Z443" s="12">
        <f>IF(V443="","",IF(Y443="","CEK ID FIXTURE tidak ada di DAFTAR_FIXTURE",IF(W443="","CEK ZONA NO kosong",IF(ISNA(MATCH(Y443&amp;"|"&amp;W443,LAYOUT!$E$2:$E$80,0)),"CEK ZONA NO di luar layout",IF(X443&lt;&gt;INDEX(LAYOUT!$D$2:$D$80,MATCH(Y443&amp;"|"&amp;W443,LAYOUT!$E$2:$E$80,0)),"CEK JENIS ZONA",IF($D443="","Zona STOCK",IF($E443="","CEK SKU DESCRIPTION kosong","OK")))))))</f>
        <v/>
      </c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1" t="n"/>
      <c r="M444" s="11" t="n"/>
      <c r="N444" s="11" t="n"/>
      <c r="O444" s="12">
        <f>IF(L444="","",IFERROR(INDEX(DAFTAR_FIXTURE!$B$2:$B$51,MATCH(L444,DAFTAR_FIXTURE!$A$2:$A$51,0)),""))</f>
        <v/>
      </c>
      <c r="P444" s="12">
        <f>IF(AND($D444="",L444=""),"",IF(L444="",IF(AND(Q444="",V444=""),"Belum ditempatkan",""),IF(O444="","CEK ID FIXTURE tidak ada di DAFTAR_FIXTURE",IF(M444="","CEK ZONA NO kosong",IF(ISNA(MATCH(O444&amp;"|"&amp;M444,LAYOUT!$E$2:$E$80,0)),"CEK ZONA NO di luar layout",IF(N444&lt;&gt;INDEX(LAYOUT!$D$2:$D$80,MATCH(O444&amp;"|"&amp;M444,LAYOUT!$E$2:$E$80,0)),"CEK JENIS ZONA",IF($D444="","Zona STOCK",IF($E444="","CEK SKU DESCRIPTION kosong","OK"))))))))</f>
        <v/>
      </c>
      <c r="Q444" s="11" t="n"/>
      <c r="R444" s="11" t="n"/>
      <c r="S444" s="11" t="n"/>
      <c r="T444" s="12">
        <f>IF(Q444="","",IFERROR(INDEX(DAFTAR_FIXTURE!$B$2:$B$51,MATCH(Q444,DAFTAR_FIXTURE!$A$2:$A$51,0)),""))</f>
        <v/>
      </c>
      <c r="U444" s="12">
        <f>IF(Q444="","",IF(T444="","CEK ID FIXTURE tidak ada di DAFTAR_FIXTURE",IF(R444="","CEK ZONA NO kosong",IF(ISNA(MATCH(T444&amp;"|"&amp;R444,LAYOUT!$E$2:$E$80,0)),"CEK ZONA NO di luar layout",IF(S444&lt;&gt;INDEX(LAYOUT!$D$2:$D$80,MATCH(T444&amp;"|"&amp;R444,LAYOUT!$E$2:$E$80,0)),"CEK JENIS ZONA",IF($D444="","Zona STOCK",IF($E444="","CEK SKU DESCRIPTION kosong","OK")))))))</f>
        <v/>
      </c>
      <c r="V444" s="11" t="n"/>
      <c r="W444" s="11" t="n"/>
      <c r="X444" s="11" t="n"/>
      <c r="Y444" s="12">
        <f>IF(V444="","",IFERROR(INDEX(DAFTAR_FIXTURE!$B$2:$B$51,MATCH(V444,DAFTAR_FIXTURE!$A$2:$A$51,0)),""))</f>
        <v/>
      </c>
      <c r="Z444" s="12">
        <f>IF(V444="","",IF(Y444="","CEK ID FIXTURE tidak ada di DAFTAR_FIXTURE",IF(W444="","CEK ZONA NO kosong",IF(ISNA(MATCH(Y444&amp;"|"&amp;W444,LAYOUT!$E$2:$E$80,0)),"CEK ZONA NO di luar layout",IF(X444&lt;&gt;INDEX(LAYOUT!$D$2:$D$80,MATCH(Y444&amp;"|"&amp;W444,LAYOUT!$E$2:$E$80,0)),"CEK JENIS ZONA",IF($D444="","Zona STOCK",IF($E444="","CEK SKU DESCRIPTION kosong","OK")))))))</f>
        <v/>
      </c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1" t="n"/>
      <c r="M445" s="11" t="n"/>
      <c r="N445" s="11" t="n"/>
      <c r="O445" s="12">
        <f>IF(L445="","",IFERROR(INDEX(DAFTAR_FIXTURE!$B$2:$B$51,MATCH(L445,DAFTAR_FIXTURE!$A$2:$A$51,0)),""))</f>
        <v/>
      </c>
      <c r="P445" s="12">
        <f>IF(AND($D445="",L445=""),"",IF(L445="",IF(AND(Q445="",V445=""),"Belum ditempatkan",""),IF(O445="","CEK ID FIXTURE tidak ada di DAFTAR_FIXTURE",IF(M445="","CEK ZONA NO kosong",IF(ISNA(MATCH(O445&amp;"|"&amp;M445,LAYOUT!$E$2:$E$80,0)),"CEK ZONA NO di luar layout",IF(N445&lt;&gt;INDEX(LAYOUT!$D$2:$D$80,MATCH(O445&amp;"|"&amp;M445,LAYOUT!$E$2:$E$80,0)),"CEK JENIS ZONA",IF($D445="","Zona STOCK",IF($E445="","CEK SKU DESCRIPTION kosong","OK"))))))))</f>
        <v/>
      </c>
      <c r="Q445" s="11" t="n"/>
      <c r="R445" s="11" t="n"/>
      <c r="S445" s="11" t="n"/>
      <c r="T445" s="12">
        <f>IF(Q445="","",IFERROR(INDEX(DAFTAR_FIXTURE!$B$2:$B$51,MATCH(Q445,DAFTAR_FIXTURE!$A$2:$A$51,0)),""))</f>
        <v/>
      </c>
      <c r="U445" s="12">
        <f>IF(Q445="","",IF(T445="","CEK ID FIXTURE tidak ada di DAFTAR_FIXTURE",IF(R445="","CEK ZONA NO kosong",IF(ISNA(MATCH(T445&amp;"|"&amp;R445,LAYOUT!$E$2:$E$80,0)),"CEK ZONA NO di luar layout",IF(S445&lt;&gt;INDEX(LAYOUT!$D$2:$D$80,MATCH(T445&amp;"|"&amp;R445,LAYOUT!$E$2:$E$80,0)),"CEK JENIS ZONA",IF($D445="","Zona STOCK",IF($E445="","CEK SKU DESCRIPTION kosong","OK")))))))</f>
        <v/>
      </c>
      <c r="V445" s="11" t="n"/>
      <c r="W445" s="11" t="n"/>
      <c r="X445" s="11" t="n"/>
      <c r="Y445" s="12">
        <f>IF(V445="","",IFERROR(INDEX(DAFTAR_FIXTURE!$B$2:$B$51,MATCH(V445,DAFTAR_FIXTURE!$A$2:$A$51,0)),""))</f>
        <v/>
      </c>
      <c r="Z445" s="12">
        <f>IF(V445="","",IF(Y445="","CEK ID FIXTURE tidak ada di DAFTAR_FIXTURE",IF(W445="","CEK ZONA NO kosong",IF(ISNA(MATCH(Y445&amp;"|"&amp;W445,LAYOUT!$E$2:$E$80,0)),"CEK ZONA NO di luar layout",IF(X445&lt;&gt;INDEX(LAYOUT!$D$2:$D$80,MATCH(Y445&amp;"|"&amp;W445,LAYOUT!$E$2:$E$80,0)),"CEK JENIS ZONA",IF($D445="","Zona STOCK",IF($E445="","CEK SKU DESCRIPTION kosong","OK")))))))</f>
        <v/>
      </c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1" t="n"/>
      <c r="M446" s="11" t="n"/>
      <c r="N446" s="11" t="n"/>
      <c r="O446" s="12">
        <f>IF(L446="","",IFERROR(INDEX(DAFTAR_FIXTURE!$B$2:$B$51,MATCH(L446,DAFTAR_FIXTURE!$A$2:$A$51,0)),""))</f>
        <v/>
      </c>
      <c r="P446" s="12">
        <f>IF(AND($D446="",L446=""),"",IF(L446="",IF(AND(Q446="",V446=""),"Belum ditempatkan",""),IF(O446="","CEK ID FIXTURE tidak ada di DAFTAR_FIXTURE",IF(M446="","CEK ZONA NO kosong",IF(ISNA(MATCH(O446&amp;"|"&amp;M446,LAYOUT!$E$2:$E$80,0)),"CEK ZONA NO di luar layout",IF(N446&lt;&gt;INDEX(LAYOUT!$D$2:$D$80,MATCH(O446&amp;"|"&amp;M446,LAYOUT!$E$2:$E$80,0)),"CEK JENIS ZONA",IF($D446="","Zona STOCK",IF($E446="","CEK SKU DESCRIPTION kosong","OK"))))))))</f>
        <v/>
      </c>
      <c r="Q446" s="11" t="n"/>
      <c r="R446" s="11" t="n"/>
      <c r="S446" s="11" t="n"/>
      <c r="T446" s="12">
        <f>IF(Q446="","",IFERROR(INDEX(DAFTAR_FIXTURE!$B$2:$B$51,MATCH(Q446,DAFTAR_FIXTURE!$A$2:$A$51,0)),""))</f>
        <v/>
      </c>
      <c r="U446" s="12">
        <f>IF(Q446="","",IF(T446="","CEK ID FIXTURE tidak ada di DAFTAR_FIXTURE",IF(R446="","CEK ZONA NO kosong",IF(ISNA(MATCH(T446&amp;"|"&amp;R446,LAYOUT!$E$2:$E$80,0)),"CEK ZONA NO di luar layout",IF(S446&lt;&gt;INDEX(LAYOUT!$D$2:$D$80,MATCH(T446&amp;"|"&amp;R446,LAYOUT!$E$2:$E$80,0)),"CEK JENIS ZONA",IF($D446="","Zona STOCK",IF($E446="","CEK SKU DESCRIPTION kosong","OK")))))))</f>
        <v/>
      </c>
      <c r="V446" s="11" t="n"/>
      <c r="W446" s="11" t="n"/>
      <c r="X446" s="11" t="n"/>
      <c r="Y446" s="12">
        <f>IF(V446="","",IFERROR(INDEX(DAFTAR_FIXTURE!$B$2:$B$51,MATCH(V446,DAFTAR_FIXTURE!$A$2:$A$51,0)),""))</f>
        <v/>
      </c>
      <c r="Z446" s="12">
        <f>IF(V446="","",IF(Y446="","CEK ID FIXTURE tidak ada di DAFTAR_FIXTURE",IF(W446="","CEK ZONA NO kosong",IF(ISNA(MATCH(Y446&amp;"|"&amp;W446,LAYOUT!$E$2:$E$80,0)),"CEK ZONA NO di luar layout",IF(X446&lt;&gt;INDEX(LAYOUT!$D$2:$D$80,MATCH(Y446&amp;"|"&amp;W446,LAYOUT!$E$2:$E$80,0)),"CEK JENIS ZONA",IF($D446="","Zona STOCK",IF($E446="","CEK SKU DESCRIPTION kosong","OK")))))))</f>
        <v/>
      </c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1" t="n"/>
      <c r="M447" s="11" t="n"/>
      <c r="N447" s="11" t="n"/>
      <c r="O447" s="12">
        <f>IF(L447="","",IFERROR(INDEX(DAFTAR_FIXTURE!$B$2:$B$51,MATCH(L447,DAFTAR_FIXTURE!$A$2:$A$51,0)),""))</f>
        <v/>
      </c>
      <c r="P447" s="12">
        <f>IF(AND($D447="",L447=""),"",IF(L447="",IF(AND(Q447="",V447=""),"Belum ditempatkan",""),IF(O447="","CEK ID FIXTURE tidak ada di DAFTAR_FIXTURE",IF(M447="","CEK ZONA NO kosong",IF(ISNA(MATCH(O447&amp;"|"&amp;M447,LAYOUT!$E$2:$E$80,0)),"CEK ZONA NO di luar layout",IF(N447&lt;&gt;INDEX(LAYOUT!$D$2:$D$80,MATCH(O447&amp;"|"&amp;M447,LAYOUT!$E$2:$E$80,0)),"CEK JENIS ZONA",IF($D447="","Zona STOCK",IF($E447="","CEK SKU DESCRIPTION kosong","OK"))))))))</f>
        <v/>
      </c>
      <c r="Q447" s="11" t="n"/>
      <c r="R447" s="11" t="n"/>
      <c r="S447" s="11" t="n"/>
      <c r="T447" s="12">
        <f>IF(Q447="","",IFERROR(INDEX(DAFTAR_FIXTURE!$B$2:$B$51,MATCH(Q447,DAFTAR_FIXTURE!$A$2:$A$51,0)),""))</f>
        <v/>
      </c>
      <c r="U447" s="12">
        <f>IF(Q447="","",IF(T447="","CEK ID FIXTURE tidak ada di DAFTAR_FIXTURE",IF(R447="","CEK ZONA NO kosong",IF(ISNA(MATCH(T447&amp;"|"&amp;R447,LAYOUT!$E$2:$E$80,0)),"CEK ZONA NO di luar layout",IF(S447&lt;&gt;INDEX(LAYOUT!$D$2:$D$80,MATCH(T447&amp;"|"&amp;R447,LAYOUT!$E$2:$E$80,0)),"CEK JENIS ZONA",IF($D447="","Zona STOCK",IF($E447="","CEK SKU DESCRIPTION kosong","OK")))))))</f>
        <v/>
      </c>
      <c r="V447" s="11" t="n"/>
      <c r="W447" s="11" t="n"/>
      <c r="X447" s="11" t="n"/>
      <c r="Y447" s="12">
        <f>IF(V447="","",IFERROR(INDEX(DAFTAR_FIXTURE!$B$2:$B$51,MATCH(V447,DAFTAR_FIXTURE!$A$2:$A$51,0)),""))</f>
        <v/>
      </c>
      <c r="Z447" s="12">
        <f>IF(V447="","",IF(Y447="","CEK ID FIXTURE tidak ada di DAFTAR_FIXTURE",IF(W447="","CEK ZONA NO kosong",IF(ISNA(MATCH(Y447&amp;"|"&amp;W447,LAYOUT!$E$2:$E$80,0)),"CEK ZONA NO di luar layout",IF(X447&lt;&gt;INDEX(LAYOUT!$D$2:$D$80,MATCH(Y447&amp;"|"&amp;W447,LAYOUT!$E$2:$E$80,0)),"CEK JENIS ZONA",IF($D447="","Zona STOCK",IF($E447="","CEK SKU DESCRIPTION kosong","OK")))))))</f>
        <v/>
      </c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1" t="n"/>
      <c r="M448" s="11" t="n"/>
      <c r="N448" s="11" t="n"/>
      <c r="O448" s="12">
        <f>IF(L448="","",IFERROR(INDEX(DAFTAR_FIXTURE!$B$2:$B$51,MATCH(L448,DAFTAR_FIXTURE!$A$2:$A$51,0)),""))</f>
        <v/>
      </c>
      <c r="P448" s="12">
        <f>IF(AND($D448="",L448=""),"",IF(L448="",IF(AND(Q448="",V448=""),"Belum ditempatkan",""),IF(O448="","CEK ID FIXTURE tidak ada di DAFTAR_FIXTURE",IF(M448="","CEK ZONA NO kosong",IF(ISNA(MATCH(O448&amp;"|"&amp;M448,LAYOUT!$E$2:$E$80,0)),"CEK ZONA NO di luar layout",IF(N448&lt;&gt;INDEX(LAYOUT!$D$2:$D$80,MATCH(O448&amp;"|"&amp;M448,LAYOUT!$E$2:$E$80,0)),"CEK JENIS ZONA",IF($D448="","Zona STOCK",IF($E448="","CEK SKU DESCRIPTION kosong","OK"))))))))</f>
        <v/>
      </c>
      <c r="Q448" s="11" t="n"/>
      <c r="R448" s="11" t="n"/>
      <c r="S448" s="11" t="n"/>
      <c r="T448" s="12">
        <f>IF(Q448="","",IFERROR(INDEX(DAFTAR_FIXTURE!$B$2:$B$51,MATCH(Q448,DAFTAR_FIXTURE!$A$2:$A$51,0)),""))</f>
        <v/>
      </c>
      <c r="U448" s="12">
        <f>IF(Q448="","",IF(T448="","CEK ID FIXTURE tidak ada di DAFTAR_FIXTURE",IF(R448="","CEK ZONA NO kosong",IF(ISNA(MATCH(T448&amp;"|"&amp;R448,LAYOUT!$E$2:$E$80,0)),"CEK ZONA NO di luar layout",IF(S448&lt;&gt;INDEX(LAYOUT!$D$2:$D$80,MATCH(T448&amp;"|"&amp;R448,LAYOUT!$E$2:$E$80,0)),"CEK JENIS ZONA",IF($D448="","Zona STOCK",IF($E448="","CEK SKU DESCRIPTION kosong","OK")))))))</f>
        <v/>
      </c>
      <c r="V448" s="11" t="n"/>
      <c r="W448" s="11" t="n"/>
      <c r="X448" s="11" t="n"/>
      <c r="Y448" s="12">
        <f>IF(V448="","",IFERROR(INDEX(DAFTAR_FIXTURE!$B$2:$B$51,MATCH(V448,DAFTAR_FIXTURE!$A$2:$A$51,0)),""))</f>
        <v/>
      </c>
      <c r="Z448" s="12">
        <f>IF(V448="","",IF(Y448="","CEK ID FIXTURE tidak ada di DAFTAR_FIXTURE",IF(W448="","CEK ZONA NO kosong",IF(ISNA(MATCH(Y448&amp;"|"&amp;W448,LAYOUT!$E$2:$E$80,0)),"CEK ZONA NO di luar layout",IF(X448&lt;&gt;INDEX(LAYOUT!$D$2:$D$80,MATCH(Y448&amp;"|"&amp;W448,LAYOUT!$E$2:$E$80,0)),"CEK JENIS ZONA",IF($D448="","Zona STOCK",IF($E448="","CEK SKU DESCRIPTION kosong","OK")))))))</f>
        <v/>
      </c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1" t="n"/>
      <c r="M449" s="11" t="n"/>
      <c r="N449" s="11" t="n"/>
      <c r="O449" s="12">
        <f>IF(L449="","",IFERROR(INDEX(DAFTAR_FIXTURE!$B$2:$B$51,MATCH(L449,DAFTAR_FIXTURE!$A$2:$A$51,0)),""))</f>
        <v/>
      </c>
      <c r="P449" s="12">
        <f>IF(AND($D449="",L449=""),"",IF(L449="",IF(AND(Q449="",V449=""),"Belum ditempatkan",""),IF(O449="","CEK ID FIXTURE tidak ada di DAFTAR_FIXTURE",IF(M449="","CEK ZONA NO kosong",IF(ISNA(MATCH(O449&amp;"|"&amp;M449,LAYOUT!$E$2:$E$80,0)),"CEK ZONA NO di luar layout",IF(N449&lt;&gt;INDEX(LAYOUT!$D$2:$D$80,MATCH(O449&amp;"|"&amp;M449,LAYOUT!$E$2:$E$80,0)),"CEK JENIS ZONA",IF($D449="","Zona STOCK",IF($E449="","CEK SKU DESCRIPTION kosong","OK"))))))))</f>
        <v/>
      </c>
      <c r="Q449" s="11" t="n"/>
      <c r="R449" s="11" t="n"/>
      <c r="S449" s="11" t="n"/>
      <c r="T449" s="12">
        <f>IF(Q449="","",IFERROR(INDEX(DAFTAR_FIXTURE!$B$2:$B$51,MATCH(Q449,DAFTAR_FIXTURE!$A$2:$A$51,0)),""))</f>
        <v/>
      </c>
      <c r="U449" s="12">
        <f>IF(Q449="","",IF(T449="","CEK ID FIXTURE tidak ada di DAFTAR_FIXTURE",IF(R449="","CEK ZONA NO kosong",IF(ISNA(MATCH(T449&amp;"|"&amp;R449,LAYOUT!$E$2:$E$80,0)),"CEK ZONA NO di luar layout",IF(S449&lt;&gt;INDEX(LAYOUT!$D$2:$D$80,MATCH(T449&amp;"|"&amp;R449,LAYOUT!$E$2:$E$80,0)),"CEK JENIS ZONA",IF($D449="","Zona STOCK",IF($E449="","CEK SKU DESCRIPTION kosong","OK")))))))</f>
        <v/>
      </c>
      <c r="V449" s="11" t="n"/>
      <c r="W449" s="11" t="n"/>
      <c r="X449" s="11" t="n"/>
      <c r="Y449" s="12">
        <f>IF(V449="","",IFERROR(INDEX(DAFTAR_FIXTURE!$B$2:$B$51,MATCH(V449,DAFTAR_FIXTURE!$A$2:$A$51,0)),""))</f>
        <v/>
      </c>
      <c r="Z449" s="12">
        <f>IF(V449="","",IF(Y449="","CEK ID FIXTURE tidak ada di DAFTAR_FIXTURE",IF(W449="","CEK ZONA NO kosong",IF(ISNA(MATCH(Y449&amp;"|"&amp;W449,LAYOUT!$E$2:$E$80,0)),"CEK ZONA NO di luar layout",IF(X449&lt;&gt;INDEX(LAYOUT!$D$2:$D$80,MATCH(Y449&amp;"|"&amp;W449,LAYOUT!$E$2:$E$80,0)),"CEK JENIS ZONA",IF($D449="","Zona STOCK",IF($E449="","CEK SKU DESCRIPTION kosong","OK")))))))</f>
        <v/>
      </c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1" t="n"/>
      <c r="M450" s="11" t="n"/>
      <c r="N450" s="11" t="n"/>
      <c r="O450" s="12">
        <f>IF(L450="","",IFERROR(INDEX(DAFTAR_FIXTURE!$B$2:$B$51,MATCH(L450,DAFTAR_FIXTURE!$A$2:$A$51,0)),""))</f>
        <v/>
      </c>
      <c r="P450" s="12">
        <f>IF(AND($D450="",L450=""),"",IF(L450="",IF(AND(Q450="",V450=""),"Belum ditempatkan",""),IF(O450="","CEK ID FIXTURE tidak ada di DAFTAR_FIXTURE",IF(M450="","CEK ZONA NO kosong",IF(ISNA(MATCH(O450&amp;"|"&amp;M450,LAYOUT!$E$2:$E$80,0)),"CEK ZONA NO di luar layout",IF(N450&lt;&gt;INDEX(LAYOUT!$D$2:$D$80,MATCH(O450&amp;"|"&amp;M450,LAYOUT!$E$2:$E$80,0)),"CEK JENIS ZONA",IF($D450="","Zona STOCK",IF($E450="","CEK SKU DESCRIPTION kosong","OK"))))))))</f>
        <v/>
      </c>
      <c r="Q450" s="11" t="n"/>
      <c r="R450" s="11" t="n"/>
      <c r="S450" s="11" t="n"/>
      <c r="T450" s="12">
        <f>IF(Q450="","",IFERROR(INDEX(DAFTAR_FIXTURE!$B$2:$B$51,MATCH(Q450,DAFTAR_FIXTURE!$A$2:$A$51,0)),""))</f>
        <v/>
      </c>
      <c r="U450" s="12">
        <f>IF(Q450="","",IF(T450="","CEK ID FIXTURE tidak ada di DAFTAR_FIXTURE",IF(R450="","CEK ZONA NO kosong",IF(ISNA(MATCH(T450&amp;"|"&amp;R450,LAYOUT!$E$2:$E$80,0)),"CEK ZONA NO di luar layout",IF(S450&lt;&gt;INDEX(LAYOUT!$D$2:$D$80,MATCH(T450&amp;"|"&amp;R450,LAYOUT!$E$2:$E$80,0)),"CEK JENIS ZONA",IF($D450="","Zona STOCK",IF($E450="","CEK SKU DESCRIPTION kosong","OK")))))))</f>
        <v/>
      </c>
      <c r="V450" s="11" t="n"/>
      <c r="W450" s="11" t="n"/>
      <c r="X450" s="11" t="n"/>
      <c r="Y450" s="12">
        <f>IF(V450="","",IFERROR(INDEX(DAFTAR_FIXTURE!$B$2:$B$51,MATCH(V450,DAFTAR_FIXTURE!$A$2:$A$51,0)),""))</f>
        <v/>
      </c>
      <c r="Z450" s="12">
        <f>IF(V450="","",IF(Y450="","CEK ID FIXTURE tidak ada di DAFTAR_FIXTURE",IF(W450="","CEK ZONA NO kosong",IF(ISNA(MATCH(Y450&amp;"|"&amp;W450,LAYOUT!$E$2:$E$80,0)),"CEK ZONA NO di luar layout",IF(X450&lt;&gt;INDEX(LAYOUT!$D$2:$D$80,MATCH(Y450&amp;"|"&amp;W450,LAYOUT!$E$2:$E$80,0)),"CEK JENIS ZONA",IF($D450="","Zona STOCK",IF($E450="","CEK SKU DESCRIPTION kosong","OK")))))))</f>
        <v/>
      </c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1" t="n"/>
      <c r="M451" s="11" t="n"/>
      <c r="N451" s="11" t="n"/>
      <c r="O451" s="12">
        <f>IF(L451="","",IFERROR(INDEX(DAFTAR_FIXTURE!$B$2:$B$51,MATCH(L451,DAFTAR_FIXTURE!$A$2:$A$51,0)),""))</f>
        <v/>
      </c>
      <c r="P451" s="12">
        <f>IF(AND($D451="",L451=""),"",IF(L451="",IF(AND(Q451="",V451=""),"Belum ditempatkan",""),IF(O451="","CEK ID FIXTURE tidak ada di DAFTAR_FIXTURE",IF(M451="","CEK ZONA NO kosong",IF(ISNA(MATCH(O451&amp;"|"&amp;M451,LAYOUT!$E$2:$E$80,0)),"CEK ZONA NO di luar layout",IF(N451&lt;&gt;INDEX(LAYOUT!$D$2:$D$80,MATCH(O451&amp;"|"&amp;M451,LAYOUT!$E$2:$E$80,0)),"CEK JENIS ZONA",IF($D451="","Zona STOCK",IF($E451="","CEK SKU DESCRIPTION kosong","OK"))))))))</f>
        <v/>
      </c>
      <c r="Q451" s="11" t="n"/>
      <c r="R451" s="11" t="n"/>
      <c r="S451" s="11" t="n"/>
      <c r="T451" s="12">
        <f>IF(Q451="","",IFERROR(INDEX(DAFTAR_FIXTURE!$B$2:$B$51,MATCH(Q451,DAFTAR_FIXTURE!$A$2:$A$51,0)),""))</f>
        <v/>
      </c>
      <c r="U451" s="12">
        <f>IF(Q451="","",IF(T451="","CEK ID FIXTURE tidak ada di DAFTAR_FIXTURE",IF(R451="","CEK ZONA NO kosong",IF(ISNA(MATCH(T451&amp;"|"&amp;R451,LAYOUT!$E$2:$E$80,0)),"CEK ZONA NO di luar layout",IF(S451&lt;&gt;INDEX(LAYOUT!$D$2:$D$80,MATCH(T451&amp;"|"&amp;R451,LAYOUT!$E$2:$E$80,0)),"CEK JENIS ZONA",IF($D451="","Zona STOCK",IF($E451="","CEK SKU DESCRIPTION kosong","OK")))))))</f>
        <v/>
      </c>
      <c r="V451" s="11" t="n"/>
      <c r="W451" s="11" t="n"/>
      <c r="X451" s="11" t="n"/>
      <c r="Y451" s="12">
        <f>IF(V451="","",IFERROR(INDEX(DAFTAR_FIXTURE!$B$2:$B$51,MATCH(V451,DAFTAR_FIXTURE!$A$2:$A$51,0)),""))</f>
        <v/>
      </c>
      <c r="Z451" s="12">
        <f>IF(V451="","",IF(Y451="","CEK ID FIXTURE tidak ada di DAFTAR_FIXTURE",IF(W451="","CEK ZONA NO kosong",IF(ISNA(MATCH(Y451&amp;"|"&amp;W451,LAYOUT!$E$2:$E$80,0)),"CEK ZONA NO di luar layout",IF(X451&lt;&gt;INDEX(LAYOUT!$D$2:$D$80,MATCH(Y451&amp;"|"&amp;W451,LAYOUT!$E$2:$E$80,0)),"CEK JENIS ZONA",IF($D451="","Zona STOCK",IF($E451="","CEK SKU DESCRIPTION kosong","OK")))))))</f>
        <v/>
      </c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1" t="n"/>
      <c r="M452" s="11" t="n"/>
      <c r="N452" s="11" t="n"/>
      <c r="O452" s="12">
        <f>IF(L452="","",IFERROR(INDEX(DAFTAR_FIXTURE!$B$2:$B$51,MATCH(L452,DAFTAR_FIXTURE!$A$2:$A$51,0)),""))</f>
        <v/>
      </c>
      <c r="P452" s="12">
        <f>IF(AND($D452="",L452=""),"",IF(L452="",IF(AND(Q452="",V452=""),"Belum ditempatkan",""),IF(O452="","CEK ID FIXTURE tidak ada di DAFTAR_FIXTURE",IF(M452="","CEK ZONA NO kosong",IF(ISNA(MATCH(O452&amp;"|"&amp;M452,LAYOUT!$E$2:$E$80,0)),"CEK ZONA NO di luar layout",IF(N452&lt;&gt;INDEX(LAYOUT!$D$2:$D$80,MATCH(O452&amp;"|"&amp;M452,LAYOUT!$E$2:$E$80,0)),"CEK JENIS ZONA",IF($D452="","Zona STOCK",IF($E452="","CEK SKU DESCRIPTION kosong","OK"))))))))</f>
        <v/>
      </c>
      <c r="Q452" s="11" t="n"/>
      <c r="R452" s="11" t="n"/>
      <c r="S452" s="11" t="n"/>
      <c r="T452" s="12">
        <f>IF(Q452="","",IFERROR(INDEX(DAFTAR_FIXTURE!$B$2:$B$51,MATCH(Q452,DAFTAR_FIXTURE!$A$2:$A$51,0)),""))</f>
        <v/>
      </c>
      <c r="U452" s="12">
        <f>IF(Q452="","",IF(T452="","CEK ID FIXTURE tidak ada di DAFTAR_FIXTURE",IF(R452="","CEK ZONA NO kosong",IF(ISNA(MATCH(T452&amp;"|"&amp;R452,LAYOUT!$E$2:$E$80,0)),"CEK ZONA NO di luar layout",IF(S452&lt;&gt;INDEX(LAYOUT!$D$2:$D$80,MATCH(T452&amp;"|"&amp;R452,LAYOUT!$E$2:$E$80,0)),"CEK JENIS ZONA",IF($D452="","Zona STOCK",IF($E452="","CEK SKU DESCRIPTION kosong","OK")))))))</f>
        <v/>
      </c>
      <c r="V452" s="11" t="n"/>
      <c r="W452" s="11" t="n"/>
      <c r="X452" s="11" t="n"/>
      <c r="Y452" s="12">
        <f>IF(V452="","",IFERROR(INDEX(DAFTAR_FIXTURE!$B$2:$B$51,MATCH(V452,DAFTAR_FIXTURE!$A$2:$A$51,0)),""))</f>
        <v/>
      </c>
      <c r="Z452" s="12">
        <f>IF(V452="","",IF(Y452="","CEK ID FIXTURE tidak ada di DAFTAR_FIXTURE",IF(W452="","CEK ZONA NO kosong",IF(ISNA(MATCH(Y452&amp;"|"&amp;W452,LAYOUT!$E$2:$E$80,0)),"CEK ZONA NO di luar layout",IF(X452&lt;&gt;INDEX(LAYOUT!$D$2:$D$80,MATCH(Y452&amp;"|"&amp;W452,LAYOUT!$E$2:$E$80,0)),"CEK JENIS ZONA",IF($D452="","Zona STOCK",IF($E452="","CEK SKU DESCRIPTION kosong","OK")))))))</f>
        <v/>
      </c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1" t="n"/>
      <c r="M453" s="11" t="n"/>
      <c r="N453" s="11" t="n"/>
      <c r="O453" s="12">
        <f>IF(L453="","",IFERROR(INDEX(DAFTAR_FIXTURE!$B$2:$B$51,MATCH(L453,DAFTAR_FIXTURE!$A$2:$A$51,0)),""))</f>
        <v/>
      </c>
      <c r="P453" s="12">
        <f>IF(AND($D453="",L453=""),"",IF(L453="",IF(AND(Q453="",V453=""),"Belum ditempatkan",""),IF(O453="","CEK ID FIXTURE tidak ada di DAFTAR_FIXTURE",IF(M453="","CEK ZONA NO kosong",IF(ISNA(MATCH(O453&amp;"|"&amp;M453,LAYOUT!$E$2:$E$80,0)),"CEK ZONA NO di luar layout",IF(N453&lt;&gt;INDEX(LAYOUT!$D$2:$D$80,MATCH(O453&amp;"|"&amp;M453,LAYOUT!$E$2:$E$80,0)),"CEK JENIS ZONA",IF($D453="","Zona STOCK",IF($E453="","CEK SKU DESCRIPTION kosong","OK"))))))))</f>
        <v/>
      </c>
      <c r="Q453" s="11" t="n"/>
      <c r="R453" s="11" t="n"/>
      <c r="S453" s="11" t="n"/>
      <c r="T453" s="12">
        <f>IF(Q453="","",IFERROR(INDEX(DAFTAR_FIXTURE!$B$2:$B$51,MATCH(Q453,DAFTAR_FIXTURE!$A$2:$A$51,0)),""))</f>
        <v/>
      </c>
      <c r="U453" s="12">
        <f>IF(Q453="","",IF(T453="","CEK ID FIXTURE tidak ada di DAFTAR_FIXTURE",IF(R453="","CEK ZONA NO kosong",IF(ISNA(MATCH(T453&amp;"|"&amp;R453,LAYOUT!$E$2:$E$80,0)),"CEK ZONA NO di luar layout",IF(S453&lt;&gt;INDEX(LAYOUT!$D$2:$D$80,MATCH(T453&amp;"|"&amp;R453,LAYOUT!$E$2:$E$80,0)),"CEK JENIS ZONA",IF($D453="","Zona STOCK",IF($E453="","CEK SKU DESCRIPTION kosong","OK")))))))</f>
        <v/>
      </c>
      <c r="V453" s="11" t="n"/>
      <c r="W453" s="11" t="n"/>
      <c r="X453" s="11" t="n"/>
      <c r="Y453" s="12">
        <f>IF(V453="","",IFERROR(INDEX(DAFTAR_FIXTURE!$B$2:$B$51,MATCH(V453,DAFTAR_FIXTURE!$A$2:$A$51,0)),""))</f>
        <v/>
      </c>
      <c r="Z453" s="12">
        <f>IF(V453="","",IF(Y453="","CEK ID FIXTURE tidak ada di DAFTAR_FIXTURE",IF(W453="","CEK ZONA NO kosong",IF(ISNA(MATCH(Y453&amp;"|"&amp;W453,LAYOUT!$E$2:$E$80,0)),"CEK ZONA NO di luar layout",IF(X453&lt;&gt;INDEX(LAYOUT!$D$2:$D$80,MATCH(Y453&amp;"|"&amp;W453,LAYOUT!$E$2:$E$80,0)),"CEK JENIS ZONA",IF($D453="","Zona STOCK",IF($E453="","CEK SKU DESCRIPTION kosong","OK")))))))</f>
        <v/>
      </c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1" t="n"/>
      <c r="M454" s="11" t="n"/>
      <c r="N454" s="11" t="n"/>
      <c r="O454" s="12">
        <f>IF(L454="","",IFERROR(INDEX(DAFTAR_FIXTURE!$B$2:$B$51,MATCH(L454,DAFTAR_FIXTURE!$A$2:$A$51,0)),""))</f>
        <v/>
      </c>
      <c r="P454" s="12">
        <f>IF(AND($D454="",L454=""),"",IF(L454="",IF(AND(Q454="",V454=""),"Belum ditempatkan",""),IF(O454="","CEK ID FIXTURE tidak ada di DAFTAR_FIXTURE",IF(M454="","CEK ZONA NO kosong",IF(ISNA(MATCH(O454&amp;"|"&amp;M454,LAYOUT!$E$2:$E$80,0)),"CEK ZONA NO di luar layout",IF(N454&lt;&gt;INDEX(LAYOUT!$D$2:$D$80,MATCH(O454&amp;"|"&amp;M454,LAYOUT!$E$2:$E$80,0)),"CEK JENIS ZONA",IF($D454="","Zona STOCK",IF($E454="","CEK SKU DESCRIPTION kosong","OK"))))))))</f>
        <v/>
      </c>
      <c r="Q454" s="11" t="n"/>
      <c r="R454" s="11" t="n"/>
      <c r="S454" s="11" t="n"/>
      <c r="T454" s="12">
        <f>IF(Q454="","",IFERROR(INDEX(DAFTAR_FIXTURE!$B$2:$B$51,MATCH(Q454,DAFTAR_FIXTURE!$A$2:$A$51,0)),""))</f>
        <v/>
      </c>
      <c r="U454" s="12">
        <f>IF(Q454="","",IF(T454="","CEK ID FIXTURE tidak ada di DAFTAR_FIXTURE",IF(R454="","CEK ZONA NO kosong",IF(ISNA(MATCH(T454&amp;"|"&amp;R454,LAYOUT!$E$2:$E$80,0)),"CEK ZONA NO di luar layout",IF(S454&lt;&gt;INDEX(LAYOUT!$D$2:$D$80,MATCH(T454&amp;"|"&amp;R454,LAYOUT!$E$2:$E$80,0)),"CEK JENIS ZONA",IF($D454="","Zona STOCK",IF($E454="","CEK SKU DESCRIPTION kosong","OK")))))))</f>
        <v/>
      </c>
      <c r="V454" s="11" t="n"/>
      <c r="W454" s="11" t="n"/>
      <c r="X454" s="11" t="n"/>
      <c r="Y454" s="12">
        <f>IF(V454="","",IFERROR(INDEX(DAFTAR_FIXTURE!$B$2:$B$51,MATCH(V454,DAFTAR_FIXTURE!$A$2:$A$51,0)),""))</f>
        <v/>
      </c>
      <c r="Z454" s="12">
        <f>IF(V454="","",IF(Y454="","CEK ID FIXTURE tidak ada di DAFTAR_FIXTURE",IF(W454="","CEK ZONA NO kosong",IF(ISNA(MATCH(Y454&amp;"|"&amp;W454,LAYOUT!$E$2:$E$80,0)),"CEK ZONA NO di luar layout",IF(X454&lt;&gt;INDEX(LAYOUT!$D$2:$D$80,MATCH(Y454&amp;"|"&amp;W454,LAYOUT!$E$2:$E$80,0)),"CEK JENIS ZONA",IF($D454="","Zona STOCK",IF($E454="","CEK SKU DESCRIPTION kosong","OK")))))))</f>
        <v/>
      </c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1" t="n"/>
      <c r="M455" s="11" t="n"/>
      <c r="N455" s="11" t="n"/>
      <c r="O455" s="12">
        <f>IF(L455="","",IFERROR(INDEX(DAFTAR_FIXTURE!$B$2:$B$51,MATCH(L455,DAFTAR_FIXTURE!$A$2:$A$51,0)),""))</f>
        <v/>
      </c>
      <c r="P455" s="12">
        <f>IF(AND($D455="",L455=""),"",IF(L455="",IF(AND(Q455="",V455=""),"Belum ditempatkan",""),IF(O455="","CEK ID FIXTURE tidak ada di DAFTAR_FIXTURE",IF(M455="","CEK ZONA NO kosong",IF(ISNA(MATCH(O455&amp;"|"&amp;M455,LAYOUT!$E$2:$E$80,0)),"CEK ZONA NO di luar layout",IF(N455&lt;&gt;INDEX(LAYOUT!$D$2:$D$80,MATCH(O455&amp;"|"&amp;M455,LAYOUT!$E$2:$E$80,0)),"CEK JENIS ZONA",IF($D455="","Zona STOCK",IF($E455="","CEK SKU DESCRIPTION kosong","OK"))))))))</f>
        <v/>
      </c>
      <c r="Q455" s="11" t="n"/>
      <c r="R455" s="11" t="n"/>
      <c r="S455" s="11" t="n"/>
      <c r="T455" s="12">
        <f>IF(Q455="","",IFERROR(INDEX(DAFTAR_FIXTURE!$B$2:$B$51,MATCH(Q455,DAFTAR_FIXTURE!$A$2:$A$51,0)),""))</f>
        <v/>
      </c>
      <c r="U455" s="12">
        <f>IF(Q455="","",IF(T455="","CEK ID FIXTURE tidak ada di DAFTAR_FIXTURE",IF(R455="","CEK ZONA NO kosong",IF(ISNA(MATCH(T455&amp;"|"&amp;R455,LAYOUT!$E$2:$E$80,0)),"CEK ZONA NO di luar layout",IF(S455&lt;&gt;INDEX(LAYOUT!$D$2:$D$80,MATCH(T455&amp;"|"&amp;R455,LAYOUT!$E$2:$E$80,0)),"CEK JENIS ZONA",IF($D455="","Zona STOCK",IF($E455="","CEK SKU DESCRIPTION kosong","OK")))))))</f>
        <v/>
      </c>
      <c r="V455" s="11" t="n"/>
      <c r="W455" s="11" t="n"/>
      <c r="X455" s="11" t="n"/>
      <c r="Y455" s="12">
        <f>IF(V455="","",IFERROR(INDEX(DAFTAR_FIXTURE!$B$2:$B$51,MATCH(V455,DAFTAR_FIXTURE!$A$2:$A$51,0)),""))</f>
        <v/>
      </c>
      <c r="Z455" s="12">
        <f>IF(V455="","",IF(Y455="","CEK ID FIXTURE tidak ada di DAFTAR_FIXTURE",IF(W455="","CEK ZONA NO kosong",IF(ISNA(MATCH(Y455&amp;"|"&amp;W455,LAYOUT!$E$2:$E$80,0)),"CEK ZONA NO di luar layout",IF(X455&lt;&gt;INDEX(LAYOUT!$D$2:$D$80,MATCH(Y455&amp;"|"&amp;W455,LAYOUT!$E$2:$E$80,0)),"CEK JENIS ZONA",IF($D455="","Zona STOCK",IF($E455="","CEK SKU DESCRIPTION kosong","OK")))))))</f>
        <v/>
      </c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1" t="n"/>
      <c r="M456" s="11" t="n"/>
      <c r="N456" s="11" t="n"/>
      <c r="O456" s="12">
        <f>IF(L456="","",IFERROR(INDEX(DAFTAR_FIXTURE!$B$2:$B$51,MATCH(L456,DAFTAR_FIXTURE!$A$2:$A$51,0)),""))</f>
        <v/>
      </c>
      <c r="P456" s="12">
        <f>IF(AND($D456="",L456=""),"",IF(L456="",IF(AND(Q456="",V456=""),"Belum ditempatkan",""),IF(O456="","CEK ID FIXTURE tidak ada di DAFTAR_FIXTURE",IF(M456="","CEK ZONA NO kosong",IF(ISNA(MATCH(O456&amp;"|"&amp;M456,LAYOUT!$E$2:$E$80,0)),"CEK ZONA NO di luar layout",IF(N456&lt;&gt;INDEX(LAYOUT!$D$2:$D$80,MATCH(O456&amp;"|"&amp;M456,LAYOUT!$E$2:$E$80,0)),"CEK JENIS ZONA",IF($D456="","Zona STOCK",IF($E456="","CEK SKU DESCRIPTION kosong","OK"))))))))</f>
        <v/>
      </c>
      <c r="Q456" s="11" t="n"/>
      <c r="R456" s="11" t="n"/>
      <c r="S456" s="11" t="n"/>
      <c r="T456" s="12">
        <f>IF(Q456="","",IFERROR(INDEX(DAFTAR_FIXTURE!$B$2:$B$51,MATCH(Q456,DAFTAR_FIXTURE!$A$2:$A$51,0)),""))</f>
        <v/>
      </c>
      <c r="U456" s="12">
        <f>IF(Q456="","",IF(T456="","CEK ID FIXTURE tidak ada di DAFTAR_FIXTURE",IF(R456="","CEK ZONA NO kosong",IF(ISNA(MATCH(T456&amp;"|"&amp;R456,LAYOUT!$E$2:$E$80,0)),"CEK ZONA NO di luar layout",IF(S456&lt;&gt;INDEX(LAYOUT!$D$2:$D$80,MATCH(T456&amp;"|"&amp;R456,LAYOUT!$E$2:$E$80,0)),"CEK JENIS ZONA",IF($D456="","Zona STOCK",IF($E456="","CEK SKU DESCRIPTION kosong","OK")))))))</f>
        <v/>
      </c>
      <c r="V456" s="11" t="n"/>
      <c r="W456" s="11" t="n"/>
      <c r="X456" s="11" t="n"/>
      <c r="Y456" s="12">
        <f>IF(V456="","",IFERROR(INDEX(DAFTAR_FIXTURE!$B$2:$B$51,MATCH(V456,DAFTAR_FIXTURE!$A$2:$A$51,0)),""))</f>
        <v/>
      </c>
      <c r="Z456" s="12">
        <f>IF(V456="","",IF(Y456="","CEK ID FIXTURE tidak ada di DAFTAR_FIXTURE",IF(W456="","CEK ZONA NO kosong",IF(ISNA(MATCH(Y456&amp;"|"&amp;W456,LAYOUT!$E$2:$E$80,0)),"CEK ZONA NO di luar layout",IF(X456&lt;&gt;INDEX(LAYOUT!$D$2:$D$80,MATCH(Y456&amp;"|"&amp;W456,LAYOUT!$E$2:$E$80,0)),"CEK JENIS ZONA",IF($D456="","Zona STOCK",IF($E456="","CEK SKU DESCRIPTION kosong","OK")))))))</f>
        <v/>
      </c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1" t="n"/>
      <c r="M457" s="11" t="n"/>
      <c r="N457" s="11" t="n"/>
      <c r="O457" s="12">
        <f>IF(L457="","",IFERROR(INDEX(DAFTAR_FIXTURE!$B$2:$B$51,MATCH(L457,DAFTAR_FIXTURE!$A$2:$A$51,0)),""))</f>
        <v/>
      </c>
      <c r="P457" s="12">
        <f>IF(AND($D457="",L457=""),"",IF(L457="",IF(AND(Q457="",V457=""),"Belum ditempatkan",""),IF(O457="","CEK ID FIXTURE tidak ada di DAFTAR_FIXTURE",IF(M457="","CEK ZONA NO kosong",IF(ISNA(MATCH(O457&amp;"|"&amp;M457,LAYOUT!$E$2:$E$80,0)),"CEK ZONA NO di luar layout",IF(N457&lt;&gt;INDEX(LAYOUT!$D$2:$D$80,MATCH(O457&amp;"|"&amp;M457,LAYOUT!$E$2:$E$80,0)),"CEK JENIS ZONA",IF($D457="","Zona STOCK",IF($E457="","CEK SKU DESCRIPTION kosong","OK"))))))))</f>
        <v/>
      </c>
      <c r="Q457" s="11" t="n"/>
      <c r="R457" s="11" t="n"/>
      <c r="S457" s="11" t="n"/>
      <c r="T457" s="12">
        <f>IF(Q457="","",IFERROR(INDEX(DAFTAR_FIXTURE!$B$2:$B$51,MATCH(Q457,DAFTAR_FIXTURE!$A$2:$A$51,0)),""))</f>
        <v/>
      </c>
      <c r="U457" s="12">
        <f>IF(Q457="","",IF(T457="","CEK ID FIXTURE tidak ada di DAFTAR_FIXTURE",IF(R457="","CEK ZONA NO kosong",IF(ISNA(MATCH(T457&amp;"|"&amp;R457,LAYOUT!$E$2:$E$80,0)),"CEK ZONA NO di luar layout",IF(S457&lt;&gt;INDEX(LAYOUT!$D$2:$D$80,MATCH(T457&amp;"|"&amp;R457,LAYOUT!$E$2:$E$80,0)),"CEK JENIS ZONA",IF($D457="","Zona STOCK",IF($E457="","CEK SKU DESCRIPTION kosong","OK")))))))</f>
        <v/>
      </c>
      <c r="V457" s="11" t="n"/>
      <c r="W457" s="11" t="n"/>
      <c r="X457" s="11" t="n"/>
      <c r="Y457" s="12">
        <f>IF(V457="","",IFERROR(INDEX(DAFTAR_FIXTURE!$B$2:$B$51,MATCH(V457,DAFTAR_FIXTURE!$A$2:$A$51,0)),""))</f>
        <v/>
      </c>
      <c r="Z457" s="12">
        <f>IF(V457="","",IF(Y457="","CEK ID FIXTURE tidak ada di DAFTAR_FIXTURE",IF(W457="","CEK ZONA NO kosong",IF(ISNA(MATCH(Y457&amp;"|"&amp;W457,LAYOUT!$E$2:$E$80,0)),"CEK ZONA NO di luar layout",IF(X457&lt;&gt;INDEX(LAYOUT!$D$2:$D$80,MATCH(Y457&amp;"|"&amp;W457,LAYOUT!$E$2:$E$80,0)),"CEK JENIS ZONA",IF($D457="","Zona STOCK",IF($E457="","CEK SKU DESCRIPTION kosong","OK")))))))</f>
        <v/>
      </c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1" t="n"/>
      <c r="M458" s="11" t="n"/>
      <c r="N458" s="11" t="n"/>
      <c r="O458" s="12">
        <f>IF(L458="","",IFERROR(INDEX(DAFTAR_FIXTURE!$B$2:$B$51,MATCH(L458,DAFTAR_FIXTURE!$A$2:$A$51,0)),""))</f>
        <v/>
      </c>
      <c r="P458" s="12">
        <f>IF(AND($D458="",L458=""),"",IF(L458="",IF(AND(Q458="",V458=""),"Belum ditempatkan",""),IF(O458="","CEK ID FIXTURE tidak ada di DAFTAR_FIXTURE",IF(M458="","CEK ZONA NO kosong",IF(ISNA(MATCH(O458&amp;"|"&amp;M458,LAYOUT!$E$2:$E$80,0)),"CEK ZONA NO di luar layout",IF(N458&lt;&gt;INDEX(LAYOUT!$D$2:$D$80,MATCH(O458&amp;"|"&amp;M458,LAYOUT!$E$2:$E$80,0)),"CEK JENIS ZONA",IF($D458="","Zona STOCK",IF($E458="","CEK SKU DESCRIPTION kosong","OK"))))))))</f>
        <v/>
      </c>
      <c r="Q458" s="11" t="n"/>
      <c r="R458" s="11" t="n"/>
      <c r="S458" s="11" t="n"/>
      <c r="T458" s="12">
        <f>IF(Q458="","",IFERROR(INDEX(DAFTAR_FIXTURE!$B$2:$B$51,MATCH(Q458,DAFTAR_FIXTURE!$A$2:$A$51,0)),""))</f>
        <v/>
      </c>
      <c r="U458" s="12">
        <f>IF(Q458="","",IF(T458="","CEK ID FIXTURE tidak ada di DAFTAR_FIXTURE",IF(R458="","CEK ZONA NO kosong",IF(ISNA(MATCH(T458&amp;"|"&amp;R458,LAYOUT!$E$2:$E$80,0)),"CEK ZONA NO di luar layout",IF(S458&lt;&gt;INDEX(LAYOUT!$D$2:$D$80,MATCH(T458&amp;"|"&amp;R458,LAYOUT!$E$2:$E$80,0)),"CEK JENIS ZONA",IF($D458="","Zona STOCK",IF($E458="","CEK SKU DESCRIPTION kosong","OK")))))))</f>
        <v/>
      </c>
      <c r="V458" s="11" t="n"/>
      <c r="W458" s="11" t="n"/>
      <c r="X458" s="11" t="n"/>
      <c r="Y458" s="12">
        <f>IF(V458="","",IFERROR(INDEX(DAFTAR_FIXTURE!$B$2:$B$51,MATCH(V458,DAFTAR_FIXTURE!$A$2:$A$51,0)),""))</f>
        <v/>
      </c>
      <c r="Z458" s="12">
        <f>IF(V458="","",IF(Y458="","CEK ID FIXTURE tidak ada di DAFTAR_FIXTURE",IF(W458="","CEK ZONA NO kosong",IF(ISNA(MATCH(Y458&amp;"|"&amp;W458,LAYOUT!$E$2:$E$80,0)),"CEK ZONA NO di luar layout",IF(X458&lt;&gt;INDEX(LAYOUT!$D$2:$D$80,MATCH(Y458&amp;"|"&amp;W458,LAYOUT!$E$2:$E$80,0)),"CEK JENIS ZONA",IF($D458="","Zona STOCK",IF($E458="","CEK SKU DESCRIPTION kosong","OK")))))))</f>
        <v/>
      </c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1" t="n"/>
      <c r="M459" s="11" t="n"/>
      <c r="N459" s="11" t="n"/>
      <c r="O459" s="12">
        <f>IF(L459="","",IFERROR(INDEX(DAFTAR_FIXTURE!$B$2:$B$51,MATCH(L459,DAFTAR_FIXTURE!$A$2:$A$51,0)),""))</f>
        <v/>
      </c>
      <c r="P459" s="12">
        <f>IF(AND($D459="",L459=""),"",IF(L459="",IF(AND(Q459="",V459=""),"Belum ditempatkan",""),IF(O459="","CEK ID FIXTURE tidak ada di DAFTAR_FIXTURE",IF(M459="","CEK ZONA NO kosong",IF(ISNA(MATCH(O459&amp;"|"&amp;M459,LAYOUT!$E$2:$E$80,0)),"CEK ZONA NO di luar layout",IF(N459&lt;&gt;INDEX(LAYOUT!$D$2:$D$80,MATCH(O459&amp;"|"&amp;M459,LAYOUT!$E$2:$E$80,0)),"CEK JENIS ZONA",IF($D459="","Zona STOCK",IF($E459="","CEK SKU DESCRIPTION kosong","OK"))))))))</f>
        <v/>
      </c>
      <c r="Q459" s="11" t="n"/>
      <c r="R459" s="11" t="n"/>
      <c r="S459" s="11" t="n"/>
      <c r="T459" s="12">
        <f>IF(Q459="","",IFERROR(INDEX(DAFTAR_FIXTURE!$B$2:$B$51,MATCH(Q459,DAFTAR_FIXTURE!$A$2:$A$51,0)),""))</f>
        <v/>
      </c>
      <c r="U459" s="12">
        <f>IF(Q459="","",IF(T459="","CEK ID FIXTURE tidak ada di DAFTAR_FIXTURE",IF(R459="","CEK ZONA NO kosong",IF(ISNA(MATCH(T459&amp;"|"&amp;R459,LAYOUT!$E$2:$E$80,0)),"CEK ZONA NO di luar layout",IF(S459&lt;&gt;INDEX(LAYOUT!$D$2:$D$80,MATCH(T459&amp;"|"&amp;R459,LAYOUT!$E$2:$E$80,0)),"CEK JENIS ZONA",IF($D459="","Zona STOCK",IF($E459="","CEK SKU DESCRIPTION kosong","OK")))))))</f>
        <v/>
      </c>
      <c r="V459" s="11" t="n"/>
      <c r="W459" s="11" t="n"/>
      <c r="X459" s="11" t="n"/>
      <c r="Y459" s="12">
        <f>IF(V459="","",IFERROR(INDEX(DAFTAR_FIXTURE!$B$2:$B$51,MATCH(V459,DAFTAR_FIXTURE!$A$2:$A$51,0)),""))</f>
        <v/>
      </c>
      <c r="Z459" s="12">
        <f>IF(V459="","",IF(Y459="","CEK ID FIXTURE tidak ada di DAFTAR_FIXTURE",IF(W459="","CEK ZONA NO kosong",IF(ISNA(MATCH(Y459&amp;"|"&amp;W459,LAYOUT!$E$2:$E$80,0)),"CEK ZONA NO di luar layout",IF(X459&lt;&gt;INDEX(LAYOUT!$D$2:$D$80,MATCH(Y459&amp;"|"&amp;W459,LAYOUT!$E$2:$E$80,0)),"CEK JENIS ZONA",IF($D459="","Zona STOCK",IF($E459="","CEK SKU DESCRIPTION kosong","OK")))))))</f>
        <v/>
      </c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1" t="n"/>
      <c r="M460" s="11" t="n"/>
      <c r="N460" s="11" t="n"/>
      <c r="O460" s="12">
        <f>IF(L460="","",IFERROR(INDEX(DAFTAR_FIXTURE!$B$2:$B$51,MATCH(L460,DAFTAR_FIXTURE!$A$2:$A$51,0)),""))</f>
        <v/>
      </c>
      <c r="P460" s="12">
        <f>IF(AND($D460="",L460=""),"",IF(L460="",IF(AND(Q460="",V460=""),"Belum ditempatkan",""),IF(O460="","CEK ID FIXTURE tidak ada di DAFTAR_FIXTURE",IF(M460="","CEK ZONA NO kosong",IF(ISNA(MATCH(O460&amp;"|"&amp;M460,LAYOUT!$E$2:$E$80,0)),"CEK ZONA NO di luar layout",IF(N460&lt;&gt;INDEX(LAYOUT!$D$2:$D$80,MATCH(O460&amp;"|"&amp;M460,LAYOUT!$E$2:$E$80,0)),"CEK JENIS ZONA",IF($D460="","Zona STOCK",IF($E460="","CEK SKU DESCRIPTION kosong","OK"))))))))</f>
        <v/>
      </c>
      <c r="Q460" s="11" t="n"/>
      <c r="R460" s="11" t="n"/>
      <c r="S460" s="11" t="n"/>
      <c r="T460" s="12">
        <f>IF(Q460="","",IFERROR(INDEX(DAFTAR_FIXTURE!$B$2:$B$51,MATCH(Q460,DAFTAR_FIXTURE!$A$2:$A$51,0)),""))</f>
        <v/>
      </c>
      <c r="U460" s="12">
        <f>IF(Q460="","",IF(T460="","CEK ID FIXTURE tidak ada di DAFTAR_FIXTURE",IF(R460="","CEK ZONA NO kosong",IF(ISNA(MATCH(T460&amp;"|"&amp;R460,LAYOUT!$E$2:$E$80,0)),"CEK ZONA NO di luar layout",IF(S460&lt;&gt;INDEX(LAYOUT!$D$2:$D$80,MATCH(T460&amp;"|"&amp;R460,LAYOUT!$E$2:$E$80,0)),"CEK JENIS ZONA",IF($D460="","Zona STOCK",IF($E460="","CEK SKU DESCRIPTION kosong","OK")))))))</f>
        <v/>
      </c>
      <c r="V460" s="11" t="n"/>
      <c r="W460" s="11" t="n"/>
      <c r="X460" s="11" t="n"/>
      <c r="Y460" s="12">
        <f>IF(V460="","",IFERROR(INDEX(DAFTAR_FIXTURE!$B$2:$B$51,MATCH(V460,DAFTAR_FIXTURE!$A$2:$A$51,0)),""))</f>
        <v/>
      </c>
      <c r="Z460" s="12">
        <f>IF(V460="","",IF(Y460="","CEK ID FIXTURE tidak ada di DAFTAR_FIXTURE",IF(W460="","CEK ZONA NO kosong",IF(ISNA(MATCH(Y460&amp;"|"&amp;W460,LAYOUT!$E$2:$E$80,0)),"CEK ZONA NO di luar layout",IF(X460&lt;&gt;INDEX(LAYOUT!$D$2:$D$80,MATCH(Y460&amp;"|"&amp;W460,LAYOUT!$E$2:$E$80,0)),"CEK JENIS ZONA",IF($D460="","Zona STOCK",IF($E460="","CEK SKU DESCRIPTION kosong","OK")))))))</f>
        <v/>
      </c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1" t="n"/>
      <c r="M461" s="11" t="n"/>
      <c r="N461" s="11" t="n"/>
      <c r="O461" s="12">
        <f>IF(L461="","",IFERROR(INDEX(DAFTAR_FIXTURE!$B$2:$B$51,MATCH(L461,DAFTAR_FIXTURE!$A$2:$A$51,0)),""))</f>
        <v/>
      </c>
      <c r="P461" s="12">
        <f>IF(AND($D461="",L461=""),"",IF(L461="",IF(AND(Q461="",V461=""),"Belum ditempatkan",""),IF(O461="","CEK ID FIXTURE tidak ada di DAFTAR_FIXTURE",IF(M461="","CEK ZONA NO kosong",IF(ISNA(MATCH(O461&amp;"|"&amp;M461,LAYOUT!$E$2:$E$80,0)),"CEK ZONA NO di luar layout",IF(N461&lt;&gt;INDEX(LAYOUT!$D$2:$D$80,MATCH(O461&amp;"|"&amp;M461,LAYOUT!$E$2:$E$80,0)),"CEK JENIS ZONA",IF($D461="","Zona STOCK",IF($E461="","CEK SKU DESCRIPTION kosong","OK"))))))))</f>
        <v/>
      </c>
      <c r="Q461" s="11" t="n"/>
      <c r="R461" s="11" t="n"/>
      <c r="S461" s="11" t="n"/>
      <c r="T461" s="12">
        <f>IF(Q461="","",IFERROR(INDEX(DAFTAR_FIXTURE!$B$2:$B$51,MATCH(Q461,DAFTAR_FIXTURE!$A$2:$A$51,0)),""))</f>
        <v/>
      </c>
      <c r="U461" s="12">
        <f>IF(Q461="","",IF(T461="","CEK ID FIXTURE tidak ada di DAFTAR_FIXTURE",IF(R461="","CEK ZONA NO kosong",IF(ISNA(MATCH(T461&amp;"|"&amp;R461,LAYOUT!$E$2:$E$80,0)),"CEK ZONA NO di luar layout",IF(S461&lt;&gt;INDEX(LAYOUT!$D$2:$D$80,MATCH(T461&amp;"|"&amp;R461,LAYOUT!$E$2:$E$80,0)),"CEK JENIS ZONA",IF($D461="","Zona STOCK",IF($E461="","CEK SKU DESCRIPTION kosong","OK")))))))</f>
        <v/>
      </c>
      <c r="V461" s="11" t="n"/>
      <c r="W461" s="11" t="n"/>
      <c r="X461" s="11" t="n"/>
      <c r="Y461" s="12">
        <f>IF(V461="","",IFERROR(INDEX(DAFTAR_FIXTURE!$B$2:$B$51,MATCH(V461,DAFTAR_FIXTURE!$A$2:$A$51,0)),""))</f>
        <v/>
      </c>
      <c r="Z461" s="12">
        <f>IF(V461="","",IF(Y461="","CEK ID FIXTURE tidak ada di DAFTAR_FIXTURE",IF(W461="","CEK ZONA NO kosong",IF(ISNA(MATCH(Y461&amp;"|"&amp;W461,LAYOUT!$E$2:$E$80,0)),"CEK ZONA NO di luar layout",IF(X461&lt;&gt;INDEX(LAYOUT!$D$2:$D$80,MATCH(Y461&amp;"|"&amp;W461,LAYOUT!$E$2:$E$80,0)),"CEK JENIS ZONA",IF($D461="","Zona STOCK",IF($E461="","CEK SKU DESCRIPTION kosong","OK")))))))</f>
        <v/>
      </c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1" t="n"/>
      <c r="M462" s="11" t="n"/>
      <c r="N462" s="11" t="n"/>
      <c r="O462" s="12">
        <f>IF(L462="","",IFERROR(INDEX(DAFTAR_FIXTURE!$B$2:$B$51,MATCH(L462,DAFTAR_FIXTURE!$A$2:$A$51,0)),""))</f>
        <v/>
      </c>
      <c r="P462" s="12">
        <f>IF(AND($D462="",L462=""),"",IF(L462="",IF(AND(Q462="",V462=""),"Belum ditempatkan",""),IF(O462="","CEK ID FIXTURE tidak ada di DAFTAR_FIXTURE",IF(M462="","CEK ZONA NO kosong",IF(ISNA(MATCH(O462&amp;"|"&amp;M462,LAYOUT!$E$2:$E$80,0)),"CEK ZONA NO di luar layout",IF(N462&lt;&gt;INDEX(LAYOUT!$D$2:$D$80,MATCH(O462&amp;"|"&amp;M462,LAYOUT!$E$2:$E$80,0)),"CEK JENIS ZONA",IF($D462="","Zona STOCK",IF($E462="","CEK SKU DESCRIPTION kosong","OK"))))))))</f>
        <v/>
      </c>
      <c r="Q462" s="11" t="n"/>
      <c r="R462" s="11" t="n"/>
      <c r="S462" s="11" t="n"/>
      <c r="T462" s="12">
        <f>IF(Q462="","",IFERROR(INDEX(DAFTAR_FIXTURE!$B$2:$B$51,MATCH(Q462,DAFTAR_FIXTURE!$A$2:$A$51,0)),""))</f>
        <v/>
      </c>
      <c r="U462" s="12">
        <f>IF(Q462="","",IF(T462="","CEK ID FIXTURE tidak ada di DAFTAR_FIXTURE",IF(R462="","CEK ZONA NO kosong",IF(ISNA(MATCH(T462&amp;"|"&amp;R462,LAYOUT!$E$2:$E$80,0)),"CEK ZONA NO di luar layout",IF(S462&lt;&gt;INDEX(LAYOUT!$D$2:$D$80,MATCH(T462&amp;"|"&amp;R462,LAYOUT!$E$2:$E$80,0)),"CEK JENIS ZONA",IF($D462="","Zona STOCK",IF($E462="","CEK SKU DESCRIPTION kosong","OK")))))))</f>
        <v/>
      </c>
      <c r="V462" s="11" t="n"/>
      <c r="W462" s="11" t="n"/>
      <c r="X462" s="11" t="n"/>
      <c r="Y462" s="12">
        <f>IF(V462="","",IFERROR(INDEX(DAFTAR_FIXTURE!$B$2:$B$51,MATCH(V462,DAFTAR_FIXTURE!$A$2:$A$51,0)),""))</f>
        <v/>
      </c>
      <c r="Z462" s="12">
        <f>IF(V462="","",IF(Y462="","CEK ID FIXTURE tidak ada di DAFTAR_FIXTURE",IF(W462="","CEK ZONA NO kosong",IF(ISNA(MATCH(Y462&amp;"|"&amp;W462,LAYOUT!$E$2:$E$80,0)),"CEK ZONA NO di luar layout",IF(X462&lt;&gt;INDEX(LAYOUT!$D$2:$D$80,MATCH(Y462&amp;"|"&amp;W462,LAYOUT!$E$2:$E$80,0)),"CEK JENIS ZONA",IF($D462="","Zona STOCK",IF($E462="","CEK SKU DESCRIPTION kosong","OK")))))))</f>
        <v/>
      </c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1" t="n"/>
      <c r="M463" s="11" t="n"/>
      <c r="N463" s="11" t="n"/>
      <c r="O463" s="12">
        <f>IF(L463="","",IFERROR(INDEX(DAFTAR_FIXTURE!$B$2:$B$51,MATCH(L463,DAFTAR_FIXTURE!$A$2:$A$51,0)),""))</f>
        <v/>
      </c>
      <c r="P463" s="12">
        <f>IF(AND($D463="",L463=""),"",IF(L463="",IF(AND(Q463="",V463=""),"Belum ditempatkan",""),IF(O463="","CEK ID FIXTURE tidak ada di DAFTAR_FIXTURE",IF(M463="","CEK ZONA NO kosong",IF(ISNA(MATCH(O463&amp;"|"&amp;M463,LAYOUT!$E$2:$E$80,0)),"CEK ZONA NO di luar layout",IF(N463&lt;&gt;INDEX(LAYOUT!$D$2:$D$80,MATCH(O463&amp;"|"&amp;M463,LAYOUT!$E$2:$E$80,0)),"CEK JENIS ZONA",IF($D463="","Zona STOCK",IF($E463="","CEK SKU DESCRIPTION kosong","OK"))))))))</f>
        <v/>
      </c>
      <c r="Q463" s="11" t="n"/>
      <c r="R463" s="11" t="n"/>
      <c r="S463" s="11" t="n"/>
      <c r="T463" s="12">
        <f>IF(Q463="","",IFERROR(INDEX(DAFTAR_FIXTURE!$B$2:$B$51,MATCH(Q463,DAFTAR_FIXTURE!$A$2:$A$51,0)),""))</f>
        <v/>
      </c>
      <c r="U463" s="12">
        <f>IF(Q463="","",IF(T463="","CEK ID FIXTURE tidak ada di DAFTAR_FIXTURE",IF(R463="","CEK ZONA NO kosong",IF(ISNA(MATCH(T463&amp;"|"&amp;R463,LAYOUT!$E$2:$E$80,0)),"CEK ZONA NO di luar layout",IF(S463&lt;&gt;INDEX(LAYOUT!$D$2:$D$80,MATCH(T463&amp;"|"&amp;R463,LAYOUT!$E$2:$E$80,0)),"CEK JENIS ZONA",IF($D463="","Zona STOCK",IF($E463="","CEK SKU DESCRIPTION kosong","OK")))))))</f>
        <v/>
      </c>
      <c r="V463" s="11" t="n"/>
      <c r="W463" s="11" t="n"/>
      <c r="X463" s="11" t="n"/>
      <c r="Y463" s="12">
        <f>IF(V463="","",IFERROR(INDEX(DAFTAR_FIXTURE!$B$2:$B$51,MATCH(V463,DAFTAR_FIXTURE!$A$2:$A$51,0)),""))</f>
        <v/>
      </c>
      <c r="Z463" s="12">
        <f>IF(V463="","",IF(Y463="","CEK ID FIXTURE tidak ada di DAFTAR_FIXTURE",IF(W463="","CEK ZONA NO kosong",IF(ISNA(MATCH(Y463&amp;"|"&amp;W463,LAYOUT!$E$2:$E$80,0)),"CEK ZONA NO di luar layout",IF(X463&lt;&gt;INDEX(LAYOUT!$D$2:$D$80,MATCH(Y463&amp;"|"&amp;W463,LAYOUT!$E$2:$E$80,0)),"CEK JENIS ZONA",IF($D463="","Zona STOCK",IF($E463="","CEK SKU DESCRIPTION kosong","OK")))))))</f>
        <v/>
      </c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1" t="n"/>
      <c r="M464" s="11" t="n"/>
      <c r="N464" s="11" t="n"/>
      <c r="O464" s="12">
        <f>IF(L464="","",IFERROR(INDEX(DAFTAR_FIXTURE!$B$2:$B$51,MATCH(L464,DAFTAR_FIXTURE!$A$2:$A$51,0)),""))</f>
        <v/>
      </c>
      <c r="P464" s="12">
        <f>IF(AND($D464="",L464=""),"",IF(L464="",IF(AND(Q464="",V464=""),"Belum ditempatkan",""),IF(O464="","CEK ID FIXTURE tidak ada di DAFTAR_FIXTURE",IF(M464="","CEK ZONA NO kosong",IF(ISNA(MATCH(O464&amp;"|"&amp;M464,LAYOUT!$E$2:$E$80,0)),"CEK ZONA NO di luar layout",IF(N464&lt;&gt;INDEX(LAYOUT!$D$2:$D$80,MATCH(O464&amp;"|"&amp;M464,LAYOUT!$E$2:$E$80,0)),"CEK JENIS ZONA",IF($D464="","Zona STOCK",IF($E464="","CEK SKU DESCRIPTION kosong","OK"))))))))</f>
        <v/>
      </c>
      <c r="Q464" s="11" t="n"/>
      <c r="R464" s="11" t="n"/>
      <c r="S464" s="11" t="n"/>
      <c r="T464" s="12">
        <f>IF(Q464="","",IFERROR(INDEX(DAFTAR_FIXTURE!$B$2:$B$51,MATCH(Q464,DAFTAR_FIXTURE!$A$2:$A$51,0)),""))</f>
        <v/>
      </c>
      <c r="U464" s="12">
        <f>IF(Q464="","",IF(T464="","CEK ID FIXTURE tidak ada di DAFTAR_FIXTURE",IF(R464="","CEK ZONA NO kosong",IF(ISNA(MATCH(T464&amp;"|"&amp;R464,LAYOUT!$E$2:$E$80,0)),"CEK ZONA NO di luar layout",IF(S464&lt;&gt;INDEX(LAYOUT!$D$2:$D$80,MATCH(T464&amp;"|"&amp;R464,LAYOUT!$E$2:$E$80,0)),"CEK JENIS ZONA",IF($D464="","Zona STOCK",IF($E464="","CEK SKU DESCRIPTION kosong","OK")))))))</f>
        <v/>
      </c>
      <c r="V464" s="11" t="n"/>
      <c r="W464" s="11" t="n"/>
      <c r="X464" s="11" t="n"/>
      <c r="Y464" s="12">
        <f>IF(V464="","",IFERROR(INDEX(DAFTAR_FIXTURE!$B$2:$B$51,MATCH(V464,DAFTAR_FIXTURE!$A$2:$A$51,0)),""))</f>
        <v/>
      </c>
      <c r="Z464" s="12">
        <f>IF(V464="","",IF(Y464="","CEK ID FIXTURE tidak ada di DAFTAR_FIXTURE",IF(W464="","CEK ZONA NO kosong",IF(ISNA(MATCH(Y464&amp;"|"&amp;W464,LAYOUT!$E$2:$E$80,0)),"CEK ZONA NO di luar layout",IF(X464&lt;&gt;INDEX(LAYOUT!$D$2:$D$80,MATCH(Y464&amp;"|"&amp;W464,LAYOUT!$E$2:$E$80,0)),"CEK JENIS ZONA",IF($D464="","Zona STOCK",IF($E464="","CEK SKU DESCRIPTION kosong","OK")))))))</f>
        <v/>
      </c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1" t="n"/>
      <c r="M465" s="11" t="n"/>
      <c r="N465" s="11" t="n"/>
      <c r="O465" s="12">
        <f>IF(L465="","",IFERROR(INDEX(DAFTAR_FIXTURE!$B$2:$B$51,MATCH(L465,DAFTAR_FIXTURE!$A$2:$A$51,0)),""))</f>
        <v/>
      </c>
      <c r="P465" s="12">
        <f>IF(AND($D465="",L465=""),"",IF(L465="",IF(AND(Q465="",V465=""),"Belum ditempatkan",""),IF(O465="","CEK ID FIXTURE tidak ada di DAFTAR_FIXTURE",IF(M465="","CEK ZONA NO kosong",IF(ISNA(MATCH(O465&amp;"|"&amp;M465,LAYOUT!$E$2:$E$80,0)),"CEK ZONA NO di luar layout",IF(N465&lt;&gt;INDEX(LAYOUT!$D$2:$D$80,MATCH(O465&amp;"|"&amp;M465,LAYOUT!$E$2:$E$80,0)),"CEK JENIS ZONA",IF($D465="","Zona STOCK",IF($E465="","CEK SKU DESCRIPTION kosong","OK"))))))))</f>
        <v/>
      </c>
      <c r="Q465" s="11" t="n"/>
      <c r="R465" s="11" t="n"/>
      <c r="S465" s="11" t="n"/>
      <c r="T465" s="12">
        <f>IF(Q465="","",IFERROR(INDEX(DAFTAR_FIXTURE!$B$2:$B$51,MATCH(Q465,DAFTAR_FIXTURE!$A$2:$A$51,0)),""))</f>
        <v/>
      </c>
      <c r="U465" s="12">
        <f>IF(Q465="","",IF(T465="","CEK ID FIXTURE tidak ada di DAFTAR_FIXTURE",IF(R465="","CEK ZONA NO kosong",IF(ISNA(MATCH(T465&amp;"|"&amp;R465,LAYOUT!$E$2:$E$80,0)),"CEK ZONA NO di luar layout",IF(S465&lt;&gt;INDEX(LAYOUT!$D$2:$D$80,MATCH(T465&amp;"|"&amp;R465,LAYOUT!$E$2:$E$80,0)),"CEK JENIS ZONA",IF($D465="","Zona STOCK",IF($E465="","CEK SKU DESCRIPTION kosong","OK")))))))</f>
        <v/>
      </c>
      <c r="V465" s="11" t="n"/>
      <c r="W465" s="11" t="n"/>
      <c r="X465" s="11" t="n"/>
      <c r="Y465" s="12">
        <f>IF(V465="","",IFERROR(INDEX(DAFTAR_FIXTURE!$B$2:$B$51,MATCH(V465,DAFTAR_FIXTURE!$A$2:$A$51,0)),""))</f>
        <v/>
      </c>
      <c r="Z465" s="12">
        <f>IF(V465="","",IF(Y465="","CEK ID FIXTURE tidak ada di DAFTAR_FIXTURE",IF(W465="","CEK ZONA NO kosong",IF(ISNA(MATCH(Y465&amp;"|"&amp;W465,LAYOUT!$E$2:$E$80,0)),"CEK ZONA NO di luar layout",IF(X465&lt;&gt;INDEX(LAYOUT!$D$2:$D$80,MATCH(Y465&amp;"|"&amp;W465,LAYOUT!$E$2:$E$80,0)),"CEK JENIS ZONA",IF($D465="","Zona STOCK",IF($E465="","CEK SKU DESCRIPTION kosong","OK")))))))</f>
        <v/>
      </c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1" t="n"/>
      <c r="M466" s="11" t="n"/>
      <c r="N466" s="11" t="n"/>
      <c r="O466" s="12">
        <f>IF(L466="","",IFERROR(INDEX(DAFTAR_FIXTURE!$B$2:$B$51,MATCH(L466,DAFTAR_FIXTURE!$A$2:$A$51,0)),""))</f>
        <v/>
      </c>
      <c r="P466" s="12">
        <f>IF(AND($D466="",L466=""),"",IF(L466="",IF(AND(Q466="",V466=""),"Belum ditempatkan",""),IF(O466="","CEK ID FIXTURE tidak ada di DAFTAR_FIXTURE",IF(M466="","CEK ZONA NO kosong",IF(ISNA(MATCH(O466&amp;"|"&amp;M466,LAYOUT!$E$2:$E$80,0)),"CEK ZONA NO di luar layout",IF(N466&lt;&gt;INDEX(LAYOUT!$D$2:$D$80,MATCH(O466&amp;"|"&amp;M466,LAYOUT!$E$2:$E$80,0)),"CEK JENIS ZONA",IF($D466="","Zona STOCK",IF($E466="","CEK SKU DESCRIPTION kosong","OK"))))))))</f>
        <v/>
      </c>
      <c r="Q466" s="11" t="n"/>
      <c r="R466" s="11" t="n"/>
      <c r="S466" s="11" t="n"/>
      <c r="T466" s="12">
        <f>IF(Q466="","",IFERROR(INDEX(DAFTAR_FIXTURE!$B$2:$B$51,MATCH(Q466,DAFTAR_FIXTURE!$A$2:$A$51,0)),""))</f>
        <v/>
      </c>
      <c r="U466" s="12">
        <f>IF(Q466="","",IF(T466="","CEK ID FIXTURE tidak ada di DAFTAR_FIXTURE",IF(R466="","CEK ZONA NO kosong",IF(ISNA(MATCH(T466&amp;"|"&amp;R466,LAYOUT!$E$2:$E$80,0)),"CEK ZONA NO di luar layout",IF(S466&lt;&gt;INDEX(LAYOUT!$D$2:$D$80,MATCH(T466&amp;"|"&amp;R466,LAYOUT!$E$2:$E$80,0)),"CEK JENIS ZONA",IF($D466="","Zona STOCK",IF($E466="","CEK SKU DESCRIPTION kosong","OK")))))))</f>
        <v/>
      </c>
      <c r="V466" s="11" t="n"/>
      <c r="W466" s="11" t="n"/>
      <c r="X466" s="11" t="n"/>
      <c r="Y466" s="12">
        <f>IF(V466="","",IFERROR(INDEX(DAFTAR_FIXTURE!$B$2:$B$51,MATCH(V466,DAFTAR_FIXTURE!$A$2:$A$51,0)),""))</f>
        <v/>
      </c>
      <c r="Z466" s="12">
        <f>IF(V466="","",IF(Y466="","CEK ID FIXTURE tidak ada di DAFTAR_FIXTURE",IF(W466="","CEK ZONA NO kosong",IF(ISNA(MATCH(Y466&amp;"|"&amp;W466,LAYOUT!$E$2:$E$80,0)),"CEK ZONA NO di luar layout",IF(X466&lt;&gt;INDEX(LAYOUT!$D$2:$D$80,MATCH(Y466&amp;"|"&amp;W466,LAYOUT!$E$2:$E$80,0)),"CEK JENIS ZONA",IF($D466="","Zona STOCK",IF($E466="","CEK SKU DESCRIPTION kosong","OK")))))))</f>
        <v/>
      </c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1" t="n"/>
      <c r="M467" s="11" t="n"/>
      <c r="N467" s="11" t="n"/>
      <c r="O467" s="12">
        <f>IF(L467="","",IFERROR(INDEX(DAFTAR_FIXTURE!$B$2:$B$51,MATCH(L467,DAFTAR_FIXTURE!$A$2:$A$51,0)),""))</f>
        <v/>
      </c>
      <c r="P467" s="12">
        <f>IF(AND($D467="",L467=""),"",IF(L467="",IF(AND(Q467="",V467=""),"Belum ditempatkan",""),IF(O467="","CEK ID FIXTURE tidak ada di DAFTAR_FIXTURE",IF(M467="","CEK ZONA NO kosong",IF(ISNA(MATCH(O467&amp;"|"&amp;M467,LAYOUT!$E$2:$E$80,0)),"CEK ZONA NO di luar layout",IF(N467&lt;&gt;INDEX(LAYOUT!$D$2:$D$80,MATCH(O467&amp;"|"&amp;M467,LAYOUT!$E$2:$E$80,0)),"CEK JENIS ZONA",IF($D467="","Zona STOCK",IF($E467="","CEK SKU DESCRIPTION kosong","OK"))))))))</f>
        <v/>
      </c>
      <c r="Q467" s="11" t="n"/>
      <c r="R467" s="11" t="n"/>
      <c r="S467" s="11" t="n"/>
      <c r="T467" s="12">
        <f>IF(Q467="","",IFERROR(INDEX(DAFTAR_FIXTURE!$B$2:$B$51,MATCH(Q467,DAFTAR_FIXTURE!$A$2:$A$51,0)),""))</f>
        <v/>
      </c>
      <c r="U467" s="12">
        <f>IF(Q467="","",IF(T467="","CEK ID FIXTURE tidak ada di DAFTAR_FIXTURE",IF(R467="","CEK ZONA NO kosong",IF(ISNA(MATCH(T467&amp;"|"&amp;R467,LAYOUT!$E$2:$E$80,0)),"CEK ZONA NO di luar layout",IF(S467&lt;&gt;INDEX(LAYOUT!$D$2:$D$80,MATCH(T467&amp;"|"&amp;R467,LAYOUT!$E$2:$E$80,0)),"CEK JENIS ZONA",IF($D467="","Zona STOCK",IF($E467="","CEK SKU DESCRIPTION kosong","OK")))))))</f>
        <v/>
      </c>
      <c r="V467" s="11" t="n"/>
      <c r="W467" s="11" t="n"/>
      <c r="X467" s="11" t="n"/>
      <c r="Y467" s="12">
        <f>IF(V467="","",IFERROR(INDEX(DAFTAR_FIXTURE!$B$2:$B$51,MATCH(V467,DAFTAR_FIXTURE!$A$2:$A$51,0)),""))</f>
        <v/>
      </c>
      <c r="Z467" s="12">
        <f>IF(V467="","",IF(Y467="","CEK ID FIXTURE tidak ada di DAFTAR_FIXTURE",IF(W467="","CEK ZONA NO kosong",IF(ISNA(MATCH(Y467&amp;"|"&amp;W467,LAYOUT!$E$2:$E$80,0)),"CEK ZONA NO di luar layout",IF(X467&lt;&gt;INDEX(LAYOUT!$D$2:$D$80,MATCH(Y467&amp;"|"&amp;W467,LAYOUT!$E$2:$E$80,0)),"CEK JENIS ZONA",IF($D467="","Zona STOCK",IF($E467="","CEK SKU DESCRIPTION kosong","OK")))))))</f>
        <v/>
      </c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1" t="n"/>
      <c r="M468" s="11" t="n"/>
      <c r="N468" s="11" t="n"/>
      <c r="O468" s="12">
        <f>IF(L468="","",IFERROR(INDEX(DAFTAR_FIXTURE!$B$2:$B$51,MATCH(L468,DAFTAR_FIXTURE!$A$2:$A$51,0)),""))</f>
        <v/>
      </c>
      <c r="P468" s="12">
        <f>IF(AND($D468="",L468=""),"",IF(L468="",IF(AND(Q468="",V468=""),"Belum ditempatkan",""),IF(O468="","CEK ID FIXTURE tidak ada di DAFTAR_FIXTURE",IF(M468="","CEK ZONA NO kosong",IF(ISNA(MATCH(O468&amp;"|"&amp;M468,LAYOUT!$E$2:$E$80,0)),"CEK ZONA NO di luar layout",IF(N468&lt;&gt;INDEX(LAYOUT!$D$2:$D$80,MATCH(O468&amp;"|"&amp;M468,LAYOUT!$E$2:$E$80,0)),"CEK JENIS ZONA",IF($D468="","Zona STOCK",IF($E468="","CEK SKU DESCRIPTION kosong","OK"))))))))</f>
        <v/>
      </c>
      <c r="Q468" s="11" t="n"/>
      <c r="R468" s="11" t="n"/>
      <c r="S468" s="11" t="n"/>
      <c r="T468" s="12">
        <f>IF(Q468="","",IFERROR(INDEX(DAFTAR_FIXTURE!$B$2:$B$51,MATCH(Q468,DAFTAR_FIXTURE!$A$2:$A$51,0)),""))</f>
        <v/>
      </c>
      <c r="U468" s="12">
        <f>IF(Q468="","",IF(T468="","CEK ID FIXTURE tidak ada di DAFTAR_FIXTURE",IF(R468="","CEK ZONA NO kosong",IF(ISNA(MATCH(T468&amp;"|"&amp;R468,LAYOUT!$E$2:$E$80,0)),"CEK ZONA NO di luar layout",IF(S468&lt;&gt;INDEX(LAYOUT!$D$2:$D$80,MATCH(T468&amp;"|"&amp;R468,LAYOUT!$E$2:$E$80,0)),"CEK JENIS ZONA",IF($D468="","Zona STOCK",IF($E468="","CEK SKU DESCRIPTION kosong","OK")))))))</f>
        <v/>
      </c>
      <c r="V468" s="11" t="n"/>
      <c r="W468" s="11" t="n"/>
      <c r="X468" s="11" t="n"/>
      <c r="Y468" s="12">
        <f>IF(V468="","",IFERROR(INDEX(DAFTAR_FIXTURE!$B$2:$B$51,MATCH(V468,DAFTAR_FIXTURE!$A$2:$A$51,0)),""))</f>
        <v/>
      </c>
      <c r="Z468" s="12">
        <f>IF(V468="","",IF(Y468="","CEK ID FIXTURE tidak ada di DAFTAR_FIXTURE",IF(W468="","CEK ZONA NO kosong",IF(ISNA(MATCH(Y468&amp;"|"&amp;W468,LAYOUT!$E$2:$E$80,0)),"CEK ZONA NO di luar layout",IF(X468&lt;&gt;INDEX(LAYOUT!$D$2:$D$80,MATCH(Y468&amp;"|"&amp;W468,LAYOUT!$E$2:$E$80,0)),"CEK JENIS ZONA",IF($D468="","Zona STOCK",IF($E468="","CEK SKU DESCRIPTION kosong","OK")))))))</f>
        <v/>
      </c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1" t="n"/>
      <c r="M469" s="11" t="n"/>
      <c r="N469" s="11" t="n"/>
      <c r="O469" s="12">
        <f>IF(L469="","",IFERROR(INDEX(DAFTAR_FIXTURE!$B$2:$B$51,MATCH(L469,DAFTAR_FIXTURE!$A$2:$A$51,0)),""))</f>
        <v/>
      </c>
      <c r="P469" s="12">
        <f>IF(AND($D469="",L469=""),"",IF(L469="",IF(AND(Q469="",V469=""),"Belum ditempatkan",""),IF(O469="","CEK ID FIXTURE tidak ada di DAFTAR_FIXTURE",IF(M469="","CEK ZONA NO kosong",IF(ISNA(MATCH(O469&amp;"|"&amp;M469,LAYOUT!$E$2:$E$80,0)),"CEK ZONA NO di luar layout",IF(N469&lt;&gt;INDEX(LAYOUT!$D$2:$D$80,MATCH(O469&amp;"|"&amp;M469,LAYOUT!$E$2:$E$80,0)),"CEK JENIS ZONA",IF($D469="","Zona STOCK",IF($E469="","CEK SKU DESCRIPTION kosong","OK"))))))))</f>
        <v/>
      </c>
      <c r="Q469" s="11" t="n"/>
      <c r="R469" s="11" t="n"/>
      <c r="S469" s="11" t="n"/>
      <c r="T469" s="12">
        <f>IF(Q469="","",IFERROR(INDEX(DAFTAR_FIXTURE!$B$2:$B$51,MATCH(Q469,DAFTAR_FIXTURE!$A$2:$A$51,0)),""))</f>
        <v/>
      </c>
      <c r="U469" s="12">
        <f>IF(Q469="","",IF(T469="","CEK ID FIXTURE tidak ada di DAFTAR_FIXTURE",IF(R469="","CEK ZONA NO kosong",IF(ISNA(MATCH(T469&amp;"|"&amp;R469,LAYOUT!$E$2:$E$80,0)),"CEK ZONA NO di luar layout",IF(S469&lt;&gt;INDEX(LAYOUT!$D$2:$D$80,MATCH(T469&amp;"|"&amp;R469,LAYOUT!$E$2:$E$80,0)),"CEK JENIS ZONA",IF($D469="","Zona STOCK",IF($E469="","CEK SKU DESCRIPTION kosong","OK")))))))</f>
        <v/>
      </c>
      <c r="V469" s="11" t="n"/>
      <c r="W469" s="11" t="n"/>
      <c r="X469" s="11" t="n"/>
      <c r="Y469" s="12">
        <f>IF(V469="","",IFERROR(INDEX(DAFTAR_FIXTURE!$B$2:$B$51,MATCH(V469,DAFTAR_FIXTURE!$A$2:$A$51,0)),""))</f>
        <v/>
      </c>
      <c r="Z469" s="12">
        <f>IF(V469="","",IF(Y469="","CEK ID FIXTURE tidak ada di DAFTAR_FIXTURE",IF(W469="","CEK ZONA NO kosong",IF(ISNA(MATCH(Y469&amp;"|"&amp;W469,LAYOUT!$E$2:$E$80,0)),"CEK ZONA NO di luar layout",IF(X469&lt;&gt;INDEX(LAYOUT!$D$2:$D$80,MATCH(Y469&amp;"|"&amp;W469,LAYOUT!$E$2:$E$80,0)),"CEK JENIS ZONA",IF($D469="","Zona STOCK",IF($E469="","CEK SKU DESCRIPTION kosong","OK")))))))</f>
        <v/>
      </c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1" t="n"/>
      <c r="M470" s="11" t="n"/>
      <c r="N470" s="11" t="n"/>
      <c r="O470" s="12">
        <f>IF(L470="","",IFERROR(INDEX(DAFTAR_FIXTURE!$B$2:$B$51,MATCH(L470,DAFTAR_FIXTURE!$A$2:$A$51,0)),""))</f>
        <v/>
      </c>
      <c r="P470" s="12">
        <f>IF(AND($D470="",L470=""),"",IF(L470="",IF(AND(Q470="",V470=""),"Belum ditempatkan",""),IF(O470="","CEK ID FIXTURE tidak ada di DAFTAR_FIXTURE",IF(M470="","CEK ZONA NO kosong",IF(ISNA(MATCH(O470&amp;"|"&amp;M470,LAYOUT!$E$2:$E$80,0)),"CEK ZONA NO di luar layout",IF(N470&lt;&gt;INDEX(LAYOUT!$D$2:$D$80,MATCH(O470&amp;"|"&amp;M470,LAYOUT!$E$2:$E$80,0)),"CEK JENIS ZONA",IF($D470="","Zona STOCK",IF($E470="","CEK SKU DESCRIPTION kosong","OK"))))))))</f>
        <v/>
      </c>
      <c r="Q470" s="11" t="n"/>
      <c r="R470" s="11" t="n"/>
      <c r="S470" s="11" t="n"/>
      <c r="T470" s="12">
        <f>IF(Q470="","",IFERROR(INDEX(DAFTAR_FIXTURE!$B$2:$B$51,MATCH(Q470,DAFTAR_FIXTURE!$A$2:$A$51,0)),""))</f>
        <v/>
      </c>
      <c r="U470" s="12">
        <f>IF(Q470="","",IF(T470="","CEK ID FIXTURE tidak ada di DAFTAR_FIXTURE",IF(R470="","CEK ZONA NO kosong",IF(ISNA(MATCH(T470&amp;"|"&amp;R470,LAYOUT!$E$2:$E$80,0)),"CEK ZONA NO di luar layout",IF(S470&lt;&gt;INDEX(LAYOUT!$D$2:$D$80,MATCH(T470&amp;"|"&amp;R470,LAYOUT!$E$2:$E$80,0)),"CEK JENIS ZONA",IF($D470="","Zona STOCK",IF($E470="","CEK SKU DESCRIPTION kosong","OK")))))))</f>
        <v/>
      </c>
      <c r="V470" s="11" t="n"/>
      <c r="W470" s="11" t="n"/>
      <c r="X470" s="11" t="n"/>
      <c r="Y470" s="12">
        <f>IF(V470="","",IFERROR(INDEX(DAFTAR_FIXTURE!$B$2:$B$51,MATCH(V470,DAFTAR_FIXTURE!$A$2:$A$51,0)),""))</f>
        <v/>
      </c>
      <c r="Z470" s="12">
        <f>IF(V470="","",IF(Y470="","CEK ID FIXTURE tidak ada di DAFTAR_FIXTURE",IF(W470="","CEK ZONA NO kosong",IF(ISNA(MATCH(Y470&amp;"|"&amp;W470,LAYOUT!$E$2:$E$80,0)),"CEK ZONA NO di luar layout",IF(X470&lt;&gt;INDEX(LAYOUT!$D$2:$D$80,MATCH(Y470&amp;"|"&amp;W470,LAYOUT!$E$2:$E$80,0)),"CEK JENIS ZONA",IF($D470="","Zona STOCK",IF($E470="","CEK SKU DESCRIPTION kosong","OK")))))))</f>
        <v/>
      </c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1" t="n"/>
      <c r="M471" s="11" t="n"/>
      <c r="N471" s="11" t="n"/>
      <c r="O471" s="12">
        <f>IF(L471="","",IFERROR(INDEX(DAFTAR_FIXTURE!$B$2:$B$51,MATCH(L471,DAFTAR_FIXTURE!$A$2:$A$51,0)),""))</f>
        <v/>
      </c>
      <c r="P471" s="12">
        <f>IF(AND($D471="",L471=""),"",IF(L471="",IF(AND(Q471="",V471=""),"Belum ditempatkan",""),IF(O471="","CEK ID FIXTURE tidak ada di DAFTAR_FIXTURE",IF(M471="","CEK ZONA NO kosong",IF(ISNA(MATCH(O471&amp;"|"&amp;M471,LAYOUT!$E$2:$E$80,0)),"CEK ZONA NO di luar layout",IF(N471&lt;&gt;INDEX(LAYOUT!$D$2:$D$80,MATCH(O471&amp;"|"&amp;M471,LAYOUT!$E$2:$E$80,0)),"CEK JENIS ZONA",IF($D471="","Zona STOCK",IF($E471="","CEK SKU DESCRIPTION kosong","OK"))))))))</f>
        <v/>
      </c>
      <c r="Q471" s="11" t="n"/>
      <c r="R471" s="11" t="n"/>
      <c r="S471" s="11" t="n"/>
      <c r="T471" s="12">
        <f>IF(Q471="","",IFERROR(INDEX(DAFTAR_FIXTURE!$B$2:$B$51,MATCH(Q471,DAFTAR_FIXTURE!$A$2:$A$51,0)),""))</f>
        <v/>
      </c>
      <c r="U471" s="12">
        <f>IF(Q471="","",IF(T471="","CEK ID FIXTURE tidak ada di DAFTAR_FIXTURE",IF(R471="","CEK ZONA NO kosong",IF(ISNA(MATCH(T471&amp;"|"&amp;R471,LAYOUT!$E$2:$E$80,0)),"CEK ZONA NO di luar layout",IF(S471&lt;&gt;INDEX(LAYOUT!$D$2:$D$80,MATCH(T471&amp;"|"&amp;R471,LAYOUT!$E$2:$E$80,0)),"CEK JENIS ZONA",IF($D471="","Zona STOCK",IF($E471="","CEK SKU DESCRIPTION kosong","OK")))))))</f>
        <v/>
      </c>
      <c r="V471" s="11" t="n"/>
      <c r="W471" s="11" t="n"/>
      <c r="X471" s="11" t="n"/>
      <c r="Y471" s="12">
        <f>IF(V471="","",IFERROR(INDEX(DAFTAR_FIXTURE!$B$2:$B$51,MATCH(V471,DAFTAR_FIXTURE!$A$2:$A$51,0)),""))</f>
        <v/>
      </c>
      <c r="Z471" s="12">
        <f>IF(V471="","",IF(Y471="","CEK ID FIXTURE tidak ada di DAFTAR_FIXTURE",IF(W471="","CEK ZONA NO kosong",IF(ISNA(MATCH(Y471&amp;"|"&amp;W471,LAYOUT!$E$2:$E$80,0)),"CEK ZONA NO di luar layout",IF(X471&lt;&gt;INDEX(LAYOUT!$D$2:$D$80,MATCH(Y471&amp;"|"&amp;W471,LAYOUT!$E$2:$E$80,0)),"CEK JENIS ZONA",IF($D471="","Zona STOCK",IF($E471="","CEK SKU DESCRIPTION kosong","OK")))))))</f>
        <v/>
      </c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1" t="n"/>
      <c r="M472" s="11" t="n"/>
      <c r="N472" s="11" t="n"/>
      <c r="O472" s="12">
        <f>IF(L472="","",IFERROR(INDEX(DAFTAR_FIXTURE!$B$2:$B$51,MATCH(L472,DAFTAR_FIXTURE!$A$2:$A$51,0)),""))</f>
        <v/>
      </c>
      <c r="P472" s="12">
        <f>IF(AND($D472="",L472=""),"",IF(L472="",IF(AND(Q472="",V472=""),"Belum ditempatkan",""),IF(O472="","CEK ID FIXTURE tidak ada di DAFTAR_FIXTURE",IF(M472="","CEK ZONA NO kosong",IF(ISNA(MATCH(O472&amp;"|"&amp;M472,LAYOUT!$E$2:$E$80,0)),"CEK ZONA NO di luar layout",IF(N472&lt;&gt;INDEX(LAYOUT!$D$2:$D$80,MATCH(O472&amp;"|"&amp;M472,LAYOUT!$E$2:$E$80,0)),"CEK JENIS ZONA",IF($D472="","Zona STOCK",IF($E472="","CEK SKU DESCRIPTION kosong","OK"))))))))</f>
        <v/>
      </c>
      <c r="Q472" s="11" t="n"/>
      <c r="R472" s="11" t="n"/>
      <c r="S472" s="11" t="n"/>
      <c r="T472" s="12">
        <f>IF(Q472="","",IFERROR(INDEX(DAFTAR_FIXTURE!$B$2:$B$51,MATCH(Q472,DAFTAR_FIXTURE!$A$2:$A$51,0)),""))</f>
        <v/>
      </c>
      <c r="U472" s="12">
        <f>IF(Q472="","",IF(T472="","CEK ID FIXTURE tidak ada di DAFTAR_FIXTURE",IF(R472="","CEK ZONA NO kosong",IF(ISNA(MATCH(T472&amp;"|"&amp;R472,LAYOUT!$E$2:$E$80,0)),"CEK ZONA NO di luar layout",IF(S472&lt;&gt;INDEX(LAYOUT!$D$2:$D$80,MATCH(T472&amp;"|"&amp;R472,LAYOUT!$E$2:$E$80,0)),"CEK JENIS ZONA",IF($D472="","Zona STOCK",IF($E472="","CEK SKU DESCRIPTION kosong","OK")))))))</f>
        <v/>
      </c>
      <c r="V472" s="11" t="n"/>
      <c r="W472" s="11" t="n"/>
      <c r="X472" s="11" t="n"/>
      <c r="Y472" s="12">
        <f>IF(V472="","",IFERROR(INDEX(DAFTAR_FIXTURE!$B$2:$B$51,MATCH(V472,DAFTAR_FIXTURE!$A$2:$A$51,0)),""))</f>
        <v/>
      </c>
      <c r="Z472" s="12">
        <f>IF(V472="","",IF(Y472="","CEK ID FIXTURE tidak ada di DAFTAR_FIXTURE",IF(W472="","CEK ZONA NO kosong",IF(ISNA(MATCH(Y472&amp;"|"&amp;W472,LAYOUT!$E$2:$E$80,0)),"CEK ZONA NO di luar layout",IF(X472&lt;&gt;INDEX(LAYOUT!$D$2:$D$80,MATCH(Y472&amp;"|"&amp;W472,LAYOUT!$E$2:$E$80,0)),"CEK JENIS ZONA",IF($D472="","Zona STOCK",IF($E472="","CEK SKU DESCRIPTION kosong","OK")))))))</f>
        <v/>
      </c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1" t="n"/>
      <c r="M473" s="11" t="n"/>
      <c r="N473" s="11" t="n"/>
      <c r="O473" s="12">
        <f>IF(L473="","",IFERROR(INDEX(DAFTAR_FIXTURE!$B$2:$B$51,MATCH(L473,DAFTAR_FIXTURE!$A$2:$A$51,0)),""))</f>
        <v/>
      </c>
      <c r="P473" s="12">
        <f>IF(AND($D473="",L473=""),"",IF(L473="",IF(AND(Q473="",V473=""),"Belum ditempatkan",""),IF(O473="","CEK ID FIXTURE tidak ada di DAFTAR_FIXTURE",IF(M473="","CEK ZONA NO kosong",IF(ISNA(MATCH(O473&amp;"|"&amp;M473,LAYOUT!$E$2:$E$80,0)),"CEK ZONA NO di luar layout",IF(N473&lt;&gt;INDEX(LAYOUT!$D$2:$D$80,MATCH(O473&amp;"|"&amp;M473,LAYOUT!$E$2:$E$80,0)),"CEK JENIS ZONA",IF($D473="","Zona STOCK",IF($E473="","CEK SKU DESCRIPTION kosong","OK"))))))))</f>
        <v/>
      </c>
      <c r="Q473" s="11" t="n"/>
      <c r="R473" s="11" t="n"/>
      <c r="S473" s="11" t="n"/>
      <c r="T473" s="12">
        <f>IF(Q473="","",IFERROR(INDEX(DAFTAR_FIXTURE!$B$2:$B$51,MATCH(Q473,DAFTAR_FIXTURE!$A$2:$A$51,0)),""))</f>
        <v/>
      </c>
      <c r="U473" s="12">
        <f>IF(Q473="","",IF(T473="","CEK ID FIXTURE tidak ada di DAFTAR_FIXTURE",IF(R473="","CEK ZONA NO kosong",IF(ISNA(MATCH(T473&amp;"|"&amp;R473,LAYOUT!$E$2:$E$80,0)),"CEK ZONA NO di luar layout",IF(S473&lt;&gt;INDEX(LAYOUT!$D$2:$D$80,MATCH(T473&amp;"|"&amp;R473,LAYOUT!$E$2:$E$80,0)),"CEK JENIS ZONA",IF($D473="","Zona STOCK",IF($E473="","CEK SKU DESCRIPTION kosong","OK")))))))</f>
        <v/>
      </c>
      <c r="V473" s="11" t="n"/>
      <c r="W473" s="11" t="n"/>
      <c r="X473" s="11" t="n"/>
      <c r="Y473" s="12">
        <f>IF(V473="","",IFERROR(INDEX(DAFTAR_FIXTURE!$B$2:$B$51,MATCH(V473,DAFTAR_FIXTURE!$A$2:$A$51,0)),""))</f>
        <v/>
      </c>
      <c r="Z473" s="12">
        <f>IF(V473="","",IF(Y473="","CEK ID FIXTURE tidak ada di DAFTAR_FIXTURE",IF(W473="","CEK ZONA NO kosong",IF(ISNA(MATCH(Y473&amp;"|"&amp;W473,LAYOUT!$E$2:$E$80,0)),"CEK ZONA NO di luar layout",IF(X473&lt;&gt;INDEX(LAYOUT!$D$2:$D$80,MATCH(Y473&amp;"|"&amp;W473,LAYOUT!$E$2:$E$80,0)),"CEK JENIS ZONA",IF($D473="","Zona STOCK",IF($E473="","CEK SKU DESCRIPTION kosong","OK")))))))</f>
        <v/>
      </c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1" t="n"/>
      <c r="M474" s="11" t="n"/>
      <c r="N474" s="11" t="n"/>
      <c r="O474" s="12">
        <f>IF(L474="","",IFERROR(INDEX(DAFTAR_FIXTURE!$B$2:$B$51,MATCH(L474,DAFTAR_FIXTURE!$A$2:$A$51,0)),""))</f>
        <v/>
      </c>
      <c r="P474" s="12">
        <f>IF(AND($D474="",L474=""),"",IF(L474="",IF(AND(Q474="",V474=""),"Belum ditempatkan",""),IF(O474="","CEK ID FIXTURE tidak ada di DAFTAR_FIXTURE",IF(M474="","CEK ZONA NO kosong",IF(ISNA(MATCH(O474&amp;"|"&amp;M474,LAYOUT!$E$2:$E$80,0)),"CEK ZONA NO di luar layout",IF(N474&lt;&gt;INDEX(LAYOUT!$D$2:$D$80,MATCH(O474&amp;"|"&amp;M474,LAYOUT!$E$2:$E$80,0)),"CEK JENIS ZONA",IF($D474="","Zona STOCK",IF($E474="","CEK SKU DESCRIPTION kosong","OK"))))))))</f>
        <v/>
      </c>
      <c r="Q474" s="11" t="n"/>
      <c r="R474" s="11" t="n"/>
      <c r="S474" s="11" t="n"/>
      <c r="T474" s="12">
        <f>IF(Q474="","",IFERROR(INDEX(DAFTAR_FIXTURE!$B$2:$B$51,MATCH(Q474,DAFTAR_FIXTURE!$A$2:$A$51,0)),""))</f>
        <v/>
      </c>
      <c r="U474" s="12">
        <f>IF(Q474="","",IF(T474="","CEK ID FIXTURE tidak ada di DAFTAR_FIXTURE",IF(R474="","CEK ZONA NO kosong",IF(ISNA(MATCH(T474&amp;"|"&amp;R474,LAYOUT!$E$2:$E$80,0)),"CEK ZONA NO di luar layout",IF(S474&lt;&gt;INDEX(LAYOUT!$D$2:$D$80,MATCH(T474&amp;"|"&amp;R474,LAYOUT!$E$2:$E$80,0)),"CEK JENIS ZONA",IF($D474="","Zona STOCK",IF($E474="","CEK SKU DESCRIPTION kosong","OK")))))))</f>
        <v/>
      </c>
      <c r="V474" s="11" t="n"/>
      <c r="W474" s="11" t="n"/>
      <c r="X474" s="11" t="n"/>
      <c r="Y474" s="12">
        <f>IF(V474="","",IFERROR(INDEX(DAFTAR_FIXTURE!$B$2:$B$51,MATCH(V474,DAFTAR_FIXTURE!$A$2:$A$51,0)),""))</f>
        <v/>
      </c>
      <c r="Z474" s="12">
        <f>IF(V474="","",IF(Y474="","CEK ID FIXTURE tidak ada di DAFTAR_FIXTURE",IF(W474="","CEK ZONA NO kosong",IF(ISNA(MATCH(Y474&amp;"|"&amp;W474,LAYOUT!$E$2:$E$80,0)),"CEK ZONA NO di luar layout",IF(X474&lt;&gt;INDEX(LAYOUT!$D$2:$D$80,MATCH(Y474&amp;"|"&amp;W474,LAYOUT!$E$2:$E$80,0)),"CEK JENIS ZONA",IF($D474="","Zona STOCK",IF($E474="","CEK SKU DESCRIPTION kosong","OK")))))))</f>
        <v/>
      </c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1" t="n"/>
      <c r="M475" s="11" t="n"/>
      <c r="N475" s="11" t="n"/>
      <c r="O475" s="12">
        <f>IF(L475="","",IFERROR(INDEX(DAFTAR_FIXTURE!$B$2:$B$51,MATCH(L475,DAFTAR_FIXTURE!$A$2:$A$51,0)),""))</f>
        <v/>
      </c>
      <c r="P475" s="12">
        <f>IF(AND($D475="",L475=""),"",IF(L475="",IF(AND(Q475="",V475=""),"Belum ditempatkan",""),IF(O475="","CEK ID FIXTURE tidak ada di DAFTAR_FIXTURE",IF(M475="","CEK ZONA NO kosong",IF(ISNA(MATCH(O475&amp;"|"&amp;M475,LAYOUT!$E$2:$E$80,0)),"CEK ZONA NO di luar layout",IF(N475&lt;&gt;INDEX(LAYOUT!$D$2:$D$80,MATCH(O475&amp;"|"&amp;M475,LAYOUT!$E$2:$E$80,0)),"CEK JENIS ZONA",IF($D475="","Zona STOCK",IF($E475="","CEK SKU DESCRIPTION kosong","OK"))))))))</f>
        <v/>
      </c>
      <c r="Q475" s="11" t="n"/>
      <c r="R475" s="11" t="n"/>
      <c r="S475" s="11" t="n"/>
      <c r="T475" s="12">
        <f>IF(Q475="","",IFERROR(INDEX(DAFTAR_FIXTURE!$B$2:$B$51,MATCH(Q475,DAFTAR_FIXTURE!$A$2:$A$51,0)),""))</f>
        <v/>
      </c>
      <c r="U475" s="12">
        <f>IF(Q475="","",IF(T475="","CEK ID FIXTURE tidak ada di DAFTAR_FIXTURE",IF(R475="","CEK ZONA NO kosong",IF(ISNA(MATCH(T475&amp;"|"&amp;R475,LAYOUT!$E$2:$E$80,0)),"CEK ZONA NO di luar layout",IF(S475&lt;&gt;INDEX(LAYOUT!$D$2:$D$80,MATCH(T475&amp;"|"&amp;R475,LAYOUT!$E$2:$E$80,0)),"CEK JENIS ZONA",IF($D475="","Zona STOCK",IF($E475="","CEK SKU DESCRIPTION kosong","OK")))))))</f>
        <v/>
      </c>
      <c r="V475" s="11" t="n"/>
      <c r="W475" s="11" t="n"/>
      <c r="X475" s="11" t="n"/>
      <c r="Y475" s="12">
        <f>IF(V475="","",IFERROR(INDEX(DAFTAR_FIXTURE!$B$2:$B$51,MATCH(V475,DAFTAR_FIXTURE!$A$2:$A$51,0)),""))</f>
        <v/>
      </c>
      <c r="Z475" s="12">
        <f>IF(V475="","",IF(Y475="","CEK ID FIXTURE tidak ada di DAFTAR_FIXTURE",IF(W475="","CEK ZONA NO kosong",IF(ISNA(MATCH(Y475&amp;"|"&amp;W475,LAYOUT!$E$2:$E$80,0)),"CEK ZONA NO di luar layout",IF(X475&lt;&gt;INDEX(LAYOUT!$D$2:$D$80,MATCH(Y475&amp;"|"&amp;W475,LAYOUT!$E$2:$E$80,0)),"CEK JENIS ZONA",IF($D475="","Zona STOCK",IF($E475="","CEK SKU DESCRIPTION kosong","OK")))))))</f>
        <v/>
      </c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1" t="n"/>
      <c r="M476" s="11" t="n"/>
      <c r="N476" s="11" t="n"/>
      <c r="O476" s="12">
        <f>IF(L476="","",IFERROR(INDEX(DAFTAR_FIXTURE!$B$2:$B$51,MATCH(L476,DAFTAR_FIXTURE!$A$2:$A$51,0)),""))</f>
        <v/>
      </c>
      <c r="P476" s="12">
        <f>IF(AND($D476="",L476=""),"",IF(L476="",IF(AND(Q476="",V476=""),"Belum ditempatkan",""),IF(O476="","CEK ID FIXTURE tidak ada di DAFTAR_FIXTURE",IF(M476="","CEK ZONA NO kosong",IF(ISNA(MATCH(O476&amp;"|"&amp;M476,LAYOUT!$E$2:$E$80,0)),"CEK ZONA NO di luar layout",IF(N476&lt;&gt;INDEX(LAYOUT!$D$2:$D$80,MATCH(O476&amp;"|"&amp;M476,LAYOUT!$E$2:$E$80,0)),"CEK JENIS ZONA",IF($D476="","Zona STOCK",IF($E476="","CEK SKU DESCRIPTION kosong","OK"))))))))</f>
        <v/>
      </c>
      <c r="Q476" s="11" t="n"/>
      <c r="R476" s="11" t="n"/>
      <c r="S476" s="11" t="n"/>
      <c r="T476" s="12">
        <f>IF(Q476="","",IFERROR(INDEX(DAFTAR_FIXTURE!$B$2:$B$51,MATCH(Q476,DAFTAR_FIXTURE!$A$2:$A$51,0)),""))</f>
        <v/>
      </c>
      <c r="U476" s="12">
        <f>IF(Q476="","",IF(T476="","CEK ID FIXTURE tidak ada di DAFTAR_FIXTURE",IF(R476="","CEK ZONA NO kosong",IF(ISNA(MATCH(T476&amp;"|"&amp;R476,LAYOUT!$E$2:$E$80,0)),"CEK ZONA NO di luar layout",IF(S476&lt;&gt;INDEX(LAYOUT!$D$2:$D$80,MATCH(T476&amp;"|"&amp;R476,LAYOUT!$E$2:$E$80,0)),"CEK JENIS ZONA",IF($D476="","Zona STOCK",IF($E476="","CEK SKU DESCRIPTION kosong","OK")))))))</f>
        <v/>
      </c>
      <c r="V476" s="11" t="n"/>
      <c r="W476" s="11" t="n"/>
      <c r="X476" s="11" t="n"/>
      <c r="Y476" s="12">
        <f>IF(V476="","",IFERROR(INDEX(DAFTAR_FIXTURE!$B$2:$B$51,MATCH(V476,DAFTAR_FIXTURE!$A$2:$A$51,0)),""))</f>
        <v/>
      </c>
      <c r="Z476" s="12">
        <f>IF(V476="","",IF(Y476="","CEK ID FIXTURE tidak ada di DAFTAR_FIXTURE",IF(W476="","CEK ZONA NO kosong",IF(ISNA(MATCH(Y476&amp;"|"&amp;W476,LAYOUT!$E$2:$E$80,0)),"CEK ZONA NO di luar layout",IF(X476&lt;&gt;INDEX(LAYOUT!$D$2:$D$80,MATCH(Y476&amp;"|"&amp;W476,LAYOUT!$E$2:$E$80,0)),"CEK JENIS ZONA",IF($D476="","Zona STOCK",IF($E476="","CEK SKU DESCRIPTION kosong","OK")))))))</f>
        <v/>
      </c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1" t="n"/>
      <c r="M477" s="11" t="n"/>
      <c r="N477" s="11" t="n"/>
      <c r="O477" s="12">
        <f>IF(L477="","",IFERROR(INDEX(DAFTAR_FIXTURE!$B$2:$B$51,MATCH(L477,DAFTAR_FIXTURE!$A$2:$A$51,0)),""))</f>
        <v/>
      </c>
      <c r="P477" s="12">
        <f>IF(AND($D477="",L477=""),"",IF(L477="",IF(AND(Q477="",V477=""),"Belum ditempatkan",""),IF(O477="","CEK ID FIXTURE tidak ada di DAFTAR_FIXTURE",IF(M477="","CEK ZONA NO kosong",IF(ISNA(MATCH(O477&amp;"|"&amp;M477,LAYOUT!$E$2:$E$80,0)),"CEK ZONA NO di luar layout",IF(N477&lt;&gt;INDEX(LAYOUT!$D$2:$D$80,MATCH(O477&amp;"|"&amp;M477,LAYOUT!$E$2:$E$80,0)),"CEK JENIS ZONA",IF($D477="","Zona STOCK",IF($E477="","CEK SKU DESCRIPTION kosong","OK"))))))))</f>
        <v/>
      </c>
      <c r="Q477" s="11" t="n"/>
      <c r="R477" s="11" t="n"/>
      <c r="S477" s="11" t="n"/>
      <c r="T477" s="12">
        <f>IF(Q477="","",IFERROR(INDEX(DAFTAR_FIXTURE!$B$2:$B$51,MATCH(Q477,DAFTAR_FIXTURE!$A$2:$A$51,0)),""))</f>
        <v/>
      </c>
      <c r="U477" s="12">
        <f>IF(Q477="","",IF(T477="","CEK ID FIXTURE tidak ada di DAFTAR_FIXTURE",IF(R477="","CEK ZONA NO kosong",IF(ISNA(MATCH(T477&amp;"|"&amp;R477,LAYOUT!$E$2:$E$80,0)),"CEK ZONA NO di luar layout",IF(S477&lt;&gt;INDEX(LAYOUT!$D$2:$D$80,MATCH(T477&amp;"|"&amp;R477,LAYOUT!$E$2:$E$80,0)),"CEK JENIS ZONA",IF($D477="","Zona STOCK",IF($E477="","CEK SKU DESCRIPTION kosong","OK")))))))</f>
        <v/>
      </c>
      <c r="V477" s="11" t="n"/>
      <c r="W477" s="11" t="n"/>
      <c r="X477" s="11" t="n"/>
      <c r="Y477" s="12">
        <f>IF(V477="","",IFERROR(INDEX(DAFTAR_FIXTURE!$B$2:$B$51,MATCH(V477,DAFTAR_FIXTURE!$A$2:$A$51,0)),""))</f>
        <v/>
      </c>
      <c r="Z477" s="12">
        <f>IF(V477="","",IF(Y477="","CEK ID FIXTURE tidak ada di DAFTAR_FIXTURE",IF(W477="","CEK ZONA NO kosong",IF(ISNA(MATCH(Y477&amp;"|"&amp;W477,LAYOUT!$E$2:$E$80,0)),"CEK ZONA NO di luar layout",IF(X477&lt;&gt;INDEX(LAYOUT!$D$2:$D$80,MATCH(Y477&amp;"|"&amp;W477,LAYOUT!$E$2:$E$80,0)),"CEK JENIS ZONA",IF($D477="","Zona STOCK",IF($E477="","CEK SKU DESCRIPTION kosong","OK")))))))</f>
        <v/>
      </c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1" t="n"/>
      <c r="M478" s="11" t="n"/>
      <c r="N478" s="11" t="n"/>
      <c r="O478" s="12">
        <f>IF(L478="","",IFERROR(INDEX(DAFTAR_FIXTURE!$B$2:$B$51,MATCH(L478,DAFTAR_FIXTURE!$A$2:$A$51,0)),""))</f>
        <v/>
      </c>
      <c r="P478" s="12">
        <f>IF(AND($D478="",L478=""),"",IF(L478="",IF(AND(Q478="",V478=""),"Belum ditempatkan",""),IF(O478="","CEK ID FIXTURE tidak ada di DAFTAR_FIXTURE",IF(M478="","CEK ZONA NO kosong",IF(ISNA(MATCH(O478&amp;"|"&amp;M478,LAYOUT!$E$2:$E$80,0)),"CEK ZONA NO di luar layout",IF(N478&lt;&gt;INDEX(LAYOUT!$D$2:$D$80,MATCH(O478&amp;"|"&amp;M478,LAYOUT!$E$2:$E$80,0)),"CEK JENIS ZONA",IF($D478="","Zona STOCK",IF($E478="","CEK SKU DESCRIPTION kosong","OK"))))))))</f>
        <v/>
      </c>
      <c r="Q478" s="11" t="n"/>
      <c r="R478" s="11" t="n"/>
      <c r="S478" s="11" t="n"/>
      <c r="T478" s="12">
        <f>IF(Q478="","",IFERROR(INDEX(DAFTAR_FIXTURE!$B$2:$B$51,MATCH(Q478,DAFTAR_FIXTURE!$A$2:$A$51,0)),""))</f>
        <v/>
      </c>
      <c r="U478" s="12">
        <f>IF(Q478="","",IF(T478="","CEK ID FIXTURE tidak ada di DAFTAR_FIXTURE",IF(R478="","CEK ZONA NO kosong",IF(ISNA(MATCH(T478&amp;"|"&amp;R478,LAYOUT!$E$2:$E$80,0)),"CEK ZONA NO di luar layout",IF(S478&lt;&gt;INDEX(LAYOUT!$D$2:$D$80,MATCH(T478&amp;"|"&amp;R478,LAYOUT!$E$2:$E$80,0)),"CEK JENIS ZONA",IF($D478="","Zona STOCK",IF($E478="","CEK SKU DESCRIPTION kosong","OK")))))))</f>
        <v/>
      </c>
      <c r="V478" s="11" t="n"/>
      <c r="W478" s="11" t="n"/>
      <c r="X478" s="11" t="n"/>
      <c r="Y478" s="12">
        <f>IF(V478="","",IFERROR(INDEX(DAFTAR_FIXTURE!$B$2:$B$51,MATCH(V478,DAFTAR_FIXTURE!$A$2:$A$51,0)),""))</f>
        <v/>
      </c>
      <c r="Z478" s="12">
        <f>IF(V478="","",IF(Y478="","CEK ID FIXTURE tidak ada di DAFTAR_FIXTURE",IF(W478="","CEK ZONA NO kosong",IF(ISNA(MATCH(Y478&amp;"|"&amp;W478,LAYOUT!$E$2:$E$80,0)),"CEK ZONA NO di luar layout",IF(X478&lt;&gt;INDEX(LAYOUT!$D$2:$D$80,MATCH(Y478&amp;"|"&amp;W478,LAYOUT!$E$2:$E$80,0)),"CEK JENIS ZONA",IF($D478="","Zona STOCK",IF($E478="","CEK SKU DESCRIPTION kosong","OK")))))))</f>
        <v/>
      </c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1" t="n"/>
      <c r="M479" s="11" t="n"/>
      <c r="N479" s="11" t="n"/>
      <c r="O479" s="12">
        <f>IF(L479="","",IFERROR(INDEX(DAFTAR_FIXTURE!$B$2:$B$51,MATCH(L479,DAFTAR_FIXTURE!$A$2:$A$51,0)),""))</f>
        <v/>
      </c>
      <c r="P479" s="12">
        <f>IF(AND($D479="",L479=""),"",IF(L479="",IF(AND(Q479="",V479=""),"Belum ditempatkan",""),IF(O479="","CEK ID FIXTURE tidak ada di DAFTAR_FIXTURE",IF(M479="","CEK ZONA NO kosong",IF(ISNA(MATCH(O479&amp;"|"&amp;M479,LAYOUT!$E$2:$E$80,0)),"CEK ZONA NO di luar layout",IF(N479&lt;&gt;INDEX(LAYOUT!$D$2:$D$80,MATCH(O479&amp;"|"&amp;M479,LAYOUT!$E$2:$E$80,0)),"CEK JENIS ZONA",IF($D479="","Zona STOCK",IF($E479="","CEK SKU DESCRIPTION kosong","OK"))))))))</f>
        <v/>
      </c>
      <c r="Q479" s="11" t="n"/>
      <c r="R479" s="11" t="n"/>
      <c r="S479" s="11" t="n"/>
      <c r="T479" s="12">
        <f>IF(Q479="","",IFERROR(INDEX(DAFTAR_FIXTURE!$B$2:$B$51,MATCH(Q479,DAFTAR_FIXTURE!$A$2:$A$51,0)),""))</f>
        <v/>
      </c>
      <c r="U479" s="12">
        <f>IF(Q479="","",IF(T479="","CEK ID FIXTURE tidak ada di DAFTAR_FIXTURE",IF(R479="","CEK ZONA NO kosong",IF(ISNA(MATCH(T479&amp;"|"&amp;R479,LAYOUT!$E$2:$E$80,0)),"CEK ZONA NO di luar layout",IF(S479&lt;&gt;INDEX(LAYOUT!$D$2:$D$80,MATCH(T479&amp;"|"&amp;R479,LAYOUT!$E$2:$E$80,0)),"CEK JENIS ZONA",IF($D479="","Zona STOCK",IF($E479="","CEK SKU DESCRIPTION kosong","OK")))))))</f>
        <v/>
      </c>
      <c r="V479" s="11" t="n"/>
      <c r="W479" s="11" t="n"/>
      <c r="X479" s="11" t="n"/>
      <c r="Y479" s="12">
        <f>IF(V479="","",IFERROR(INDEX(DAFTAR_FIXTURE!$B$2:$B$51,MATCH(V479,DAFTAR_FIXTURE!$A$2:$A$51,0)),""))</f>
        <v/>
      </c>
      <c r="Z479" s="12">
        <f>IF(V479="","",IF(Y479="","CEK ID FIXTURE tidak ada di DAFTAR_FIXTURE",IF(W479="","CEK ZONA NO kosong",IF(ISNA(MATCH(Y479&amp;"|"&amp;W479,LAYOUT!$E$2:$E$80,0)),"CEK ZONA NO di luar layout",IF(X479&lt;&gt;INDEX(LAYOUT!$D$2:$D$80,MATCH(Y479&amp;"|"&amp;W479,LAYOUT!$E$2:$E$80,0)),"CEK JENIS ZONA",IF($D479="","Zona STOCK",IF($E479="","CEK SKU DESCRIPTION kosong","OK")))))))</f>
        <v/>
      </c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1" t="n"/>
      <c r="M480" s="11" t="n"/>
      <c r="N480" s="11" t="n"/>
      <c r="O480" s="12">
        <f>IF(L480="","",IFERROR(INDEX(DAFTAR_FIXTURE!$B$2:$B$51,MATCH(L480,DAFTAR_FIXTURE!$A$2:$A$51,0)),""))</f>
        <v/>
      </c>
      <c r="P480" s="12">
        <f>IF(AND($D480="",L480=""),"",IF(L480="",IF(AND(Q480="",V480=""),"Belum ditempatkan",""),IF(O480="","CEK ID FIXTURE tidak ada di DAFTAR_FIXTURE",IF(M480="","CEK ZONA NO kosong",IF(ISNA(MATCH(O480&amp;"|"&amp;M480,LAYOUT!$E$2:$E$80,0)),"CEK ZONA NO di luar layout",IF(N480&lt;&gt;INDEX(LAYOUT!$D$2:$D$80,MATCH(O480&amp;"|"&amp;M480,LAYOUT!$E$2:$E$80,0)),"CEK JENIS ZONA",IF($D480="","Zona STOCK",IF($E480="","CEK SKU DESCRIPTION kosong","OK"))))))))</f>
        <v/>
      </c>
      <c r="Q480" s="11" t="n"/>
      <c r="R480" s="11" t="n"/>
      <c r="S480" s="11" t="n"/>
      <c r="T480" s="12">
        <f>IF(Q480="","",IFERROR(INDEX(DAFTAR_FIXTURE!$B$2:$B$51,MATCH(Q480,DAFTAR_FIXTURE!$A$2:$A$51,0)),""))</f>
        <v/>
      </c>
      <c r="U480" s="12">
        <f>IF(Q480="","",IF(T480="","CEK ID FIXTURE tidak ada di DAFTAR_FIXTURE",IF(R480="","CEK ZONA NO kosong",IF(ISNA(MATCH(T480&amp;"|"&amp;R480,LAYOUT!$E$2:$E$80,0)),"CEK ZONA NO di luar layout",IF(S480&lt;&gt;INDEX(LAYOUT!$D$2:$D$80,MATCH(T480&amp;"|"&amp;R480,LAYOUT!$E$2:$E$80,0)),"CEK JENIS ZONA",IF($D480="","Zona STOCK",IF($E480="","CEK SKU DESCRIPTION kosong","OK")))))))</f>
        <v/>
      </c>
      <c r="V480" s="11" t="n"/>
      <c r="W480" s="11" t="n"/>
      <c r="X480" s="11" t="n"/>
      <c r="Y480" s="12">
        <f>IF(V480="","",IFERROR(INDEX(DAFTAR_FIXTURE!$B$2:$B$51,MATCH(V480,DAFTAR_FIXTURE!$A$2:$A$51,0)),""))</f>
        <v/>
      </c>
      <c r="Z480" s="12">
        <f>IF(V480="","",IF(Y480="","CEK ID FIXTURE tidak ada di DAFTAR_FIXTURE",IF(W480="","CEK ZONA NO kosong",IF(ISNA(MATCH(Y480&amp;"|"&amp;W480,LAYOUT!$E$2:$E$80,0)),"CEK ZONA NO di luar layout",IF(X480&lt;&gt;INDEX(LAYOUT!$D$2:$D$80,MATCH(Y480&amp;"|"&amp;W480,LAYOUT!$E$2:$E$80,0)),"CEK JENIS ZONA",IF($D480="","Zona STOCK",IF($E480="","CEK SKU DESCRIPTION kosong","OK")))))))</f>
        <v/>
      </c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1" t="n"/>
      <c r="M481" s="11" t="n"/>
      <c r="N481" s="11" t="n"/>
      <c r="O481" s="12">
        <f>IF(L481="","",IFERROR(INDEX(DAFTAR_FIXTURE!$B$2:$B$51,MATCH(L481,DAFTAR_FIXTURE!$A$2:$A$51,0)),""))</f>
        <v/>
      </c>
      <c r="P481" s="12">
        <f>IF(AND($D481="",L481=""),"",IF(L481="",IF(AND(Q481="",V481=""),"Belum ditempatkan",""),IF(O481="","CEK ID FIXTURE tidak ada di DAFTAR_FIXTURE",IF(M481="","CEK ZONA NO kosong",IF(ISNA(MATCH(O481&amp;"|"&amp;M481,LAYOUT!$E$2:$E$80,0)),"CEK ZONA NO di luar layout",IF(N481&lt;&gt;INDEX(LAYOUT!$D$2:$D$80,MATCH(O481&amp;"|"&amp;M481,LAYOUT!$E$2:$E$80,0)),"CEK JENIS ZONA",IF($D481="","Zona STOCK",IF($E481="","CEK SKU DESCRIPTION kosong","OK"))))))))</f>
        <v/>
      </c>
      <c r="Q481" s="11" t="n"/>
      <c r="R481" s="11" t="n"/>
      <c r="S481" s="11" t="n"/>
      <c r="T481" s="12">
        <f>IF(Q481="","",IFERROR(INDEX(DAFTAR_FIXTURE!$B$2:$B$51,MATCH(Q481,DAFTAR_FIXTURE!$A$2:$A$51,0)),""))</f>
        <v/>
      </c>
      <c r="U481" s="12">
        <f>IF(Q481="","",IF(T481="","CEK ID FIXTURE tidak ada di DAFTAR_FIXTURE",IF(R481="","CEK ZONA NO kosong",IF(ISNA(MATCH(T481&amp;"|"&amp;R481,LAYOUT!$E$2:$E$80,0)),"CEK ZONA NO di luar layout",IF(S481&lt;&gt;INDEX(LAYOUT!$D$2:$D$80,MATCH(T481&amp;"|"&amp;R481,LAYOUT!$E$2:$E$80,0)),"CEK JENIS ZONA",IF($D481="","Zona STOCK",IF($E481="","CEK SKU DESCRIPTION kosong","OK")))))))</f>
        <v/>
      </c>
      <c r="V481" s="11" t="n"/>
      <c r="W481" s="11" t="n"/>
      <c r="X481" s="11" t="n"/>
      <c r="Y481" s="12">
        <f>IF(V481="","",IFERROR(INDEX(DAFTAR_FIXTURE!$B$2:$B$51,MATCH(V481,DAFTAR_FIXTURE!$A$2:$A$51,0)),""))</f>
        <v/>
      </c>
      <c r="Z481" s="12">
        <f>IF(V481="","",IF(Y481="","CEK ID FIXTURE tidak ada di DAFTAR_FIXTURE",IF(W481="","CEK ZONA NO kosong",IF(ISNA(MATCH(Y481&amp;"|"&amp;W481,LAYOUT!$E$2:$E$80,0)),"CEK ZONA NO di luar layout",IF(X481&lt;&gt;INDEX(LAYOUT!$D$2:$D$80,MATCH(Y481&amp;"|"&amp;W481,LAYOUT!$E$2:$E$80,0)),"CEK JENIS ZONA",IF($D481="","Zona STOCK",IF($E481="","CEK SKU DESCRIPTION kosong","OK")))))))</f>
        <v/>
      </c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1" t="n"/>
      <c r="M482" s="11" t="n"/>
      <c r="N482" s="11" t="n"/>
      <c r="O482" s="12">
        <f>IF(L482="","",IFERROR(INDEX(DAFTAR_FIXTURE!$B$2:$B$51,MATCH(L482,DAFTAR_FIXTURE!$A$2:$A$51,0)),""))</f>
        <v/>
      </c>
      <c r="P482" s="12">
        <f>IF(AND($D482="",L482=""),"",IF(L482="",IF(AND(Q482="",V482=""),"Belum ditempatkan",""),IF(O482="","CEK ID FIXTURE tidak ada di DAFTAR_FIXTURE",IF(M482="","CEK ZONA NO kosong",IF(ISNA(MATCH(O482&amp;"|"&amp;M482,LAYOUT!$E$2:$E$80,0)),"CEK ZONA NO di luar layout",IF(N482&lt;&gt;INDEX(LAYOUT!$D$2:$D$80,MATCH(O482&amp;"|"&amp;M482,LAYOUT!$E$2:$E$80,0)),"CEK JENIS ZONA",IF($D482="","Zona STOCK",IF($E482="","CEK SKU DESCRIPTION kosong","OK"))))))))</f>
        <v/>
      </c>
      <c r="Q482" s="11" t="n"/>
      <c r="R482" s="11" t="n"/>
      <c r="S482" s="11" t="n"/>
      <c r="T482" s="12">
        <f>IF(Q482="","",IFERROR(INDEX(DAFTAR_FIXTURE!$B$2:$B$51,MATCH(Q482,DAFTAR_FIXTURE!$A$2:$A$51,0)),""))</f>
        <v/>
      </c>
      <c r="U482" s="12">
        <f>IF(Q482="","",IF(T482="","CEK ID FIXTURE tidak ada di DAFTAR_FIXTURE",IF(R482="","CEK ZONA NO kosong",IF(ISNA(MATCH(T482&amp;"|"&amp;R482,LAYOUT!$E$2:$E$80,0)),"CEK ZONA NO di luar layout",IF(S482&lt;&gt;INDEX(LAYOUT!$D$2:$D$80,MATCH(T482&amp;"|"&amp;R482,LAYOUT!$E$2:$E$80,0)),"CEK JENIS ZONA",IF($D482="","Zona STOCK",IF($E482="","CEK SKU DESCRIPTION kosong","OK")))))))</f>
        <v/>
      </c>
      <c r="V482" s="11" t="n"/>
      <c r="W482" s="11" t="n"/>
      <c r="X482" s="11" t="n"/>
      <c r="Y482" s="12">
        <f>IF(V482="","",IFERROR(INDEX(DAFTAR_FIXTURE!$B$2:$B$51,MATCH(V482,DAFTAR_FIXTURE!$A$2:$A$51,0)),""))</f>
        <v/>
      </c>
      <c r="Z482" s="12">
        <f>IF(V482="","",IF(Y482="","CEK ID FIXTURE tidak ada di DAFTAR_FIXTURE",IF(W482="","CEK ZONA NO kosong",IF(ISNA(MATCH(Y482&amp;"|"&amp;W482,LAYOUT!$E$2:$E$80,0)),"CEK ZONA NO di luar layout",IF(X482&lt;&gt;INDEX(LAYOUT!$D$2:$D$80,MATCH(Y482&amp;"|"&amp;W482,LAYOUT!$E$2:$E$80,0)),"CEK JENIS ZONA",IF($D482="","Zona STOCK",IF($E482="","CEK SKU DESCRIPTION kosong","OK")))))))</f>
        <v/>
      </c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1" t="n"/>
      <c r="M483" s="11" t="n"/>
      <c r="N483" s="11" t="n"/>
      <c r="O483" s="12">
        <f>IF(L483="","",IFERROR(INDEX(DAFTAR_FIXTURE!$B$2:$B$51,MATCH(L483,DAFTAR_FIXTURE!$A$2:$A$51,0)),""))</f>
        <v/>
      </c>
      <c r="P483" s="12">
        <f>IF(AND($D483="",L483=""),"",IF(L483="",IF(AND(Q483="",V483=""),"Belum ditempatkan",""),IF(O483="","CEK ID FIXTURE tidak ada di DAFTAR_FIXTURE",IF(M483="","CEK ZONA NO kosong",IF(ISNA(MATCH(O483&amp;"|"&amp;M483,LAYOUT!$E$2:$E$80,0)),"CEK ZONA NO di luar layout",IF(N483&lt;&gt;INDEX(LAYOUT!$D$2:$D$80,MATCH(O483&amp;"|"&amp;M483,LAYOUT!$E$2:$E$80,0)),"CEK JENIS ZONA",IF($D483="","Zona STOCK",IF($E483="","CEK SKU DESCRIPTION kosong","OK"))))))))</f>
        <v/>
      </c>
      <c r="Q483" s="11" t="n"/>
      <c r="R483" s="11" t="n"/>
      <c r="S483" s="11" t="n"/>
      <c r="T483" s="12">
        <f>IF(Q483="","",IFERROR(INDEX(DAFTAR_FIXTURE!$B$2:$B$51,MATCH(Q483,DAFTAR_FIXTURE!$A$2:$A$51,0)),""))</f>
        <v/>
      </c>
      <c r="U483" s="12">
        <f>IF(Q483="","",IF(T483="","CEK ID FIXTURE tidak ada di DAFTAR_FIXTURE",IF(R483="","CEK ZONA NO kosong",IF(ISNA(MATCH(T483&amp;"|"&amp;R483,LAYOUT!$E$2:$E$80,0)),"CEK ZONA NO di luar layout",IF(S483&lt;&gt;INDEX(LAYOUT!$D$2:$D$80,MATCH(T483&amp;"|"&amp;R483,LAYOUT!$E$2:$E$80,0)),"CEK JENIS ZONA",IF($D483="","Zona STOCK",IF($E483="","CEK SKU DESCRIPTION kosong","OK")))))))</f>
        <v/>
      </c>
      <c r="V483" s="11" t="n"/>
      <c r="W483" s="11" t="n"/>
      <c r="X483" s="11" t="n"/>
      <c r="Y483" s="12">
        <f>IF(V483="","",IFERROR(INDEX(DAFTAR_FIXTURE!$B$2:$B$51,MATCH(V483,DAFTAR_FIXTURE!$A$2:$A$51,0)),""))</f>
        <v/>
      </c>
      <c r="Z483" s="12">
        <f>IF(V483="","",IF(Y483="","CEK ID FIXTURE tidak ada di DAFTAR_FIXTURE",IF(W483="","CEK ZONA NO kosong",IF(ISNA(MATCH(Y483&amp;"|"&amp;W483,LAYOUT!$E$2:$E$80,0)),"CEK ZONA NO di luar layout",IF(X483&lt;&gt;INDEX(LAYOUT!$D$2:$D$80,MATCH(Y483&amp;"|"&amp;W483,LAYOUT!$E$2:$E$80,0)),"CEK JENIS ZONA",IF($D483="","Zona STOCK",IF($E483="","CEK SKU DESCRIPTION kosong","OK")))))))</f>
        <v/>
      </c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1" t="n"/>
      <c r="M484" s="11" t="n"/>
      <c r="N484" s="11" t="n"/>
      <c r="O484" s="12">
        <f>IF(L484="","",IFERROR(INDEX(DAFTAR_FIXTURE!$B$2:$B$51,MATCH(L484,DAFTAR_FIXTURE!$A$2:$A$51,0)),""))</f>
        <v/>
      </c>
      <c r="P484" s="12">
        <f>IF(AND($D484="",L484=""),"",IF(L484="",IF(AND(Q484="",V484=""),"Belum ditempatkan",""),IF(O484="","CEK ID FIXTURE tidak ada di DAFTAR_FIXTURE",IF(M484="","CEK ZONA NO kosong",IF(ISNA(MATCH(O484&amp;"|"&amp;M484,LAYOUT!$E$2:$E$80,0)),"CEK ZONA NO di luar layout",IF(N484&lt;&gt;INDEX(LAYOUT!$D$2:$D$80,MATCH(O484&amp;"|"&amp;M484,LAYOUT!$E$2:$E$80,0)),"CEK JENIS ZONA",IF($D484="","Zona STOCK",IF($E484="","CEK SKU DESCRIPTION kosong","OK"))))))))</f>
        <v/>
      </c>
      <c r="Q484" s="11" t="n"/>
      <c r="R484" s="11" t="n"/>
      <c r="S484" s="11" t="n"/>
      <c r="T484" s="12">
        <f>IF(Q484="","",IFERROR(INDEX(DAFTAR_FIXTURE!$B$2:$B$51,MATCH(Q484,DAFTAR_FIXTURE!$A$2:$A$51,0)),""))</f>
        <v/>
      </c>
      <c r="U484" s="12">
        <f>IF(Q484="","",IF(T484="","CEK ID FIXTURE tidak ada di DAFTAR_FIXTURE",IF(R484="","CEK ZONA NO kosong",IF(ISNA(MATCH(T484&amp;"|"&amp;R484,LAYOUT!$E$2:$E$80,0)),"CEK ZONA NO di luar layout",IF(S484&lt;&gt;INDEX(LAYOUT!$D$2:$D$80,MATCH(T484&amp;"|"&amp;R484,LAYOUT!$E$2:$E$80,0)),"CEK JENIS ZONA",IF($D484="","Zona STOCK",IF($E484="","CEK SKU DESCRIPTION kosong","OK")))))))</f>
        <v/>
      </c>
      <c r="V484" s="11" t="n"/>
      <c r="W484" s="11" t="n"/>
      <c r="X484" s="11" t="n"/>
      <c r="Y484" s="12">
        <f>IF(V484="","",IFERROR(INDEX(DAFTAR_FIXTURE!$B$2:$B$51,MATCH(V484,DAFTAR_FIXTURE!$A$2:$A$51,0)),""))</f>
        <v/>
      </c>
      <c r="Z484" s="12">
        <f>IF(V484="","",IF(Y484="","CEK ID FIXTURE tidak ada di DAFTAR_FIXTURE",IF(W484="","CEK ZONA NO kosong",IF(ISNA(MATCH(Y484&amp;"|"&amp;W484,LAYOUT!$E$2:$E$80,0)),"CEK ZONA NO di luar layout",IF(X484&lt;&gt;INDEX(LAYOUT!$D$2:$D$80,MATCH(Y484&amp;"|"&amp;W484,LAYOUT!$E$2:$E$80,0)),"CEK JENIS ZONA",IF($D484="","Zona STOCK",IF($E484="","CEK SKU DESCRIPTION kosong","OK")))))))</f>
        <v/>
      </c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1" t="n"/>
      <c r="M485" s="11" t="n"/>
      <c r="N485" s="11" t="n"/>
      <c r="O485" s="12">
        <f>IF(L485="","",IFERROR(INDEX(DAFTAR_FIXTURE!$B$2:$B$51,MATCH(L485,DAFTAR_FIXTURE!$A$2:$A$51,0)),""))</f>
        <v/>
      </c>
      <c r="P485" s="12">
        <f>IF(AND($D485="",L485=""),"",IF(L485="",IF(AND(Q485="",V485=""),"Belum ditempatkan",""),IF(O485="","CEK ID FIXTURE tidak ada di DAFTAR_FIXTURE",IF(M485="","CEK ZONA NO kosong",IF(ISNA(MATCH(O485&amp;"|"&amp;M485,LAYOUT!$E$2:$E$80,0)),"CEK ZONA NO di luar layout",IF(N485&lt;&gt;INDEX(LAYOUT!$D$2:$D$80,MATCH(O485&amp;"|"&amp;M485,LAYOUT!$E$2:$E$80,0)),"CEK JENIS ZONA",IF($D485="","Zona STOCK",IF($E485="","CEK SKU DESCRIPTION kosong","OK"))))))))</f>
        <v/>
      </c>
      <c r="Q485" s="11" t="n"/>
      <c r="R485" s="11" t="n"/>
      <c r="S485" s="11" t="n"/>
      <c r="T485" s="12">
        <f>IF(Q485="","",IFERROR(INDEX(DAFTAR_FIXTURE!$B$2:$B$51,MATCH(Q485,DAFTAR_FIXTURE!$A$2:$A$51,0)),""))</f>
        <v/>
      </c>
      <c r="U485" s="12">
        <f>IF(Q485="","",IF(T485="","CEK ID FIXTURE tidak ada di DAFTAR_FIXTURE",IF(R485="","CEK ZONA NO kosong",IF(ISNA(MATCH(T485&amp;"|"&amp;R485,LAYOUT!$E$2:$E$80,0)),"CEK ZONA NO di luar layout",IF(S485&lt;&gt;INDEX(LAYOUT!$D$2:$D$80,MATCH(T485&amp;"|"&amp;R485,LAYOUT!$E$2:$E$80,0)),"CEK JENIS ZONA",IF($D485="","Zona STOCK",IF($E485="","CEK SKU DESCRIPTION kosong","OK")))))))</f>
        <v/>
      </c>
      <c r="V485" s="11" t="n"/>
      <c r="W485" s="11" t="n"/>
      <c r="X485" s="11" t="n"/>
      <c r="Y485" s="12">
        <f>IF(V485="","",IFERROR(INDEX(DAFTAR_FIXTURE!$B$2:$B$51,MATCH(V485,DAFTAR_FIXTURE!$A$2:$A$51,0)),""))</f>
        <v/>
      </c>
      <c r="Z485" s="12">
        <f>IF(V485="","",IF(Y485="","CEK ID FIXTURE tidak ada di DAFTAR_FIXTURE",IF(W485="","CEK ZONA NO kosong",IF(ISNA(MATCH(Y485&amp;"|"&amp;W485,LAYOUT!$E$2:$E$80,0)),"CEK ZONA NO di luar layout",IF(X485&lt;&gt;INDEX(LAYOUT!$D$2:$D$80,MATCH(Y485&amp;"|"&amp;W485,LAYOUT!$E$2:$E$80,0)),"CEK JENIS ZONA",IF($D485="","Zona STOCK",IF($E485="","CEK SKU DESCRIPTION kosong","OK")))))))</f>
        <v/>
      </c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1" t="n"/>
      <c r="M486" s="11" t="n"/>
      <c r="N486" s="11" t="n"/>
      <c r="O486" s="12">
        <f>IF(L486="","",IFERROR(INDEX(DAFTAR_FIXTURE!$B$2:$B$51,MATCH(L486,DAFTAR_FIXTURE!$A$2:$A$51,0)),""))</f>
        <v/>
      </c>
      <c r="P486" s="12">
        <f>IF(AND($D486="",L486=""),"",IF(L486="",IF(AND(Q486="",V486=""),"Belum ditempatkan",""),IF(O486="","CEK ID FIXTURE tidak ada di DAFTAR_FIXTURE",IF(M486="","CEK ZONA NO kosong",IF(ISNA(MATCH(O486&amp;"|"&amp;M486,LAYOUT!$E$2:$E$80,0)),"CEK ZONA NO di luar layout",IF(N486&lt;&gt;INDEX(LAYOUT!$D$2:$D$80,MATCH(O486&amp;"|"&amp;M486,LAYOUT!$E$2:$E$80,0)),"CEK JENIS ZONA",IF($D486="","Zona STOCK",IF($E486="","CEK SKU DESCRIPTION kosong","OK"))))))))</f>
        <v/>
      </c>
      <c r="Q486" s="11" t="n"/>
      <c r="R486" s="11" t="n"/>
      <c r="S486" s="11" t="n"/>
      <c r="T486" s="12">
        <f>IF(Q486="","",IFERROR(INDEX(DAFTAR_FIXTURE!$B$2:$B$51,MATCH(Q486,DAFTAR_FIXTURE!$A$2:$A$51,0)),""))</f>
        <v/>
      </c>
      <c r="U486" s="12">
        <f>IF(Q486="","",IF(T486="","CEK ID FIXTURE tidak ada di DAFTAR_FIXTURE",IF(R486="","CEK ZONA NO kosong",IF(ISNA(MATCH(T486&amp;"|"&amp;R486,LAYOUT!$E$2:$E$80,0)),"CEK ZONA NO di luar layout",IF(S486&lt;&gt;INDEX(LAYOUT!$D$2:$D$80,MATCH(T486&amp;"|"&amp;R486,LAYOUT!$E$2:$E$80,0)),"CEK JENIS ZONA",IF($D486="","Zona STOCK",IF($E486="","CEK SKU DESCRIPTION kosong","OK")))))))</f>
        <v/>
      </c>
      <c r="V486" s="11" t="n"/>
      <c r="W486" s="11" t="n"/>
      <c r="X486" s="11" t="n"/>
      <c r="Y486" s="12">
        <f>IF(V486="","",IFERROR(INDEX(DAFTAR_FIXTURE!$B$2:$B$51,MATCH(V486,DAFTAR_FIXTURE!$A$2:$A$51,0)),""))</f>
        <v/>
      </c>
      <c r="Z486" s="12">
        <f>IF(V486="","",IF(Y486="","CEK ID FIXTURE tidak ada di DAFTAR_FIXTURE",IF(W486="","CEK ZONA NO kosong",IF(ISNA(MATCH(Y486&amp;"|"&amp;W486,LAYOUT!$E$2:$E$80,0)),"CEK ZONA NO di luar layout",IF(X486&lt;&gt;INDEX(LAYOUT!$D$2:$D$80,MATCH(Y486&amp;"|"&amp;W486,LAYOUT!$E$2:$E$80,0)),"CEK JENIS ZONA",IF($D486="","Zona STOCK",IF($E486="","CEK SKU DESCRIPTION kosong","OK")))))))</f>
        <v/>
      </c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1" t="n"/>
      <c r="M487" s="11" t="n"/>
      <c r="N487" s="11" t="n"/>
      <c r="O487" s="12">
        <f>IF(L487="","",IFERROR(INDEX(DAFTAR_FIXTURE!$B$2:$B$51,MATCH(L487,DAFTAR_FIXTURE!$A$2:$A$51,0)),""))</f>
        <v/>
      </c>
      <c r="P487" s="12">
        <f>IF(AND($D487="",L487=""),"",IF(L487="",IF(AND(Q487="",V487=""),"Belum ditempatkan",""),IF(O487="","CEK ID FIXTURE tidak ada di DAFTAR_FIXTURE",IF(M487="","CEK ZONA NO kosong",IF(ISNA(MATCH(O487&amp;"|"&amp;M487,LAYOUT!$E$2:$E$80,0)),"CEK ZONA NO di luar layout",IF(N487&lt;&gt;INDEX(LAYOUT!$D$2:$D$80,MATCH(O487&amp;"|"&amp;M487,LAYOUT!$E$2:$E$80,0)),"CEK JENIS ZONA",IF($D487="","Zona STOCK",IF($E487="","CEK SKU DESCRIPTION kosong","OK"))))))))</f>
        <v/>
      </c>
      <c r="Q487" s="11" t="n"/>
      <c r="R487" s="11" t="n"/>
      <c r="S487" s="11" t="n"/>
      <c r="T487" s="12">
        <f>IF(Q487="","",IFERROR(INDEX(DAFTAR_FIXTURE!$B$2:$B$51,MATCH(Q487,DAFTAR_FIXTURE!$A$2:$A$51,0)),""))</f>
        <v/>
      </c>
      <c r="U487" s="12">
        <f>IF(Q487="","",IF(T487="","CEK ID FIXTURE tidak ada di DAFTAR_FIXTURE",IF(R487="","CEK ZONA NO kosong",IF(ISNA(MATCH(T487&amp;"|"&amp;R487,LAYOUT!$E$2:$E$80,0)),"CEK ZONA NO di luar layout",IF(S487&lt;&gt;INDEX(LAYOUT!$D$2:$D$80,MATCH(T487&amp;"|"&amp;R487,LAYOUT!$E$2:$E$80,0)),"CEK JENIS ZONA",IF($D487="","Zona STOCK",IF($E487="","CEK SKU DESCRIPTION kosong","OK")))))))</f>
        <v/>
      </c>
      <c r="V487" s="11" t="n"/>
      <c r="W487" s="11" t="n"/>
      <c r="X487" s="11" t="n"/>
      <c r="Y487" s="12">
        <f>IF(V487="","",IFERROR(INDEX(DAFTAR_FIXTURE!$B$2:$B$51,MATCH(V487,DAFTAR_FIXTURE!$A$2:$A$51,0)),""))</f>
        <v/>
      </c>
      <c r="Z487" s="12">
        <f>IF(V487="","",IF(Y487="","CEK ID FIXTURE tidak ada di DAFTAR_FIXTURE",IF(W487="","CEK ZONA NO kosong",IF(ISNA(MATCH(Y487&amp;"|"&amp;W487,LAYOUT!$E$2:$E$80,0)),"CEK ZONA NO di luar layout",IF(X487&lt;&gt;INDEX(LAYOUT!$D$2:$D$80,MATCH(Y487&amp;"|"&amp;W487,LAYOUT!$E$2:$E$80,0)),"CEK JENIS ZONA",IF($D487="","Zona STOCK",IF($E487="","CEK SKU DESCRIPTION kosong","OK")))))))</f>
        <v/>
      </c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1" t="n"/>
      <c r="M488" s="11" t="n"/>
      <c r="N488" s="11" t="n"/>
      <c r="O488" s="12">
        <f>IF(L488="","",IFERROR(INDEX(DAFTAR_FIXTURE!$B$2:$B$51,MATCH(L488,DAFTAR_FIXTURE!$A$2:$A$51,0)),""))</f>
        <v/>
      </c>
      <c r="P488" s="12">
        <f>IF(AND($D488="",L488=""),"",IF(L488="",IF(AND(Q488="",V488=""),"Belum ditempatkan",""),IF(O488="","CEK ID FIXTURE tidak ada di DAFTAR_FIXTURE",IF(M488="","CEK ZONA NO kosong",IF(ISNA(MATCH(O488&amp;"|"&amp;M488,LAYOUT!$E$2:$E$80,0)),"CEK ZONA NO di luar layout",IF(N488&lt;&gt;INDEX(LAYOUT!$D$2:$D$80,MATCH(O488&amp;"|"&amp;M488,LAYOUT!$E$2:$E$80,0)),"CEK JENIS ZONA",IF($D488="","Zona STOCK",IF($E488="","CEK SKU DESCRIPTION kosong","OK"))))))))</f>
        <v/>
      </c>
      <c r="Q488" s="11" t="n"/>
      <c r="R488" s="11" t="n"/>
      <c r="S488" s="11" t="n"/>
      <c r="T488" s="12">
        <f>IF(Q488="","",IFERROR(INDEX(DAFTAR_FIXTURE!$B$2:$B$51,MATCH(Q488,DAFTAR_FIXTURE!$A$2:$A$51,0)),""))</f>
        <v/>
      </c>
      <c r="U488" s="12">
        <f>IF(Q488="","",IF(T488="","CEK ID FIXTURE tidak ada di DAFTAR_FIXTURE",IF(R488="","CEK ZONA NO kosong",IF(ISNA(MATCH(T488&amp;"|"&amp;R488,LAYOUT!$E$2:$E$80,0)),"CEK ZONA NO di luar layout",IF(S488&lt;&gt;INDEX(LAYOUT!$D$2:$D$80,MATCH(T488&amp;"|"&amp;R488,LAYOUT!$E$2:$E$80,0)),"CEK JENIS ZONA",IF($D488="","Zona STOCK",IF($E488="","CEK SKU DESCRIPTION kosong","OK")))))))</f>
        <v/>
      </c>
      <c r="V488" s="11" t="n"/>
      <c r="W488" s="11" t="n"/>
      <c r="X488" s="11" t="n"/>
      <c r="Y488" s="12">
        <f>IF(V488="","",IFERROR(INDEX(DAFTAR_FIXTURE!$B$2:$B$51,MATCH(V488,DAFTAR_FIXTURE!$A$2:$A$51,0)),""))</f>
        <v/>
      </c>
      <c r="Z488" s="12">
        <f>IF(V488="","",IF(Y488="","CEK ID FIXTURE tidak ada di DAFTAR_FIXTURE",IF(W488="","CEK ZONA NO kosong",IF(ISNA(MATCH(Y488&amp;"|"&amp;W488,LAYOUT!$E$2:$E$80,0)),"CEK ZONA NO di luar layout",IF(X488&lt;&gt;INDEX(LAYOUT!$D$2:$D$80,MATCH(Y488&amp;"|"&amp;W488,LAYOUT!$E$2:$E$80,0)),"CEK JENIS ZONA",IF($D488="","Zona STOCK",IF($E488="","CEK SKU DESCRIPTION kosong","OK")))))))</f>
        <v/>
      </c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1" t="n"/>
      <c r="M489" s="11" t="n"/>
      <c r="N489" s="11" t="n"/>
      <c r="O489" s="12">
        <f>IF(L489="","",IFERROR(INDEX(DAFTAR_FIXTURE!$B$2:$B$51,MATCH(L489,DAFTAR_FIXTURE!$A$2:$A$51,0)),""))</f>
        <v/>
      </c>
      <c r="P489" s="12">
        <f>IF(AND($D489="",L489=""),"",IF(L489="",IF(AND(Q489="",V489=""),"Belum ditempatkan",""),IF(O489="","CEK ID FIXTURE tidak ada di DAFTAR_FIXTURE",IF(M489="","CEK ZONA NO kosong",IF(ISNA(MATCH(O489&amp;"|"&amp;M489,LAYOUT!$E$2:$E$80,0)),"CEK ZONA NO di luar layout",IF(N489&lt;&gt;INDEX(LAYOUT!$D$2:$D$80,MATCH(O489&amp;"|"&amp;M489,LAYOUT!$E$2:$E$80,0)),"CEK JENIS ZONA",IF($D489="","Zona STOCK",IF($E489="","CEK SKU DESCRIPTION kosong","OK"))))))))</f>
        <v/>
      </c>
      <c r="Q489" s="11" t="n"/>
      <c r="R489" s="11" t="n"/>
      <c r="S489" s="11" t="n"/>
      <c r="T489" s="12">
        <f>IF(Q489="","",IFERROR(INDEX(DAFTAR_FIXTURE!$B$2:$B$51,MATCH(Q489,DAFTAR_FIXTURE!$A$2:$A$51,0)),""))</f>
        <v/>
      </c>
      <c r="U489" s="12">
        <f>IF(Q489="","",IF(T489="","CEK ID FIXTURE tidak ada di DAFTAR_FIXTURE",IF(R489="","CEK ZONA NO kosong",IF(ISNA(MATCH(T489&amp;"|"&amp;R489,LAYOUT!$E$2:$E$80,0)),"CEK ZONA NO di luar layout",IF(S489&lt;&gt;INDEX(LAYOUT!$D$2:$D$80,MATCH(T489&amp;"|"&amp;R489,LAYOUT!$E$2:$E$80,0)),"CEK JENIS ZONA",IF($D489="","Zona STOCK",IF($E489="","CEK SKU DESCRIPTION kosong","OK")))))))</f>
        <v/>
      </c>
      <c r="V489" s="11" t="n"/>
      <c r="W489" s="11" t="n"/>
      <c r="X489" s="11" t="n"/>
      <c r="Y489" s="12">
        <f>IF(V489="","",IFERROR(INDEX(DAFTAR_FIXTURE!$B$2:$B$51,MATCH(V489,DAFTAR_FIXTURE!$A$2:$A$51,0)),""))</f>
        <v/>
      </c>
      <c r="Z489" s="12">
        <f>IF(V489="","",IF(Y489="","CEK ID FIXTURE tidak ada di DAFTAR_FIXTURE",IF(W489="","CEK ZONA NO kosong",IF(ISNA(MATCH(Y489&amp;"|"&amp;W489,LAYOUT!$E$2:$E$80,0)),"CEK ZONA NO di luar layout",IF(X489&lt;&gt;INDEX(LAYOUT!$D$2:$D$80,MATCH(Y489&amp;"|"&amp;W489,LAYOUT!$E$2:$E$80,0)),"CEK JENIS ZONA",IF($D489="","Zona STOCK",IF($E489="","CEK SKU DESCRIPTION kosong","OK")))))))</f>
        <v/>
      </c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1" t="n"/>
      <c r="M490" s="11" t="n"/>
      <c r="N490" s="11" t="n"/>
      <c r="O490" s="12">
        <f>IF(L490="","",IFERROR(INDEX(DAFTAR_FIXTURE!$B$2:$B$51,MATCH(L490,DAFTAR_FIXTURE!$A$2:$A$51,0)),""))</f>
        <v/>
      </c>
      <c r="P490" s="12">
        <f>IF(AND($D490="",L490=""),"",IF(L490="",IF(AND(Q490="",V490=""),"Belum ditempatkan",""),IF(O490="","CEK ID FIXTURE tidak ada di DAFTAR_FIXTURE",IF(M490="","CEK ZONA NO kosong",IF(ISNA(MATCH(O490&amp;"|"&amp;M490,LAYOUT!$E$2:$E$80,0)),"CEK ZONA NO di luar layout",IF(N490&lt;&gt;INDEX(LAYOUT!$D$2:$D$80,MATCH(O490&amp;"|"&amp;M490,LAYOUT!$E$2:$E$80,0)),"CEK JENIS ZONA",IF($D490="","Zona STOCK",IF($E490="","CEK SKU DESCRIPTION kosong","OK"))))))))</f>
        <v/>
      </c>
      <c r="Q490" s="11" t="n"/>
      <c r="R490" s="11" t="n"/>
      <c r="S490" s="11" t="n"/>
      <c r="T490" s="12">
        <f>IF(Q490="","",IFERROR(INDEX(DAFTAR_FIXTURE!$B$2:$B$51,MATCH(Q490,DAFTAR_FIXTURE!$A$2:$A$51,0)),""))</f>
        <v/>
      </c>
      <c r="U490" s="12">
        <f>IF(Q490="","",IF(T490="","CEK ID FIXTURE tidak ada di DAFTAR_FIXTURE",IF(R490="","CEK ZONA NO kosong",IF(ISNA(MATCH(T490&amp;"|"&amp;R490,LAYOUT!$E$2:$E$80,0)),"CEK ZONA NO di luar layout",IF(S490&lt;&gt;INDEX(LAYOUT!$D$2:$D$80,MATCH(T490&amp;"|"&amp;R490,LAYOUT!$E$2:$E$80,0)),"CEK JENIS ZONA",IF($D490="","Zona STOCK",IF($E490="","CEK SKU DESCRIPTION kosong","OK")))))))</f>
        <v/>
      </c>
      <c r="V490" s="11" t="n"/>
      <c r="W490" s="11" t="n"/>
      <c r="X490" s="11" t="n"/>
      <c r="Y490" s="12">
        <f>IF(V490="","",IFERROR(INDEX(DAFTAR_FIXTURE!$B$2:$B$51,MATCH(V490,DAFTAR_FIXTURE!$A$2:$A$51,0)),""))</f>
        <v/>
      </c>
      <c r="Z490" s="12">
        <f>IF(V490="","",IF(Y490="","CEK ID FIXTURE tidak ada di DAFTAR_FIXTURE",IF(W490="","CEK ZONA NO kosong",IF(ISNA(MATCH(Y490&amp;"|"&amp;W490,LAYOUT!$E$2:$E$80,0)),"CEK ZONA NO di luar layout",IF(X490&lt;&gt;INDEX(LAYOUT!$D$2:$D$80,MATCH(Y490&amp;"|"&amp;W490,LAYOUT!$E$2:$E$80,0)),"CEK JENIS ZONA",IF($D490="","Zona STOCK",IF($E490="","CEK SKU DESCRIPTION kosong","OK")))))))</f>
        <v/>
      </c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1" t="n"/>
      <c r="M491" s="11" t="n"/>
      <c r="N491" s="11" t="n"/>
      <c r="O491" s="12">
        <f>IF(L491="","",IFERROR(INDEX(DAFTAR_FIXTURE!$B$2:$B$51,MATCH(L491,DAFTAR_FIXTURE!$A$2:$A$51,0)),""))</f>
        <v/>
      </c>
      <c r="P491" s="12">
        <f>IF(AND($D491="",L491=""),"",IF(L491="",IF(AND(Q491="",V491=""),"Belum ditempatkan",""),IF(O491="","CEK ID FIXTURE tidak ada di DAFTAR_FIXTURE",IF(M491="","CEK ZONA NO kosong",IF(ISNA(MATCH(O491&amp;"|"&amp;M491,LAYOUT!$E$2:$E$80,0)),"CEK ZONA NO di luar layout",IF(N491&lt;&gt;INDEX(LAYOUT!$D$2:$D$80,MATCH(O491&amp;"|"&amp;M491,LAYOUT!$E$2:$E$80,0)),"CEK JENIS ZONA",IF($D491="","Zona STOCK",IF($E491="","CEK SKU DESCRIPTION kosong","OK"))))))))</f>
        <v/>
      </c>
      <c r="Q491" s="11" t="n"/>
      <c r="R491" s="11" t="n"/>
      <c r="S491" s="11" t="n"/>
      <c r="T491" s="12">
        <f>IF(Q491="","",IFERROR(INDEX(DAFTAR_FIXTURE!$B$2:$B$51,MATCH(Q491,DAFTAR_FIXTURE!$A$2:$A$51,0)),""))</f>
        <v/>
      </c>
      <c r="U491" s="12">
        <f>IF(Q491="","",IF(T491="","CEK ID FIXTURE tidak ada di DAFTAR_FIXTURE",IF(R491="","CEK ZONA NO kosong",IF(ISNA(MATCH(T491&amp;"|"&amp;R491,LAYOUT!$E$2:$E$80,0)),"CEK ZONA NO di luar layout",IF(S491&lt;&gt;INDEX(LAYOUT!$D$2:$D$80,MATCH(T491&amp;"|"&amp;R491,LAYOUT!$E$2:$E$80,0)),"CEK JENIS ZONA",IF($D491="","Zona STOCK",IF($E491="","CEK SKU DESCRIPTION kosong","OK")))))))</f>
        <v/>
      </c>
      <c r="V491" s="11" t="n"/>
      <c r="W491" s="11" t="n"/>
      <c r="X491" s="11" t="n"/>
      <c r="Y491" s="12">
        <f>IF(V491="","",IFERROR(INDEX(DAFTAR_FIXTURE!$B$2:$B$51,MATCH(V491,DAFTAR_FIXTURE!$A$2:$A$51,0)),""))</f>
        <v/>
      </c>
      <c r="Z491" s="12">
        <f>IF(V491="","",IF(Y491="","CEK ID FIXTURE tidak ada di DAFTAR_FIXTURE",IF(W491="","CEK ZONA NO kosong",IF(ISNA(MATCH(Y491&amp;"|"&amp;W491,LAYOUT!$E$2:$E$80,0)),"CEK ZONA NO di luar layout",IF(X491&lt;&gt;INDEX(LAYOUT!$D$2:$D$80,MATCH(Y491&amp;"|"&amp;W491,LAYOUT!$E$2:$E$80,0)),"CEK JENIS ZONA",IF($D491="","Zona STOCK",IF($E491="","CEK SKU DESCRIPTION kosong","OK")))))))</f>
        <v/>
      </c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1" t="n"/>
      <c r="M492" s="11" t="n"/>
      <c r="N492" s="11" t="n"/>
      <c r="O492" s="12">
        <f>IF(L492="","",IFERROR(INDEX(DAFTAR_FIXTURE!$B$2:$B$51,MATCH(L492,DAFTAR_FIXTURE!$A$2:$A$51,0)),""))</f>
        <v/>
      </c>
      <c r="P492" s="12">
        <f>IF(AND($D492="",L492=""),"",IF(L492="",IF(AND(Q492="",V492=""),"Belum ditempatkan",""),IF(O492="","CEK ID FIXTURE tidak ada di DAFTAR_FIXTURE",IF(M492="","CEK ZONA NO kosong",IF(ISNA(MATCH(O492&amp;"|"&amp;M492,LAYOUT!$E$2:$E$80,0)),"CEK ZONA NO di luar layout",IF(N492&lt;&gt;INDEX(LAYOUT!$D$2:$D$80,MATCH(O492&amp;"|"&amp;M492,LAYOUT!$E$2:$E$80,0)),"CEK JENIS ZONA",IF($D492="","Zona STOCK",IF($E492="","CEK SKU DESCRIPTION kosong","OK"))))))))</f>
        <v/>
      </c>
      <c r="Q492" s="11" t="n"/>
      <c r="R492" s="11" t="n"/>
      <c r="S492" s="11" t="n"/>
      <c r="T492" s="12">
        <f>IF(Q492="","",IFERROR(INDEX(DAFTAR_FIXTURE!$B$2:$B$51,MATCH(Q492,DAFTAR_FIXTURE!$A$2:$A$51,0)),""))</f>
        <v/>
      </c>
      <c r="U492" s="12">
        <f>IF(Q492="","",IF(T492="","CEK ID FIXTURE tidak ada di DAFTAR_FIXTURE",IF(R492="","CEK ZONA NO kosong",IF(ISNA(MATCH(T492&amp;"|"&amp;R492,LAYOUT!$E$2:$E$80,0)),"CEK ZONA NO di luar layout",IF(S492&lt;&gt;INDEX(LAYOUT!$D$2:$D$80,MATCH(T492&amp;"|"&amp;R492,LAYOUT!$E$2:$E$80,0)),"CEK JENIS ZONA",IF($D492="","Zona STOCK",IF($E492="","CEK SKU DESCRIPTION kosong","OK")))))))</f>
        <v/>
      </c>
      <c r="V492" s="11" t="n"/>
      <c r="W492" s="11" t="n"/>
      <c r="X492" s="11" t="n"/>
      <c r="Y492" s="12">
        <f>IF(V492="","",IFERROR(INDEX(DAFTAR_FIXTURE!$B$2:$B$51,MATCH(V492,DAFTAR_FIXTURE!$A$2:$A$51,0)),""))</f>
        <v/>
      </c>
      <c r="Z492" s="12">
        <f>IF(V492="","",IF(Y492="","CEK ID FIXTURE tidak ada di DAFTAR_FIXTURE",IF(W492="","CEK ZONA NO kosong",IF(ISNA(MATCH(Y492&amp;"|"&amp;W492,LAYOUT!$E$2:$E$80,0)),"CEK ZONA NO di luar layout",IF(X492&lt;&gt;INDEX(LAYOUT!$D$2:$D$80,MATCH(Y492&amp;"|"&amp;W492,LAYOUT!$E$2:$E$80,0)),"CEK JENIS ZONA",IF($D492="","Zona STOCK",IF($E492="","CEK SKU DESCRIPTION kosong","OK")))))))</f>
        <v/>
      </c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1" t="n"/>
      <c r="M493" s="11" t="n"/>
      <c r="N493" s="11" t="n"/>
      <c r="O493" s="12">
        <f>IF(L493="","",IFERROR(INDEX(DAFTAR_FIXTURE!$B$2:$B$51,MATCH(L493,DAFTAR_FIXTURE!$A$2:$A$51,0)),""))</f>
        <v/>
      </c>
      <c r="P493" s="12">
        <f>IF(AND($D493="",L493=""),"",IF(L493="",IF(AND(Q493="",V493=""),"Belum ditempatkan",""),IF(O493="","CEK ID FIXTURE tidak ada di DAFTAR_FIXTURE",IF(M493="","CEK ZONA NO kosong",IF(ISNA(MATCH(O493&amp;"|"&amp;M493,LAYOUT!$E$2:$E$80,0)),"CEK ZONA NO di luar layout",IF(N493&lt;&gt;INDEX(LAYOUT!$D$2:$D$80,MATCH(O493&amp;"|"&amp;M493,LAYOUT!$E$2:$E$80,0)),"CEK JENIS ZONA",IF($D493="","Zona STOCK",IF($E493="","CEK SKU DESCRIPTION kosong","OK"))))))))</f>
        <v/>
      </c>
      <c r="Q493" s="11" t="n"/>
      <c r="R493" s="11" t="n"/>
      <c r="S493" s="11" t="n"/>
      <c r="T493" s="12">
        <f>IF(Q493="","",IFERROR(INDEX(DAFTAR_FIXTURE!$B$2:$B$51,MATCH(Q493,DAFTAR_FIXTURE!$A$2:$A$51,0)),""))</f>
        <v/>
      </c>
      <c r="U493" s="12">
        <f>IF(Q493="","",IF(T493="","CEK ID FIXTURE tidak ada di DAFTAR_FIXTURE",IF(R493="","CEK ZONA NO kosong",IF(ISNA(MATCH(T493&amp;"|"&amp;R493,LAYOUT!$E$2:$E$80,0)),"CEK ZONA NO di luar layout",IF(S493&lt;&gt;INDEX(LAYOUT!$D$2:$D$80,MATCH(T493&amp;"|"&amp;R493,LAYOUT!$E$2:$E$80,0)),"CEK JENIS ZONA",IF($D493="","Zona STOCK",IF($E493="","CEK SKU DESCRIPTION kosong","OK")))))))</f>
        <v/>
      </c>
      <c r="V493" s="11" t="n"/>
      <c r="W493" s="11" t="n"/>
      <c r="X493" s="11" t="n"/>
      <c r="Y493" s="12">
        <f>IF(V493="","",IFERROR(INDEX(DAFTAR_FIXTURE!$B$2:$B$51,MATCH(V493,DAFTAR_FIXTURE!$A$2:$A$51,0)),""))</f>
        <v/>
      </c>
      <c r="Z493" s="12">
        <f>IF(V493="","",IF(Y493="","CEK ID FIXTURE tidak ada di DAFTAR_FIXTURE",IF(W493="","CEK ZONA NO kosong",IF(ISNA(MATCH(Y493&amp;"|"&amp;W493,LAYOUT!$E$2:$E$80,0)),"CEK ZONA NO di luar layout",IF(X493&lt;&gt;INDEX(LAYOUT!$D$2:$D$80,MATCH(Y493&amp;"|"&amp;W493,LAYOUT!$E$2:$E$80,0)),"CEK JENIS ZONA",IF($D493="","Zona STOCK",IF($E493="","CEK SKU DESCRIPTION kosong","OK")))))))</f>
        <v/>
      </c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1" t="n"/>
      <c r="M494" s="11" t="n"/>
      <c r="N494" s="11" t="n"/>
      <c r="O494" s="12">
        <f>IF(L494="","",IFERROR(INDEX(DAFTAR_FIXTURE!$B$2:$B$51,MATCH(L494,DAFTAR_FIXTURE!$A$2:$A$51,0)),""))</f>
        <v/>
      </c>
      <c r="P494" s="12">
        <f>IF(AND($D494="",L494=""),"",IF(L494="",IF(AND(Q494="",V494=""),"Belum ditempatkan",""),IF(O494="","CEK ID FIXTURE tidak ada di DAFTAR_FIXTURE",IF(M494="","CEK ZONA NO kosong",IF(ISNA(MATCH(O494&amp;"|"&amp;M494,LAYOUT!$E$2:$E$80,0)),"CEK ZONA NO di luar layout",IF(N494&lt;&gt;INDEX(LAYOUT!$D$2:$D$80,MATCH(O494&amp;"|"&amp;M494,LAYOUT!$E$2:$E$80,0)),"CEK JENIS ZONA",IF($D494="","Zona STOCK",IF($E494="","CEK SKU DESCRIPTION kosong","OK"))))))))</f>
        <v/>
      </c>
      <c r="Q494" s="11" t="n"/>
      <c r="R494" s="11" t="n"/>
      <c r="S494" s="11" t="n"/>
      <c r="T494" s="12">
        <f>IF(Q494="","",IFERROR(INDEX(DAFTAR_FIXTURE!$B$2:$B$51,MATCH(Q494,DAFTAR_FIXTURE!$A$2:$A$51,0)),""))</f>
        <v/>
      </c>
      <c r="U494" s="12">
        <f>IF(Q494="","",IF(T494="","CEK ID FIXTURE tidak ada di DAFTAR_FIXTURE",IF(R494="","CEK ZONA NO kosong",IF(ISNA(MATCH(T494&amp;"|"&amp;R494,LAYOUT!$E$2:$E$80,0)),"CEK ZONA NO di luar layout",IF(S494&lt;&gt;INDEX(LAYOUT!$D$2:$D$80,MATCH(T494&amp;"|"&amp;R494,LAYOUT!$E$2:$E$80,0)),"CEK JENIS ZONA",IF($D494="","Zona STOCK",IF($E494="","CEK SKU DESCRIPTION kosong","OK")))))))</f>
        <v/>
      </c>
      <c r="V494" s="11" t="n"/>
      <c r="W494" s="11" t="n"/>
      <c r="X494" s="11" t="n"/>
      <c r="Y494" s="12">
        <f>IF(V494="","",IFERROR(INDEX(DAFTAR_FIXTURE!$B$2:$B$51,MATCH(V494,DAFTAR_FIXTURE!$A$2:$A$51,0)),""))</f>
        <v/>
      </c>
      <c r="Z494" s="12">
        <f>IF(V494="","",IF(Y494="","CEK ID FIXTURE tidak ada di DAFTAR_FIXTURE",IF(W494="","CEK ZONA NO kosong",IF(ISNA(MATCH(Y494&amp;"|"&amp;W494,LAYOUT!$E$2:$E$80,0)),"CEK ZONA NO di luar layout",IF(X494&lt;&gt;INDEX(LAYOUT!$D$2:$D$80,MATCH(Y494&amp;"|"&amp;W494,LAYOUT!$E$2:$E$80,0)),"CEK JENIS ZONA",IF($D494="","Zona STOCK",IF($E494="","CEK SKU DESCRIPTION kosong","OK")))))))</f>
        <v/>
      </c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1" t="n"/>
      <c r="M495" s="11" t="n"/>
      <c r="N495" s="11" t="n"/>
      <c r="O495" s="12">
        <f>IF(L495="","",IFERROR(INDEX(DAFTAR_FIXTURE!$B$2:$B$51,MATCH(L495,DAFTAR_FIXTURE!$A$2:$A$51,0)),""))</f>
        <v/>
      </c>
      <c r="P495" s="12">
        <f>IF(AND($D495="",L495=""),"",IF(L495="",IF(AND(Q495="",V495=""),"Belum ditempatkan",""),IF(O495="","CEK ID FIXTURE tidak ada di DAFTAR_FIXTURE",IF(M495="","CEK ZONA NO kosong",IF(ISNA(MATCH(O495&amp;"|"&amp;M495,LAYOUT!$E$2:$E$80,0)),"CEK ZONA NO di luar layout",IF(N495&lt;&gt;INDEX(LAYOUT!$D$2:$D$80,MATCH(O495&amp;"|"&amp;M495,LAYOUT!$E$2:$E$80,0)),"CEK JENIS ZONA",IF($D495="","Zona STOCK",IF($E495="","CEK SKU DESCRIPTION kosong","OK"))))))))</f>
        <v/>
      </c>
      <c r="Q495" s="11" t="n"/>
      <c r="R495" s="11" t="n"/>
      <c r="S495" s="11" t="n"/>
      <c r="T495" s="12">
        <f>IF(Q495="","",IFERROR(INDEX(DAFTAR_FIXTURE!$B$2:$B$51,MATCH(Q495,DAFTAR_FIXTURE!$A$2:$A$51,0)),""))</f>
        <v/>
      </c>
      <c r="U495" s="12">
        <f>IF(Q495="","",IF(T495="","CEK ID FIXTURE tidak ada di DAFTAR_FIXTURE",IF(R495="","CEK ZONA NO kosong",IF(ISNA(MATCH(T495&amp;"|"&amp;R495,LAYOUT!$E$2:$E$80,0)),"CEK ZONA NO di luar layout",IF(S495&lt;&gt;INDEX(LAYOUT!$D$2:$D$80,MATCH(T495&amp;"|"&amp;R495,LAYOUT!$E$2:$E$80,0)),"CEK JENIS ZONA",IF($D495="","Zona STOCK",IF($E495="","CEK SKU DESCRIPTION kosong","OK")))))))</f>
        <v/>
      </c>
      <c r="V495" s="11" t="n"/>
      <c r="W495" s="11" t="n"/>
      <c r="X495" s="11" t="n"/>
      <c r="Y495" s="12">
        <f>IF(V495="","",IFERROR(INDEX(DAFTAR_FIXTURE!$B$2:$B$51,MATCH(V495,DAFTAR_FIXTURE!$A$2:$A$51,0)),""))</f>
        <v/>
      </c>
      <c r="Z495" s="12">
        <f>IF(V495="","",IF(Y495="","CEK ID FIXTURE tidak ada di DAFTAR_FIXTURE",IF(W495="","CEK ZONA NO kosong",IF(ISNA(MATCH(Y495&amp;"|"&amp;W495,LAYOUT!$E$2:$E$80,0)),"CEK ZONA NO di luar layout",IF(X495&lt;&gt;INDEX(LAYOUT!$D$2:$D$80,MATCH(Y495&amp;"|"&amp;W495,LAYOUT!$E$2:$E$80,0)),"CEK JENIS ZONA",IF($D495="","Zona STOCK",IF($E495="","CEK SKU DESCRIPTION kosong","OK")))))))</f>
        <v/>
      </c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1" t="n"/>
      <c r="M496" s="11" t="n"/>
      <c r="N496" s="11" t="n"/>
      <c r="O496" s="12">
        <f>IF(L496="","",IFERROR(INDEX(DAFTAR_FIXTURE!$B$2:$B$51,MATCH(L496,DAFTAR_FIXTURE!$A$2:$A$51,0)),""))</f>
        <v/>
      </c>
      <c r="P496" s="12">
        <f>IF(AND($D496="",L496=""),"",IF(L496="",IF(AND(Q496="",V496=""),"Belum ditempatkan",""),IF(O496="","CEK ID FIXTURE tidak ada di DAFTAR_FIXTURE",IF(M496="","CEK ZONA NO kosong",IF(ISNA(MATCH(O496&amp;"|"&amp;M496,LAYOUT!$E$2:$E$80,0)),"CEK ZONA NO di luar layout",IF(N496&lt;&gt;INDEX(LAYOUT!$D$2:$D$80,MATCH(O496&amp;"|"&amp;M496,LAYOUT!$E$2:$E$80,0)),"CEK JENIS ZONA",IF($D496="","Zona STOCK",IF($E496="","CEK SKU DESCRIPTION kosong","OK"))))))))</f>
        <v/>
      </c>
      <c r="Q496" s="11" t="n"/>
      <c r="R496" s="11" t="n"/>
      <c r="S496" s="11" t="n"/>
      <c r="T496" s="12">
        <f>IF(Q496="","",IFERROR(INDEX(DAFTAR_FIXTURE!$B$2:$B$51,MATCH(Q496,DAFTAR_FIXTURE!$A$2:$A$51,0)),""))</f>
        <v/>
      </c>
      <c r="U496" s="12">
        <f>IF(Q496="","",IF(T496="","CEK ID FIXTURE tidak ada di DAFTAR_FIXTURE",IF(R496="","CEK ZONA NO kosong",IF(ISNA(MATCH(T496&amp;"|"&amp;R496,LAYOUT!$E$2:$E$80,0)),"CEK ZONA NO di luar layout",IF(S496&lt;&gt;INDEX(LAYOUT!$D$2:$D$80,MATCH(T496&amp;"|"&amp;R496,LAYOUT!$E$2:$E$80,0)),"CEK JENIS ZONA",IF($D496="","Zona STOCK",IF($E496="","CEK SKU DESCRIPTION kosong","OK")))))))</f>
        <v/>
      </c>
      <c r="V496" s="11" t="n"/>
      <c r="W496" s="11" t="n"/>
      <c r="X496" s="11" t="n"/>
      <c r="Y496" s="12">
        <f>IF(V496="","",IFERROR(INDEX(DAFTAR_FIXTURE!$B$2:$B$51,MATCH(V496,DAFTAR_FIXTURE!$A$2:$A$51,0)),""))</f>
        <v/>
      </c>
      <c r="Z496" s="12">
        <f>IF(V496="","",IF(Y496="","CEK ID FIXTURE tidak ada di DAFTAR_FIXTURE",IF(W496="","CEK ZONA NO kosong",IF(ISNA(MATCH(Y496&amp;"|"&amp;W496,LAYOUT!$E$2:$E$80,0)),"CEK ZONA NO di luar layout",IF(X496&lt;&gt;INDEX(LAYOUT!$D$2:$D$80,MATCH(Y496&amp;"|"&amp;W496,LAYOUT!$E$2:$E$80,0)),"CEK JENIS ZONA",IF($D496="","Zona STOCK",IF($E496="","CEK SKU DESCRIPTION kosong","OK")))))))</f>
        <v/>
      </c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1" t="n"/>
      <c r="M497" s="11" t="n"/>
      <c r="N497" s="11" t="n"/>
      <c r="O497" s="12">
        <f>IF(L497="","",IFERROR(INDEX(DAFTAR_FIXTURE!$B$2:$B$51,MATCH(L497,DAFTAR_FIXTURE!$A$2:$A$51,0)),""))</f>
        <v/>
      </c>
      <c r="P497" s="12">
        <f>IF(AND($D497="",L497=""),"",IF(L497="",IF(AND(Q497="",V497=""),"Belum ditempatkan",""),IF(O497="","CEK ID FIXTURE tidak ada di DAFTAR_FIXTURE",IF(M497="","CEK ZONA NO kosong",IF(ISNA(MATCH(O497&amp;"|"&amp;M497,LAYOUT!$E$2:$E$80,0)),"CEK ZONA NO di luar layout",IF(N497&lt;&gt;INDEX(LAYOUT!$D$2:$D$80,MATCH(O497&amp;"|"&amp;M497,LAYOUT!$E$2:$E$80,0)),"CEK JENIS ZONA",IF($D497="","Zona STOCK",IF($E497="","CEK SKU DESCRIPTION kosong","OK"))))))))</f>
        <v/>
      </c>
      <c r="Q497" s="11" t="n"/>
      <c r="R497" s="11" t="n"/>
      <c r="S497" s="11" t="n"/>
      <c r="T497" s="12">
        <f>IF(Q497="","",IFERROR(INDEX(DAFTAR_FIXTURE!$B$2:$B$51,MATCH(Q497,DAFTAR_FIXTURE!$A$2:$A$51,0)),""))</f>
        <v/>
      </c>
      <c r="U497" s="12">
        <f>IF(Q497="","",IF(T497="","CEK ID FIXTURE tidak ada di DAFTAR_FIXTURE",IF(R497="","CEK ZONA NO kosong",IF(ISNA(MATCH(T497&amp;"|"&amp;R497,LAYOUT!$E$2:$E$80,0)),"CEK ZONA NO di luar layout",IF(S497&lt;&gt;INDEX(LAYOUT!$D$2:$D$80,MATCH(T497&amp;"|"&amp;R497,LAYOUT!$E$2:$E$80,0)),"CEK JENIS ZONA",IF($D497="","Zona STOCK",IF($E497="","CEK SKU DESCRIPTION kosong","OK")))))))</f>
        <v/>
      </c>
      <c r="V497" s="11" t="n"/>
      <c r="W497" s="11" t="n"/>
      <c r="X497" s="11" t="n"/>
      <c r="Y497" s="12">
        <f>IF(V497="","",IFERROR(INDEX(DAFTAR_FIXTURE!$B$2:$B$51,MATCH(V497,DAFTAR_FIXTURE!$A$2:$A$51,0)),""))</f>
        <v/>
      </c>
      <c r="Z497" s="12">
        <f>IF(V497="","",IF(Y497="","CEK ID FIXTURE tidak ada di DAFTAR_FIXTURE",IF(W497="","CEK ZONA NO kosong",IF(ISNA(MATCH(Y497&amp;"|"&amp;W497,LAYOUT!$E$2:$E$80,0)),"CEK ZONA NO di luar layout",IF(X497&lt;&gt;INDEX(LAYOUT!$D$2:$D$80,MATCH(Y497&amp;"|"&amp;W497,LAYOUT!$E$2:$E$80,0)),"CEK JENIS ZONA",IF($D497="","Zona STOCK",IF($E497="","CEK SKU DESCRIPTION kosong","OK")))))))</f>
        <v/>
      </c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1" t="n"/>
      <c r="M498" s="11" t="n"/>
      <c r="N498" s="11" t="n"/>
      <c r="O498" s="12">
        <f>IF(L498="","",IFERROR(INDEX(DAFTAR_FIXTURE!$B$2:$B$51,MATCH(L498,DAFTAR_FIXTURE!$A$2:$A$51,0)),""))</f>
        <v/>
      </c>
      <c r="P498" s="12">
        <f>IF(AND($D498="",L498=""),"",IF(L498="",IF(AND(Q498="",V498=""),"Belum ditempatkan",""),IF(O498="","CEK ID FIXTURE tidak ada di DAFTAR_FIXTURE",IF(M498="","CEK ZONA NO kosong",IF(ISNA(MATCH(O498&amp;"|"&amp;M498,LAYOUT!$E$2:$E$80,0)),"CEK ZONA NO di luar layout",IF(N498&lt;&gt;INDEX(LAYOUT!$D$2:$D$80,MATCH(O498&amp;"|"&amp;M498,LAYOUT!$E$2:$E$80,0)),"CEK JENIS ZONA",IF($D498="","Zona STOCK",IF($E498="","CEK SKU DESCRIPTION kosong","OK"))))))))</f>
        <v/>
      </c>
      <c r="Q498" s="11" t="n"/>
      <c r="R498" s="11" t="n"/>
      <c r="S498" s="11" t="n"/>
      <c r="T498" s="12">
        <f>IF(Q498="","",IFERROR(INDEX(DAFTAR_FIXTURE!$B$2:$B$51,MATCH(Q498,DAFTAR_FIXTURE!$A$2:$A$51,0)),""))</f>
        <v/>
      </c>
      <c r="U498" s="12">
        <f>IF(Q498="","",IF(T498="","CEK ID FIXTURE tidak ada di DAFTAR_FIXTURE",IF(R498="","CEK ZONA NO kosong",IF(ISNA(MATCH(T498&amp;"|"&amp;R498,LAYOUT!$E$2:$E$80,0)),"CEK ZONA NO di luar layout",IF(S498&lt;&gt;INDEX(LAYOUT!$D$2:$D$80,MATCH(T498&amp;"|"&amp;R498,LAYOUT!$E$2:$E$80,0)),"CEK JENIS ZONA",IF($D498="","Zona STOCK",IF($E498="","CEK SKU DESCRIPTION kosong","OK")))))))</f>
        <v/>
      </c>
      <c r="V498" s="11" t="n"/>
      <c r="W498" s="11" t="n"/>
      <c r="X498" s="11" t="n"/>
      <c r="Y498" s="12">
        <f>IF(V498="","",IFERROR(INDEX(DAFTAR_FIXTURE!$B$2:$B$51,MATCH(V498,DAFTAR_FIXTURE!$A$2:$A$51,0)),""))</f>
        <v/>
      </c>
      <c r="Z498" s="12">
        <f>IF(V498="","",IF(Y498="","CEK ID FIXTURE tidak ada di DAFTAR_FIXTURE",IF(W498="","CEK ZONA NO kosong",IF(ISNA(MATCH(Y498&amp;"|"&amp;W498,LAYOUT!$E$2:$E$80,0)),"CEK ZONA NO di luar layout",IF(X498&lt;&gt;INDEX(LAYOUT!$D$2:$D$80,MATCH(Y498&amp;"|"&amp;W498,LAYOUT!$E$2:$E$80,0)),"CEK JENIS ZONA",IF($D498="","Zona STOCK",IF($E498="","CEK SKU DESCRIPTION kosong","OK")))))))</f>
        <v/>
      </c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1" t="n"/>
      <c r="M499" s="11" t="n"/>
      <c r="N499" s="11" t="n"/>
      <c r="O499" s="12">
        <f>IF(L499="","",IFERROR(INDEX(DAFTAR_FIXTURE!$B$2:$B$51,MATCH(L499,DAFTAR_FIXTURE!$A$2:$A$51,0)),""))</f>
        <v/>
      </c>
      <c r="P499" s="12">
        <f>IF(AND($D499="",L499=""),"",IF(L499="",IF(AND(Q499="",V499=""),"Belum ditempatkan",""),IF(O499="","CEK ID FIXTURE tidak ada di DAFTAR_FIXTURE",IF(M499="","CEK ZONA NO kosong",IF(ISNA(MATCH(O499&amp;"|"&amp;M499,LAYOUT!$E$2:$E$80,0)),"CEK ZONA NO di luar layout",IF(N499&lt;&gt;INDEX(LAYOUT!$D$2:$D$80,MATCH(O499&amp;"|"&amp;M499,LAYOUT!$E$2:$E$80,0)),"CEK JENIS ZONA",IF($D499="","Zona STOCK",IF($E499="","CEK SKU DESCRIPTION kosong","OK"))))))))</f>
        <v/>
      </c>
      <c r="Q499" s="11" t="n"/>
      <c r="R499" s="11" t="n"/>
      <c r="S499" s="11" t="n"/>
      <c r="T499" s="12">
        <f>IF(Q499="","",IFERROR(INDEX(DAFTAR_FIXTURE!$B$2:$B$51,MATCH(Q499,DAFTAR_FIXTURE!$A$2:$A$51,0)),""))</f>
        <v/>
      </c>
      <c r="U499" s="12">
        <f>IF(Q499="","",IF(T499="","CEK ID FIXTURE tidak ada di DAFTAR_FIXTURE",IF(R499="","CEK ZONA NO kosong",IF(ISNA(MATCH(T499&amp;"|"&amp;R499,LAYOUT!$E$2:$E$80,0)),"CEK ZONA NO di luar layout",IF(S499&lt;&gt;INDEX(LAYOUT!$D$2:$D$80,MATCH(T499&amp;"|"&amp;R499,LAYOUT!$E$2:$E$80,0)),"CEK JENIS ZONA",IF($D499="","Zona STOCK",IF($E499="","CEK SKU DESCRIPTION kosong","OK")))))))</f>
        <v/>
      </c>
      <c r="V499" s="11" t="n"/>
      <c r="W499" s="11" t="n"/>
      <c r="X499" s="11" t="n"/>
      <c r="Y499" s="12">
        <f>IF(V499="","",IFERROR(INDEX(DAFTAR_FIXTURE!$B$2:$B$51,MATCH(V499,DAFTAR_FIXTURE!$A$2:$A$51,0)),""))</f>
        <v/>
      </c>
      <c r="Z499" s="12">
        <f>IF(V499="","",IF(Y499="","CEK ID FIXTURE tidak ada di DAFTAR_FIXTURE",IF(W499="","CEK ZONA NO kosong",IF(ISNA(MATCH(Y499&amp;"|"&amp;W499,LAYOUT!$E$2:$E$80,0)),"CEK ZONA NO di luar layout",IF(X499&lt;&gt;INDEX(LAYOUT!$D$2:$D$80,MATCH(Y499&amp;"|"&amp;W499,LAYOUT!$E$2:$E$80,0)),"CEK JENIS ZONA",IF($D499="","Zona STOCK",IF($E499="","CEK SKU DESCRIPTION kosong","OK")))))))</f>
        <v/>
      </c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1" t="n"/>
      <c r="M500" s="11" t="n"/>
      <c r="N500" s="11" t="n"/>
      <c r="O500" s="12">
        <f>IF(L500="","",IFERROR(INDEX(DAFTAR_FIXTURE!$B$2:$B$51,MATCH(L500,DAFTAR_FIXTURE!$A$2:$A$51,0)),""))</f>
        <v/>
      </c>
      <c r="P500" s="12">
        <f>IF(AND($D500="",L500=""),"",IF(L500="",IF(AND(Q500="",V500=""),"Belum ditempatkan",""),IF(O500="","CEK ID FIXTURE tidak ada di DAFTAR_FIXTURE",IF(M500="","CEK ZONA NO kosong",IF(ISNA(MATCH(O500&amp;"|"&amp;M500,LAYOUT!$E$2:$E$80,0)),"CEK ZONA NO di luar layout",IF(N500&lt;&gt;INDEX(LAYOUT!$D$2:$D$80,MATCH(O500&amp;"|"&amp;M500,LAYOUT!$E$2:$E$80,0)),"CEK JENIS ZONA",IF($D500="","Zona STOCK",IF($E500="","CEK SKU DESCRIPTION kosong","OK"))))))))</f>
        <v/>
      </c>
      <c r="Q500" s="11" t="n"/>
      <c r="R500" s="11" t="n"/>
      <c r="S500" s="11" t="n"/>
      <c r="T500" s="12">
        <f>IF(Q500="","",IFERROR(INDEX(DAFTAR_FIXTURE!$B$2:$B$51,MATCH(Q500,DAFTAR_FIXTURE!$A$2:$A$51,0)),""))</f>
        <v/>
      </c>
      <c r="U500" s="12">
        <f>IF(Q500="","",IF(T500="","CEK ID FIXTURE tidak ada di DAFTAR_FIXTURE",IF(R500="","CEK ZONA NO kosong",IF(ISNA(MATCH(T500&amp;"|"&amp;R500,LAYOUT!$E$2:$E$80,0)),"CEK ZONA NO di luar layout",IF(S500&lt;&gt;INDEX(LAYOUT!$D$2:$D$80,MATCH(T500&amp;"|"&amp;R500,LAYOUT!$E$2:$E$80,0)),"CEK JENIS ZONA",IF($D500="","Zona STOCK",IF($E500="","CEK SKU DESCRIPTION kosong","OK")))))))</f>
        <v/>
      </c>
      <c r="V500" s="11" t="n"/>
      <c r="W500" s="11" t="n"/>
      <c r="X500" s="11" t="n"/>
      <c r="Y500" s="12">
        <f>IF(V500="","",IFERROR(INDEX(DAFTAR_FIXTURE!$B$2:$B$51,MATCH(V500,DAFTAR_FIXTURE!$A$2:$A$51,0)),""))</f>
        <v/>
      </c>
      <c r="Z500" s="12">
        <f>IF(V500="","",IF(Y500="","CEK ID FIXTURE tidak ada di DAFTAR_FIXTURE",IF(W500="","CEK ZONA NO kosong",IF(ISNA(MATCH(Y500&amp;"|"&amp;W500,LAYOUT!$E$2:$E$80,0)),"CEK ZONA NO di luar layout",IF(X500&lt;&gt;INDEX(LAYOUT!$D$2:$D$80,MATCH(Y500&amp;"|"&amp;W500,LAYOUT!$E$2:$E$80,0)),"CEK JENIS ZONA",IF($D500="","Zona STOCK",IF($E500="","CEK SKU DESCRIPTION kosong","OK")))))))</f>
        <v/>
      </c>
    </row>
  </sheetData>
  <autoFilter ref="A1:Z500"/>
  <conditionalFormatting sqref="P2:P500">
    <cfRule type="expression" priority="1" dxfId="0">
      <formula>LEFT($P2,3)="CEK"</formula>
    </cfRule>
    <cfRule type="expression" priority="2" dxfId="1">
      <formula>$P2="OK"</formula>
    </cfRule>
    <cfRule type="expression" priority="3" dxfId="2">
      <formula>OR($P2="Zona STOCK",$P2="Belum ditempatkan")</formula>
    </cfRule>
  </conditionalFormatting>
  <conditionalFormatting sqref="U2:U500">
    <cfRule type="expression" priority="1" dxfId="0">
      <formula>LEFT($U2,3)="CEK"</formula>
    </cfRule>
    <cfRule type="expression" priority="2" dxfId="1">
      <formula>$U2="OK"</formula>
    </cfRule>
    <cfRule type="expression" priority="3" dxfId="2">
      <formula>OR($U2="Zona STOCK",$U2="Belum ditempatkan")</formula>
    </cfRule>
  </conditionalFormatting>
  <conditionalFormatting sqref="Z2:Z500">
    <cfRule type="expression" priority="1" dxfId="0">
      <formula>LEFT($Z2,3)="CEK"</formula>
    </cfRule>
    <cfRule type="expression" priority="2" dxfId="1">
      <formula>$Z2="OK"</formula>
    </cfRule>
    <cfRule type="expression" priority="3" dxfId="2">
      <formula>OR($Z2="Zona STOCK",$Z2="Belum ditempatkan")</formula>
    </cfRule>
  </conditionalFormatting>
  <dataValidations count="3">
    <dataValidation sqref="L2:L500 Q2:Q500 V2:V500" showDropDown="0" showInputMessage="0" showErrorMessage="1" allowBlank="1" errorTitle="ID FIXTURE" error="Pilih ID dari daftar (kelola di sheet DAFTAR_FIXTURE)." type="list">
      <formula1>FIXTURE_IDS</formula1>
    </dataValidation>
    <dataValidation sqref="M2:M500 R2:R500 W2:W500" showDropDown="0" showInputMessage="0" showErrorMessage="1" allowBlank="1" errorTitle="Angka bulat" error="ZONA NO harus angka bulat mulai 1." type="whole" operator="greaterThanOrEqual">
      <formula1>1</formula1>
    </dataValidation>
    <dataValidation sqref="N2:N500 S2:S500 X2:X500" showDropDown="0" showInputMessage="0" showErrorMessage="0" allowBlank="1" type="list">
      <formula1>"Rak,Gantungan"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3" customWidth="1" min="4" max="4"/>
    <col width="16" customWidth="1" min="5" max="5"/>
    <col width="14" customWidth="1" min="6" max="6"/>
    <col width="16" customWidth="1" min="7" max="7"/>
    <col width="18" customWidth="1" min="8" max="8"/>
    <col width="28" customWidth="1" min="9" max="9"/>
    <col width="20" customWidth="1" min="10" max="10"/>
    <col width="26" customWidth="1" min="11" max="11"/>
    <col width="3" customWidth="1" min="12" max="12"/>
    <col width="34" customWidth="1" min="13" max="13"/>
    <col width="10" customWidth="1" min="14" max="14"/>
  </cols>
  <sheetData>
    <row r="1" ht="44" customHeight="1">
      <c r="A1" s="7" t="inlineStr">
        <is>
          <t>SKU *</t>
        </is>
      </c>
      <c r="B1" s="9" t="inlineStr">
        <is>
          <t>SKU DESCRIPTION (otomatis dari DATA)</t>
        </is>
      </c>
      <c r="C1" s="7" t="inlineStr">
        <is>
          <t>LEBAR (cm) *</t>
        </is>
      </c>
      <c r="D1" s="7" t="inlineStr">
        <is>
          <t>TINGGI (cm) *</t>
        </is>
      </c>
      <c r="E1" s="7" t="inlineStr">
        <is>
          <t>KEDALAMAN (cm) *</t>
        </is>
      </c>
      <c r="F1" s="7" t="inlineStr">
        <is>
          <t>FACING (opsional)</t>
        </is>
      </c>
      <c r="G1" s="7" t="inlineStr">
        <is>
          <t>MAKS SUSUN (opsional)</t>
        </is>
      </c>
      <c r="H1" s="7" t="inlineStr">
        <is>
          <t>BOLEH DIPUTAR (opsional)</t>
        </is>
      </c>
      <c r="I1" s="7" t="inlineStr">
        <is>
          <t>CATATAN (opsional)</t>
        </is>
      </c>
      <c r="J1" s="9" t="inlineStr">
        <is>
          <t>ESTIMASI PCS / FACING (otomatis)</t>
        </is>
      </c>
      <c r="K1" s="9" t="inlineStr">
        <is>
          <t>STATUS (otomatis)</t>
        </is>
      </c>
      <c r="M1" s="8" t="inlineStr">
        <is>
          <t>PARAMETER ESTIMASI (boleh diubah)</t>
        </is>
      </c>
      <c r="N1" s="8" t="inlineStr">
        <is>
          <t>nilai</t>
        </is>
      </c>
    </row>
    <row r="2">
      <c r="A2" s="10" t="inlineStr">
        <is>
          <t>10445959</t>
        </is>
      </c>
      <c r="B2" s="12">
        <f>IF(A2="","",IFERROR(INDEX(DATA!$E$2:$E$500,MATCH(A2,DATA!$D$2:$D$500,0)),""))</f>
        <v/>
      </c>
      <c r="C2" s="10" t="n">
        <v>36</v>
      </c>
      <c r="D2" s="10" t="n">
        <v>20</v>
      </c>
      <c r="E2" s="10" t="n">
        <v>28</v>
      </c>
      <c r="F2" s="10" t="n">
        <v>1</v>
      </c>
      <c r="G2" s="10" t="n">
        <v>1</v>
      </c>
      <c r="H2" s="10" t="inlineStr">
        <is>
          <t>Tidak</t>
        </is>
      </c>
      <c r="I2" s="10" t="inlineStr">
        <is>
          <t>contoh: ganti dengan ukuran asli</t>
        </is>
      </c>
      <c r="J2" s="12">
        <f>IF(OR(A2="",COUNT(C2:E2)&lt;3),"",IFERROR(MAX(0,FLOOR(($N$2-$N$3)/E2,1))*MAX(1,MIN(IF(G2="",1,G2),FLOOR($N$4/D2,1)))*IF(F2="",1,F2),""))</f>
        <v/>
      </c>
      <c r="K2" s="12">
        <f>IF(A2="","",IF(COUNTIF(DATA!$D$2:$D$500,A2)=0,"CEK SKU tidak ada di DATA",IF(COUNT(C2:E2)&lt;3,"CEK dimensi belum lengkap",IF(OR(C2&lt;=0,D2&lt;=0,E2&lt;=0),"CEK dimensi harus lebih dari 0",IF(COUNTIF($A$2:$A$500,A2)&gt;1,"CEK SKU dobel","OK")))))</f>
        <v/>
      </c>
      <c r="M2" s="12" t="inlineStr">
        <is>
          <t>Kedalaman rak (cm)</t>
        </is>
      </c>
      <c r="N2" s="10" t="n">
        <v>50</v>
      </c>
    </row>
    <row r="3">
      <c r="A3" s="10" t="inlineStr">
        <is>
          <t>10445960</t>
        </is>
      </c>
      <c r="B3" s="12">
        <f>IF(A3="","",IFERROR(INDEX(DATA!$E$2:$E$500,MATCH(A3,DATA!$D$2:$D$500,0)),""))</f>
        <v/>
      </c>
      <c r="C3" s="10" t="n">
        <v>38</v>
      </c>
      <c r="D3" s="10" t="n">
        <v>20</v>
      </c>
      <c r="E3" s="10" t="n">
        <v>28</v>
      </c>
      <c r="F3" s="10" t="n">
        <v>1</v>
      </c>
      <c r="G3" s="10" t="n">
        <v>1</v>
      </c>
      <c r="H3" s="10" t="inlineStr">
        <is>
          <t>Tidak</t>
        </is>
      </c>
      <c r="I3" s="10" t="inlineStr"/>
      <c r="J3" s="12">
        <f>IF(OR(A3="",COUNT(C3:E3)&lt;3),"",IFERROR(MAX(0,FLOOR(($N$2-$N$3)/E3,1))*MAX(1,MIN(IF(G3="",1,G3),FLOOR($N$4/D3,1)))*IF(F3="",1,F3),""))</f>
        <v/>
      </c>
      <c r="K3" s="12">
        <f>IF(A3="","",IF(COUNTIF(DATA!$D$2:$D$500,A3)=0,"CEK SKU tidak ada di DATA",IF(COUNT(C3:E3)&lt;3,"CEK dimensi belum lengkap",IF(OR(C3&lt;=0,D3&lt;=0,E3&lt;=0),"CEK dimensi harus lebih dari 0",IF(COUNTIF($A$2:$A$500,A3)&gt;1,"CEK SKU dobel","OK")))))</f>
        <v/>
      </c>
      <c r="M3" s="12" t="inlineStr">
        <is>
          <t>Ruang bebas depan-belakang (cm)</t>
        </is>
      </c>
      <c r="N3" s="10" t="n">
        <v>2</v>
      </c>
    </row>
    <row r="4">
      <c r="A4" s="10" t="inlineStr">
        <is>
          <t>10445961</t>
        </is>
      </c>
      <c r="B4" s="12">
        <f>IF(A4="","",IFERROR(INDEX(DATA!$E$2:$E$500,MATCH(A4,DATA!$D$2:$D$500,0)),""))</f>
        <v/>
      </c>
      <c r="C4" s="10" t="n">
        <v>34</v>
      </c>
      <c r="D4" s="10" t="n">
        <v>22</v>
      </c>
      <c r="E4" s="10" t="n">
        <v>34</v>
      </c>
      <c r="F4" s="10" t="n">
        <v>1</v>
      </c>
      <c r="G4" s="10" t="n">
        <v>1</v>
      </c>
      <c r="H4" s="10" t="inlineStr">
        <is>
          <t>Tidak</t>
        </is>
      </c>
      <c r="I4" s="10" t="inlineStr"/>
      <c r="J4" s="12">
        <f>IF(OR(A4="",COUNT(C4:E4)&lt;3),"",IFERROR(MAX(0,FLOOR(($N$2-$N$3)/E4,1))*MAX(1,MIN(IF(G4="",1,G4),FLOOR($N$4/D4,1)))*IF(F4="",1,F4),""))</f>
        <v/>
      </c>
      <c r="K4" s="12">
        <f>IF(A4="","",IF(COUNTIF(DATA!$D$2:$D$500,A4)=0,"CEK SKU tidak ada di DATA",IF(COUNT(C4:E4)&lt;3,"CEK dimensi belum lengkap",IF(OR(C4&lt;=0,D4&lt;=0,E4&lt;=0),"CEK dimensi harus lebih dari 0",IF(COUNTIF($A$2:$A$500,A4)&gt;1,"CEK SKU dobel","OK")))))</f>
        <v/>
      </c>
      <c r="M4" s="12" t="inlineStr">
        <is>
          <t>Tinggi ruang rak (cm)</t>
        </is>
      </c>
      <c r="N4" s="10" t="n">
        <v>35</v>
      </c>
    </row>
    <row r="5">
      <c r="A5" s="10" t="inlineStr">
        <is>
          <t>10445962</t>
        </is>
      </c>
      <c r="B5" s="12">
        <f>IF(A5="","",IFERROR(INDEX(DATA!$E$2:$E$500,MATCH(A5,DATA!$D$2:$D$500,0)),""))</f>
        <v/>
      </c>
      <c r="C5" s="10" t="n">
        <v>34</v>
      </c>
      <c r="D5" s="10" t="n">
        <v>22</v>
      </c>
      <c r="E5" s="10" t="n">
        <v>34</v>
      </c>
      <c r="F5" s="10" t="n">
        <v>1</v>
      </c>
      <c r="G5" s="10" t="n">
        <v>1</v>
      </c>
      <c r="H5" s="10" t="inlineStr">
        <is>
          <t>Tidak</t>
        </is>
      </c>
      <c r="I5" s="10" t="inlineStr"/>
      <c r="J5" s="12">
        <f>IF(OR(A5="",COUNT(C5:E5)&lt;3),"",IFERROR(MAX(0,FLOOR(($N$2-$N$3)/E5,1))*MAX(1,MIN(IF(G5="",1,G5),FLOOR($N$4/D5,1)))*IF(F5="",1,F5),""))</f>
        <v/>
      </c>
      <c r="K5" s="12">
        <f>IF(A5="","",IF(COUNTIF(DATA!$D$2:$D$500,A5)=0,"CEK SKU tidak ada di DATA",IF(COUNT(C5:E5)&lt;3,"CEK dimensi belum lengkap",IF(OR(C5&lt;=0,D5&lt;=0,E5&lt;=0),"CEK dimensi harus lebih dari 0",IF(COUNTIF($A$2:$A$500,A5)&gt;1,"CEK SKU dobel","OK")))))</f>
        <v/>
      </c>
      <c r="M5" s="12" t="inlineStr">
        <is>
          <t>Panjang gantungan (cm)</t>
        </is>
      </c>
      <c r="N5" s="10" t="n">
        <v>25</v>
      </c>
    </row>
    <row r="6">
      <c r="A6" s="10" t="inlineStr">
        <is>
          <t>10470029</t>
        </is>
      </c>
      <c r="B6" s="12">
        <f>IF(A6="","",IFERROR(INDEX(DATA!$E$2:$E$500,MATCH(A6,DATA!$D$2:$D$500,0)),""))</f>
        <v/>
      </c>
      <c r="C6" s="10" t="n">
        <v>30</v>
      </c>
      <c r="D6" s="10" t="n">
        <v>26</v>
      </c>
      <c r="E6" s="10" t="n">
        <v>30</v>
      </c>
      <c r="F6" s="10" t="n">
        <v>1</v>
      </c>
      <c r="G6" s="10" t="n">
        <v>2</v>
      </c>
      <c r="H6" s="10" t="inlineStr">
        <is>
          <t>Tidak</t>
        </is>
      </c>
      <c r="I6" s="10" t="inlineStr">
        <is>
          <t>boleh ditumpuk 2</t>
        </is>
      </c>
      <c r="J6" s="12">
        <f>IF(OR(A6="",COUNT(C6:E6)&lt;3),"",IFERROR(MAX(0,FLOOR(($N$2-$N$3)/E6,1))*MAX(1,MIN(IF(G6="",1,G6),FLOOR($N$4/D6,1)))*IF(F6="",1,F6),""))</f>
        <v/>
      </c>
      <c r="K6" s="12">
        <f>IF(A6="","",IF(COUNTIF(DATA!$D$2:$D$500,A6)=0,"CEK SKU tidak ada di DATA",IF(COUNT(C6:E6)&lt;3,"CEK dimensi belum lengkap",IF(OR(C6&lt;=0,D6&lt;=0,E6&lt;=0),"CEK dimensi harus lebih dari 0",IF(COUNTIF($A$2:$A$500,A6)&gt;1,"CEK SKU dobel","OK")))))</f>
        <v/>
      </c>
    </row>
    <row r="7">
      <c r="A7" s="10" t="inlineStr">
        <is>
          <t>10680419</t>
        </is>
      </c>
      <c r="B7" s="12">
        <f>IF(A7="","",IFERROR(INDEX(DATA!$E$2:$E$500,MATCH(A7,DATA!$D$2:$D$500,0)),""))</f>
        <v/>
      </c>
      <c r="C7" s="10" t="n">
        <v>24</v>
      </c>
      <c r="D7" s="10" t="n">
        <v>26</v>
      </c>
      <c r="E7" s="10" t="n">
        <v>24</v>
      </c>
      <c r="F7" s="10" t="n">
        <v>1</v>
      </c>
      <c r="G7" s="10" t="n">
        <v>2</v>
      </c>
      <c r="H7" s="10" t="inlineStr">
        <is>
          <t>Ya</t>
        </is>
      </c>
      <c r="I7" s="10" t="inlineStr">
        <is>
          <t>boleh diputar</t>
        </is>
      </c>
      <c r="J7" s="12">
        <f>IF(OR(A7="",COUNT(C7:E7)&lt;3),"",IFERROR(MAX(0,FLOOR(($N$2-$N$3)/E7,1))*MAX(1,MIN(IF(G7="",1,G7),FLOOR($N$4/D7,1)))*IF(F7="",1,F7),""))</f>
        <v/>
      </c>
      <c r="K7" s="12">
        <f>IF(A7="","",IF(COUNTIF(DATA!$D$2:$D$500,A7)=0,"CEK SKU tidak ada di DATA",IF(COUNT(C7:E7)&lt;3,"CEK dimensi belum lengkap",IF(OR(C7&lt;=0,D7&lt;=0,E7&lt;=0),"CEK dimensi harus lebih dari 0",IF(COUNTIF($A$2:$A$500,A7)&gt;1,"CEK SKU dobel","OK")))))</f>
        <v/>
      </c>
      <c r="M7" s="20" t="inlineStr">
        <is>
          <t>Catatan: kolom ESTIMASI hanya gambaran cepat untuk RAK (kedalaman rak 50 cm); tidak berlaku untuk kemasan gantung. Aplikasi memakai ukuran fixture dan zona yang sebenarnya, dan memakai "Panjang gantungan" untuk zona Gantungan.</t>
        </is>
      </c>
    </row>
    <row r="8">
      <c r="A8" s="10" t="inlineStr">
        <is>
          <t>10681571</t>
        </is>
      </c>
      <c r="B8" s="12">
        <f>IF(A8="","",IFERROR(INDEX(DATA!$E$2:$E$500,MATCH(A8,DATA!$D$2:$D$500,0)),""))</f>
        <v/>
      </c>
      <c r="C8" s="10" t="n">
        <v>26</v>
      </c>
      <c r="D8" s="10" t="n">
        <v>8</v>
      </c>
      <c r="E8" s="10" t="n">
        <v>26</v>
      </c>
      <c r="F8" s="10" t="n">
        <v>1</v>
      </c>
      <c r="G8" s="10" t="n">
        <v>4</v>
      </c>
      <c r="H8" s="10" t="inlineStr">
        <is>
          <t>Tidak</t>
        </is>
      </c>
      <c r="I8" s="10" t="inlineStr">
        <is>
          <t>piring datar: ditumpuk 4</t>
        </is>
      </c>
      <c r="J8" s="12">
        <f>IF(OR(A8="",COUNT(C8:E8)&lt;3),"",IFERROR(MAX(0,FLOOR(($N$2-$N$3)/E8,1))*MAX(1,MIN(IF(G8="",1,G8),FLOOR($N$4/D8,1)))*IF(F8="",1,F8),""))</f>
        <v/>
      </c>
      <c r="K8" s="12">
        <f>IF(A8="","",IF(COUNTIF(DATA!$D$2:$D$500,A8)=0,"CEK SKU tidak ada di DATA",IF(COUNT(C8:E8)&lt;3,"CEK dimensi belum lengkap",IF(OR(C8&lt;=0,D8&lt;=0,E8&lt;=0),"CEK dimensi harus lebih dari 0",IF(COUNTIF($A$2:$A$500,A8)&gt;1,"CEK SKU dobel","OK")))))</f>
        <v/>
      </c>
    </row>
    <row r="9">
      <c r="A9" s="10" t="inlineStr">
        <is>
          <t>238181</t>
        </is>
      </c>
      <c r="B9" s="12">
        <f>IF(A9="","",IFERROR(INDEX(DATA!$E$2:$E$500,MATCH(A9,DATA!$D$2:$D$500,0)),""))</f>
        <v/>
      </c>
      <c r="C9" s="10" t="n">
        <v>17</v>
      </c>
      <c r="D9" s="10" t="n">
        <v>6</v>
      </c>
      <c r="E9" s="10" t="n">
        <v>17</v>
      </c>
      <c r="F9" s="10" t="n">
        <v>1</v>
      </c>
      <c r="G9" s="10" t="n">
        <v>6</v>
      </c>
      <c r="H9" s="10" t="inlineStr">
        <is>
          <t>Tidak</t>
        </is>
      </c>
      <c r="I9" s="10" t="inlineStr">
        <is>
          <t>piring: ditumpuk 6</t>
        </is>
      </c>
      <c r="J9" s="12">
        <f>IF(OR(A9="",COUNT(C9:E9)&lt;3),"",IFERROR(MAX(0,FLOOR(($N$2-$N$3)/E9,1))*MAX(1,MIN(IF(G9="",1,G9),FLOOR($N$4/D9,1)))*IF(F9="",1,F9),""))</f>
        <v/>
      </c>
      <c r="K9" s="12">
        <f>IF(A9="","",IF(COUNTIF(DATA!$D$2:$D$500,A9)=0,"CEK SKU tidak ada di DATA",IF(COUNT(C9:E9)&lt;3,"CEK dimensi belum lengkap",IF(OR(C9&lt;=0,D9&lt;=0,E9&lt;=0),"CEK dimensi harus lebih dari 0",IF(COUNTIF($A$2:$A$500,A9)&gt;1,"CEK SKU dobel","OK")))))</f>
        <v/>
      </c>
    </row>
    <row r="10">
      <c r="A10" s="10" t="inlineStr">
        <is>
          <t>10421603</t>
        </is>
      </c>
      <c r="B10" s="12">
        <f>IF(A10="","",IFERROR(INDEX(DATA!$E$2:$E$500,MATCH(A10,DATA!$D$2:$D$500,0)),""))</f>
        <v/>
      </c>
      <c r="C10" s="10" t="n">
        <v>18</v>
      </c>
      <c r="D10" s="10" t="n">
        <v>32</v>
      </c>
      <c r="E10" s="10" t="n">
        <v>6</v>
      </c>
      <c r="F10" s="10" t="n">
        <v>1</v>
      </c>
      <c r="G10" s="10" t="n">
        <v>1</v>
      </c>
      <c r="H10" s="10" t="inlineStr">
        <is>
          <t>Tidak</t>
        </is>
      </c>
      <c r="I10" s="10" t="inlineStr">
        <is>
          <t>kemasan gantung: kedalaman = tebal kemasan</t>
        </is>
      </c>
      <c r="J10" s="12">
        <f>IF(OR(A10="",COUNT(C10:E10)&lt;3),"",IFERROR(MAX(0,FLOOR(($N$2-$N$3)/E10,1))*MAX(1,MIN(IF(G10="",1,G10),FLOOR($N$4/D10,1)))*IF(F10="",1,F10),""))</f>
        <v/>
      </c>
      <c r="K10" s="12">
        <f>IF(A10="","",IF(COUNTIF(DATA!$D$2:$D$500,A10)=0,"CEK SKU tidak ada di DATA",IF(COUNT(C10:E10)&lt;3,"CEK dimensi belum lengkap",IF(OR(C10&lt;=0,D10&lt;=0,E10&lt;=0),"CEK dimensi harus lebih dari 0",IF(COUNTIF($A$2:$A$500,A10)&gt;1,"CEK SKU dobel","OK")))))</f>
        <v/>
      </c>
    </row>
    <row r="11">
      <c r="A11" s="10" t="inlineStr">
        <is>
          <t>10198150</t>
        </is>
      </c>
      <c r="B11" s="12">
        <f>IF(A11="","",IFERROR(INDEX(DATA!$E$2:$E$500,MATCH(A11,DATA!$D$2:$D$500,0)),""))</f>
        <v/>
      </c>
      <c r="C11" s="10" t="n">
        <v>9</v>
      </c>
      <c r="D11" s="10" t="n">
        <v>28</v>
      </c>
      <c r="E11" s="10" t="n">
        <v>2.5</v>
      </c>
      <c r="F11" s="10" t="n">
        <v>1</v>
      </c>
      <c r="G11" s="10" t="n">
        <v>1</v>
      </c>
      <c r="H11" s="10" t="inlineStr">
        <is>
          <t>Tidak</t>
        </is>
      </c>
      <c r="I11" s="10" t="inlineStr">
        <is>
          <t>blister alat dapur</t>
        </is>
      </c>
      <c r="J11" s="12">
        <f>IF(OR(A11="",COUNT(C11:E11)&lt;3),"",IFERROR(MAX(0,FLOOR(($N$2-$N$3)/E11,1))*MAX(1,MIN(IF(G11="",1,G11),FLOOR($N$4/D11,1)))*IF(F11="",1,F11),""))</f>
        <v/>
      </c>
      <c r="K11" s="12">
        <f>IF(A11="","",IF(COUNTIF(DATA!$D$2:$D$500,A11)=0,"CEK SKU tidak ada di DATA",IF(COUNT(C11:E11)&lt;3,"CEK dimensi belum lengkap",IF(OR(C11&lt;=0,D11&lt;=0,E11&lt;=0),"CEK dimensi harus lebih dari 0",IF(COUNTIF($A$2:$A$500,A11)&gt;1,"CEK SKU dobel","OK")))))</f>
        <v/>
      </c>
    </row>
    <row r="12">
      <c r="A12" s="10" t="n"/>
      <c r="B12" s="12">
        <f>IF(A12="","",IFERROR(INDEX(DATA!$E$2:$E$500,MATCH(A12,DATA!$D$2:$D$500,0)),""))</f>
        <v/>
      </c>
      <c r="C12" s="10" t="n"/>
      <c r="D12" s="10" t="n"/>
      <c r="E12" s="10" t="n"/>
      <c r="F12" s="10" t="n"/>
      <c r="G12" s="10" t="n"/>
      <c r="H12" s="10" t="n"/>
      <c r="I12" s="10" t="n"/>
      <c r="J12" s="12">
        <f>IF(OR(A12="",COUNT(C12:E12)&lt;3),"",IFERROR(MAX(0,FLOOR(($N$2-$N$3)/E12,1))*MAX(1,MIN(IF(G12="",1,G12),FLOOR($N$4/D12,1)))*IF(F12="",1,F12),""))</f>
        <v/>
      </c>
      <c r="K12" s="12">
        <f>IF(A12="","",IF(COUNTIF(DATA!$D$2:$D$500,A12)=0,"CEK SKU tidak ada di DATA",IF(COUNT(C12:E12)&lt;3,"CEK dimensi belum lengkap",IF(OR(C12&lt;=0,D12&lt;=0,E12&lt;=0),"CEK dimensi harus lebih dari 0",IF(COUNTIF($A$2:$A$500,A12)&gt;1,"CEK SKU dobel","OK")))))</f>
        <v/>
      </c>
    </row>
    <row r="13">
      <c r="A13" s="10" t="n"/>
      <c r="B13" s="12">
        <f>IF(A13="","",IFERROR(INDEX(DATA!$E$2:$E$500,MATCH(A13,DATA!$D$2:$D$500,0)),""))</f>
        <v/>
      </c>
      <c r="C13" s="10" t="n"/>
      <c r="D13" s="10" t="n"/>
      <c r="E13" s="10" t="n"/>
      <c r="F13" s="10" t="n"/>
      <c r="G13" s="10" t="n"/>
      <c r="H13" s="10" t="n"/>
      <c r="I13" s="10" t="n"/>
      <c r="J13" s="12">
        <f>IF(OR(A13="",COUNT(C13:E13)&lt;3),"",IFERROR(MAX(0,FLOOR(($N$2-$N$3)/E13,1))*MAX(1,MIN(IF(G13="",1,G13),FLOOR($N$4/D13,1)))*IF(F13="",1,F13),""))</f>
        <v/>
      </c>
      <c r="K13" s="12">
        <f>IF(A13="","",IF(COUNTIF(DATA!$D$2:$D$500,A13)=0,"CEK SKU tidak ada di DATA",IF(COUNT(C13:E13)&lt;3,"CEK dimensi belum lengkap",IF(OR(C13&lt;=0,D13&lt;=0,E13&lt;=0),"CEK dimensi harus lebih dari 0",IF(COUNTIF($A$2:$A$500,A13)&gt;1,"CEK SKU dobel","OK")))))</f>
        <v/>
      </c>
    </row>
    <row r="14">
      <c r="A14" s="10" t="n"/>
      <c r="B14" s="12">
        <f>IF(A14="","",IFERROR(INDEX(DATA!$E$2:$E$500,MATCH(A14,DATA!$D$2:$D$500,0)),""))</f>
        <v/>
      </c>
      <c r="C14" s="10" t="n"/>
      <c r="D14" s="10" t="n"/>
      <c r="E14" s="10" t="n"/>
      <c r="F14" s="10" t="n"/>
      <c r="G14" s="10" t="n"/>
      <c r="H14" s="10" t="n"/>
      <c r="I14" s="10" t="n"/>
      <c r="J14" s="12">
        <f>IF(OR(A14="",COUNT(C14:E14)&lt;3),"",IFERROR(MAX(0,FLOOR(($N$2-$N$3)/E14,1))*MAX(1,MIN(IF(G14="",1,G14),FLOOR($N$4/D14,1)))*IF(F14="",1,F14),""))</f>
        <v/>
      </c>
      <c r="K14" s="12">
        <f>IF(A14="","",IF(COUNTIF(DATA!$D$2:$D$500,A14)=0,"CEK SKU tidak ada di DATA",IF(COUNT(C14:E14)&lt;3,"CEK dimensi belum lengkap",IF(OR(C14&lt;=0,D14&lt;=0,E14&lt;=0),"CEK dimensi harus lebih dari 0",IF(COUNTIF($A$2:$A$500,A14)&gt;1,"CEK SKU dobel","OK")))))</f>
        <v/>
      </c>
    </row>
    <row r="15">
      <c r="A15" s="10" t="n"/>
      <c r="B15" s="12">
        <f>IF(A15="","",IFERROR(INDEX(DATA!$E$2:$E$500,MATCH(A15,DATA!$D$2:$D$500,0)),""))</f>
        <v/>
      </c>
      <c r="C15" s="10" t="n"/>
      <c r="D15" s="10" t="n"/>
      <c r="E15" s="10" t="n"/>
      <c r="F15" s="10" t="n"/>
      <c r="G15" s="10" t="n"/>
      <c r="H15" s="10" t="n"/>
      <c r="I15" s="10" t="n"/>
      <c r="J15" s="12">
        <f>IF(OR(A15="",COUNT(C15:E15)&lt;3),"",IFERROR(MAX(0,FLOOR(($N$2-$N$3)/E15,1))*MAX(1,MIN(IF(G15="",1,G15),FLOOR($N$4/D15,1)))*IF(F15="",1,F15),""))</f>
        <v/>
      </c>
      <c r="K15" s="12">
        <f>IF(A15="","",IF(COUNTIF(DATA!$D$2:$D$500,A15)=0,"CEK SKU tidak ada di DATA",IF(COUNT(C15:E15)&lt;3,"CEK dimensi belum lengkap",IF(OR(C15&lt;=0,D15&lt;=0,E15&lt;=0),"CEK dimensi harus lebih dari 0",IF(COUNTIF($A$2:$A$500,A15)&gt;1,"CEK SKU dobel","OK")))))</f>
        <v/>
      </c>
    </row>
    <row r="16">
      <c r="A16" s="10" t="n"/>
      <c r="B16" s="12">
        <f>IF(A16="","",IFERROR(INDEX(DATA!$E$2:$E$500,MATCH(A16,DATA!$D$2:$D$500,0)),""))</f>
        <v/>
      </c>
      <c r="C16" s="10" t="n"/>
      <c r="D16" s="10" t="n"/>
      <c r="E16" s="10" t="n"/>
      <c r="F16" s="10" t="n"/>
      <c r="G16" s="10" t="n"/>
      <c r="H16" s="10" t="n"/>
      <c r="I16" s="10" t="n"/>
      <c r="J16" s="12">
        <f>IF(OR(A16="",COUNT(C16:E16)&lt;3),"",IFERROR(MAX(0,FLOOR(($N$2-$N$3)/E16,1))*MAX(1,MIN(IF(G16="",1,G16),FLOOR($N$4/D16,1)))*IF(F16="",1,F16),""))</f>
        <v/>
      </c>
      <c r="K16" s="12">
        <f>IF(A16="","",IF(COUNTIF(DATA!$D$2:$D$500,A16)=0,"CEK SKU tidak ada di DATA",IF(COUNT(C16:E16)&lt;3,"CEK dimensi belum lengkap",IF(OR(C16&lt;=0,D16&lt;=0,E16&lt;=0),"CEK dimensi harus lebih dari 0",IF(COUNTIF($A$2:$A$500,A16)&gt;1,"CEK SKU dobel","OK")))))</f>
        <v/>
      </c>
    </row>
    <row r="17">
      <c r="A17" s="10" t="n"/>
      <c r="B17" s="12">
        <f>IF(A17="","",IFERROR(INDEX(DATA!$E$2:$E$500,MATCH(A17,DATA!$D$2:$D$500,0)),""))</f>
        <v/>
      </c>
      <c r="C17" s="10" t="n"/>
      <c r="D17" s="10" t="n"/>
      <c r="E17" s="10" t="n"/>
      <c r="F17" s="10" t="n"/>
      <c r="G17" s="10" t="n"/>
      <c r="H17" s="10" t="n"/>
      <c r="I17" s="10" t="n"/>
      <c r="J17" s="12">
        <f>IF(OR(A17="",COUNT(C17:E17)&lt;3),"",IFERROR(MAX(0,FLOOR(($N$2-$N$3)/E17,1))*MAX(1,MIN(IF(G17="",1,G17),FLOOR($N$4/D17,1)))*IF(F17="",1,F17),""))</f>
        <v/>
      </c>
      <c r="K17" s="12">
        <f>IF(A17="","",IF(COUNTIF(DATA!$D$2:$D$500,A17)=0,"CEK SKU tidak ada di DATA",IF(COUNT(C17:E17)&lt;3,"CEK dimensi belum lengkap",IF(OR(C17&lt;=0,D17&lt;=0,E17&lt;=0),"CEK dimensi harus lebih dari 0",IF(COUNTIF($A$2:$A$500,A17)&gt;1,"CEK SKU dobel","OK")))))</f>
        <v/>
      </c>
    </row>
    <row r="18">
      <c r="A18" s="10" t="n"/>
      <c r="B18" s="12">
        <f>IF(A18="","",IFERROR(INDEX(DATA!$E$2:$E$500,MATCH(A18,DATA!$D$2:$D$500,0)),""))</f>
        <v/>
      </c>
      <c r="C18" s="10" t="n"/>
      <c r="D18" s="10" t="n"/>
      <c r="E18" s="10" t="n"/>
      <c r="F18" s="10" t="n"/>
      <c r="G18" s="10" t="n"/>
      <c r="H18" s="10" t="n"/>
      <c r="I18" s="10" t="n"/>
      <c r="J18" s="12">
        <f>IF(OR(A18="",COUNT(C18:E18)&lt;3),"",IFERROR(MAX(0,FLOOR(($N$2-$N$3)/E18,1))*MAX(1,MIN(IF(G18="",1,G18),FLOOR($N$4/D18,1)))*IF(F18="",1,F18),""))</f>
        <v/>
      </c>
      <c r="K18" s="12">
        <f>IF(A18="","",IF(COUNTIF(DATA!$D$2:$D$500,A18)=0,"CEK SKU tidak ada di DATA",IF(COUNT(C18:E18)&lt;3,"CEK dimensi belum lengkap",IF(OR(C18&lt;=0,D18&lt;=0,E18&lt;=0),"CEK dimensi harus lebih dari 0",IF(COUNTIF($A$2:$A$500,A18)&gt;1,"CEK SKU dobel","OK")))))</f>
        <v/>
      </c>
    </row>
    <row r="19">
      <c r="A19" s="10" t="n"/>
      <c r="B19" s="12">
        <f>IF(A19="","",IFERROR(INDEX(DATA!$E$2:$E$500,MATCH(A19,DATA!$D$2:$D$500,0)),""))</f>
        <v/>
      </c>
      <c r="C19" s="10" t="n"/>
      <c r="D19" s="10" t="n"/>
      <c r="E19" s="10" t="n"/>
      <c r="F19" s="10" t="n"/>
      <c r="G19" s="10" t="n"/>
      <c r="H19" s="10" t="n"/>
      <c r="I19" s="10" t="n"/>
      <c r="J19" s="12">
        <f>IF(OR(A19="",COUNT(C19:E19)&lt;3),"",IFERROR(MAX(0,FLOOR(($N$2-$N$3)/E19,1))*MAX(1,MIN(IF(G19="",1,G19),FLOOR($N$4/D19,1)))*IF(F19="",1,F19),""))</f>
        <v/>
      </c>
      <c r="K19" s="12">
        <f>IF(A19="","",IF(COUNTIF(DATA!$D$2:$D$500,A19)=0,"CEK SKU tidak ada di DATA",IF(COUNT(C19:E19)&lt;3,"CEK dimensi belum lengkap",IF(OR(C19&lt;=0,D19&lt;=0,E19&lt;=0),"CEK dimensi harus lebih dari 0",IF(COUNTIF($A$2:$A$500,A19)&gt;1,"CEK SKU dobel","OK")))))</f>
        <v/>
      </c>
    </row>
    <row r="20">
      <c r="A20" s="10" t="n"/>
      <c r="B20" s="12">
        <f>IF(A20="","",IFERROR(INDEX(DATA!$E$2:$E$500,MATCH(A20,DATA!$D$2:$D$500,0)),""))</f>
        <v/>
      </c>
      <c r="C20" s="10" t="n"/>
      <c r="D20" s="10" t="n"/>
      <c r="E20" s="10" t="n"/>
      <c r="F20" s="10" t="n"/>
      <c r="G20" s="10" t="n"/>
      <c r="H20" s="10" t="n"/>
      <c r="I20" s="10" t="n"/>
      <c r="J20" s="12">
        <f>IF(OR(A20="",COUNT(C20:E20)&lt;3),"",IFERROR(MAX(0,FLOOR(($N$2-$N$3)/E20,1))*MAX(1,MIN(IF(G20="",1,G20),FLOOR($N$4/D20,1)))*IF(F20="",1,F20),""))</f>
        <v/>
      </c>
      <c r="K20" s="12">
        <f>IF(A20="","",IF(COUNTIF(DATA!$D$2:$D$500,A20)=0,"CEK SKU tidak ada di DATA",IF(COUNT(C20:E20)&lt;3,"CEK dimensi belum lengkap",IF(OR(C20&lt;=0,D20&lt;=0,E20&lt;=0),"CEK dimensi harus lebih dari 0",IF(COUNTIF($A$2:$A$500,A20)&gt;1,"CEK SKU dobel","OK")))))</f>
        <v/>
      </c>
    </row>
    <row r="21">
      <c r="A21" s="10" t="n"/>
      <c r="B21" s="12">
        <f>IF(A21="","",IFERROR(INDEX(DATA!$E$2:$E$500,MATCH(A21,DATA!$D$2:$D$500,0)),""))</f>
        <v/>
      </c>
      <c r="C21" s="10" t="n"/>
      <c r="D21" s="10" t="n"/>
      <c r="E21" s="10" t="n"/>
      <c r="F21" s="10" t="n"/>
      <c r="G21" s="10" t="n"/>
      <c r="H21" s="10" t="n"/>
      <c r="I21" s="10" t="n"/>
      <c r="J21" s="12">
        <f>IF(OR(A21="",COUNT(C21:E21)&lt;3),"",IFERROR(MAX(0,FLOOR(($N$2-$N$3)/E21,1))*MAX(1,MIN(IF(G21="",1,G21),FLOOR($N$4/D21,1)))*IF(F21="",1,F21),""))</f>
        <v/>
      </c>
      <c r="K21" s="12">
        <f>IF(A21="","",IF(COUNTIF(DATA!$D$2:$D$500,A21)=0,"CEK SKU tidak ada di DATA",IF(COUNT(C21:E21)&lt;3,"CEK dimensi belum lengkap",IF(OR(C21&lt;=0,D21&lt;=0,E21&lt;=0),"CEK dimensi harus lebih dari 0",IF(COUNTIF($A$2:$A$500,A21)&gt;1,"CEK SKU dobel","OK")))))</f>
        <v/>
      </c>
    </row>
    <row r="22">
      <c r="A22" s="10" t="n"/>
      <c r="B22" s="12">
        <f>IF(A22="","",IFERROR(INDEX(DATA!$E$2:$E$500,MATCH(A22,DATA!$D$2:$D$500,0)),""))</f>
        <v/>
      </c>
      <c r="C22" s="10" t="n"/>
      <c r="D22" s="10" t="n"/>
      <c r="E22" s="10" t="n"/>
      <c r="F22" s="10" t="n"/>
      <c r="G22" s="10" t="n"/>
      <c r="H22" s="10" t="n"/>
      <c r="I22" s="10" t="n"/>
      <c r="J22" s="12">
        <f>IF(OR(A22="",COUNT(C22:E22)&lt;3),"",IFERROR(MAX(0,FLOOR(($N$2-$N$3)/E22,1))*MAX(1,MIN(IF(G22="",1,G22),FLOOR($N$4/D22,1)))*IF(F22="",1,F22),""))</f>
        <v/>
      </c>
      <c r="K22" s="12">
        <f>IF(A22="","",IF(COUNTIF(DATA!$D$2:$D$500,A22)=0,"CEK SKU tidak ada di DATA",IF(COUNT(C22:E22)&lt;3,"CEK dimensi belum lengkap",IF(OR(C22&lt;=0,D22&lt;=0,E22&lt;=0),"CEK dimensi harus lebih dari 0",IF(COUNTIF($A$2:$A$500,A22)&gt;1,"CEK SKU dobel","OK")))))</f>
        <v/>
      </c>
    </row>
    <row r="23">
      <c r="A23" s="10" t="n"/>
      <c r="B23" s="12">
        <f>IF(A23="","",IFERROR(INDEX(DATA!$E$2:$E$500,MATCH(A23,DATA!$D$2:$D$500,0)),""))</f>
        <v/>
      </c>
      <c r="C23" s="10" t="n"/>
      <c r="D23" s="10" t="n"/>
      <c r="E23" s="10" t="n"/>
      <c r="F23" s="10" t="n"/>
      <c r="G23" s="10" t="n"/>
      <c r="H23" s="10" t="n"/>
      <c r="I23" s="10" t="n"/>
      <c r="J23" s="12">
        <f>IF(OR(A23="",COUNT(C23:E23)&lt;3),"",IFERROR(MAX(0,FLOOR(($N$2-$N$3)/E23,1))*MAX(1,MIN(IF(G23="",1,G23),FLOOR($N$4/D23,1)))*IF(F23="",1,F23),""))</f>
        <v/>
      </c>
      <c r="K23" s="12">
        <f>IF(A23="","",IF(COUNTIF(DATA!$D$2:$D$500,A23)=0,"CEK SKU tidak ada di DATA",IF(COUNT(C23:E23)&lt;3,"CEK dimensi belum lengkap",IF(OR(C23&lt;=0,D23&lt;=0,E23&lt;=0),"CEK dimensi harus lebih dari 0",IF(COUNTIF($A$2:$A$500,A23)&gt;1,"CEK SKU dobel","OK")))))</f>
        <v/>
      </c>
    </row>
    <row r="24">
      <c r="A24" s="10" t="n"/>
      <c r="B24" s="12">
        <f>IF(A24="","",IFERROR(INDEX(DATA!$E$2:$E$500,MATCH(A24,DATA!$D$2:$D$500,0)),""))</f>
        <v/>
      </c>
      <c r="C24" s="10" t="n"/>
      <c r="D24" s="10" t="n"/>
      <c r="E24" s="10" t="n"/>
      <c r="F24" s="10" t="n"/>
      <c r="G24" s="10" t="n"/>
      <c r="H24" s="10" t="n"/>
      <c r="I24" s="10" t="n"/>
      <c r="J24" s="12">
        <f>IF(OR(A24="",COUNT(C24:E24)&lt;3),"",IFERROR(MAX(0,FLOOR(($N$2-$N$3)/E24,1))*MAX(1,MIN(IF(G24="",1,G24),FLOOR($N$4/D24,1)))*IF(F24="",1,F24),""))</f>
        <v/>
      </c>
      <c r="K24" s="12">
        <f>IF(A24="","",IF(COUNTIF(DATA!$D$2:$D$500,A24)=0,"CEK SKU tidak ada di DATA",IF(COUNT(C24:E24)&lt;3,"CEK dimensi belum lengkap",IF(OR(C24&lt;=0,D24&lt;=0,E24&lt;=0),"CEK dimensi harus lebih dari 0",IF(COUNTIF($A$2:$A$500,A24)&gt;1,"CEK SKU dobel","OK")))))</f>
        <v/>
      </c>
    </row>
    <row r="25">
      <c r="A25" s="10" t="n"/>
      <c r="B25" s="12">
        <f>IF(A25="","",IFERROR(INDEX(DATA!$E$2:$E$500,MATCH(A25,DATA!$D$2:$D$500,0)),""))</f>
        <v/>
      </c>
      <c r="C25" s="10" t="n"/>
      <c r="D25" s="10" t="n"/>
      <c r="E25" s="10" t="n"/>
      <c r="F25" s="10" t="n"/>
      <c r="G25" s="10" t="n"/>
      <c r="H25" s="10" t="n"/>
      <c r="I25" s="10" t="n"/>
      <c r="J25" s="12">
        <f>IF(OR(A25="",COUNT(C25:E25)&lt;3),"",IFERROR(MAX(0,FLOOR(($N$2-$N$3)/E25,1))*MAX(1,MIN(IF(G25="",1,G25),FLOOR($N$4/D25,1)))*IF(F25="",1,F25),""))</f>
        <v/>
      </c>
      <c r="K25" s="12">
        <f>IF(A25="","",IF(COUNTIF(DATA!$D$2:$D$500,A25)=0,"CEK SKU tidak ada di DATA",IF(COUNT(C25:E25)&lt;3,"CEK dimensi belum lengkap",IF(OR(C25&lt;=0,D25&lt;=0,E25&lt;=0),"CEK dimensi harus lebih dari 0",IF(COUNTIF($A$2:$A$500,A25)&gt;1,"CEK SKU dobel","OK")))))</f>
        <v/>
      </c>
    </row>
    <row r="26">
      <c r="A26" s="10" t="n"/>
      <c r="B26" s="12">
        <f>IF(A26="","",IFERROR(INDEX(DATA!$E$2:$E$500,MATCH(A26,DATA!$D$2:$D$500,0)),""))</f>
        <v/>
      </c>
      <c r="C26" s="10" t="n"/>
      <c r="D26" s="10" t="n"/>
      <c r="E26" s="10" t="n"/>
      <c r="F26" s="10" t="n"/>
      <c r="G26" s="10" t="n"/>
      <c r="H26" s="10" t="n"/>
      <c r="I26" s="10" t="n"/>
      <c r="J26" s="12">
        <f>IF(OR(A26="",COUNT(C26:E26)&lt;3),"",IFERROR(MAX(0,FLOOR(($N$2-$N$3)/E26,1))*MAX(1,MIN(IF(G26="",1,G26),FLOOR($N$4/D26,1)))*IF(F26="",1,F26),""))</f>
        <v/>
      </c>
      <c r="K26" s="12">
        <f>IF(A26="","",IF(COUNTIF(DATA!$D$2:$D$500,A26)=0,"CEK SKU tidak ada di DATA",IF(COUNT(C26:E26)&lt;3,"CEK dimensi belum lengkap",IF(OR(C26&lt;=0,D26&lt;=0,E26&lt;=0),"CEK dimensi harus lebih dari 0",IF(COUNTIF($A$2:$A$500,A26)&gt;1,"CEK SKU dobel","OK")))))</f>
        <v/>
      </c>
    </row>
    <row r="27">
      <c r="A27" s="10" t="n"/>
      <c r="B27" s="12">
        <f>IF(A27="","",IFERROR(INDEX(DATA!$E$2:$E$500,MATCH(A27,DATA!$D$2:$D$500,0)),""))</f>
        <v/>
      </c>
      <c r="C27" s="10" t="n"/>
      <c r="D27" s="10" t="n"/>
      <c r="E27" s="10" t="n"/>
      <c r="F27" s="10" t="n"/>
      <c r="G27" s="10" t="n"/>
      <c r="H27" s="10" t="n"/>
      <c r="I27" s="10" t="n"/>
      <c r="J27" s="12">
        <f>IF(OR(A27="",COUNT(C27:E27)&lt;3),"",IFERROR(MAX(0,FLOOR(($N$2-$N$3)/E27,1))*MAX(1,MIN(IF(G27="",1,G27),FLOOR($N$4/D27,1)))*IF(F27="",1,F27),""))</f>
        <v/>
      </c>
      <c r="K27" s="12">
        <f>IF(A27="","",IF(COUNTIF(DATA!$D$2:$D$500,A27)=0,"CEK SKU tidak ada di DATA",IF(COUNT(C27:E27)&lt;3,"CEK dimensi belum lengkap",IF(OR(C27&lt;=0,D27&lt;=0,E27&lt;=0),"CEK dimensi harus lebih dari 0",IF(COUNTIF($A$2:$A$500,A27)&gt;1,"CEK SKU dobel","OK")))))</f>
        <v/>
      </c>
    </row>
    <row r="28">
      <c r="A28" s="10" t="n"/>
      <c r="B28" s="12">
        <f>IF(A28="","",IFERROR(INDEX(DATA!$E$2:$E$500,MATCH(A28,DATA!$D$2:$D$500,0)),""))</f>
        <v/>
      </c>
      <c r="C28" s="10" t="n"/>
      <c r="D28" s="10" t="n"/>
      <c r="E28" s="10" t="n"/>
      <c r="F28" s="10" t="n"/>
      <c r="G28" s="10" t="n"/>
      <c r="H28" s="10" t="n"/>
      <c r="I28" s="10" t="n"/>
      <c r="J28" s="12">
        <f>IF(OR(A28="",COUNT(C28:E28)&lt;3),"",IFERROR(MAX(0,FLOOR(($N$2-$N$3)/E28,1))*MAX(1,MIN(IF(G28="",1,G28),FLOOR($N$4/D28,1)))*IF(F28="",1,F28),""))</f>
        <v/>
      </c>
      <c r="K28" s="12">
        <f>IF(A28="","",IF(COUNTIF(DATA!$D$2:$D$500,A28)=0,"CEK SKU tidak ada di DATA",IF(COUNT(C28:E28)&lt;3,"CEK dimensi belum lengkap",IF(OR(C28&lt;=0,D28&lt;=0,E28&lt;=0),"CEK dimensi harus lebih dari 0",IF(COUNTIF($A$2:$A$500,A28)&gt;1,"CEK SKU dobel","OK")))))</f>
        <v/>
      </c>
    </row>
    <row r="29">
      <c r="A29" s="10" t="n"/>
      <c r="B29" s="12">
        <f>IF(A29="","",IFERROR(INDEX(DATA!$E$2:$E$500,MATCH(A29,DATA!$D$2:$D$500,0)),""))</f>
        <v/>
      </c>
      <c r="C29" s="10" t="n"/>
      <c r="D29" s="10" t="n"/>
      <c r="E29" s="10" t="n"/>
      <c r="F29" s="10" t="n"/>
      <c r="G29" s="10" t="n"/>
      <c r="H29" s="10" t="n"/>
      <c r="I29" s="10" t="n"/>
      <c r="J29" s="12">
        <f>IF(OR(A29="",COUNT(C29:E29)&lt;3),"",IFERROR(MAX(0,FLOOR(($N$2-$N$3)/E29,1))*MAX(1,MIN(IF(G29="",1,G29),FLOOR($N$4/D29,1)))*IF(F29="",1,F29),""))</f>
        <v/>
      </c>
      <c r="K29" s="12">
        <f>IF(A29="","",IF(COUNTIF(DATA!$D$2:$D$500,A29)=0,"CEK SKU tidak ada di DATA",IF(COUNT(C29:E29)&lt;3,"CEK dimensi belum lengkap",IF(OR(C29&lt;=0,D29&lt;=0,E29&lt;=0),"CEK dimensi harus lebih dari 0",IF(COUNTIF($A$2:$A$500,A29)&gt;1,"CEK SKU dobel","OK")))))</f>
        <v/>
      </c>
    </row>
    <row r="30">
      <c r="A30" s="10" t="n"/>
      <c r="B30" s="12">
        <f>IF(A30="","",IFERROR(INDEX(DATA!$E$2:$E$500,MATCH(A30,DATA!$D$2:$D$500,0)),""))</f>
        <v/>
      </c>
      <c r="C30" s="10" t="n"/>
      <c r="D30" s="10" t="n"/>
      <c r="E30" s="10" t="n"/>
      <c r="F30" s="10" t="n"/>
      <c r="G30" s="10" t="n"/>
      <c r="H30" s="10" t="n"/>
      <c r="I30" s="10" t="n"/>
      <c r="J30" s="12">
        <f>IF(OR(A30="",COUNT(C30:E30)&lt;3),"",IFERROR(MAX(0,FLOOR(($N$2-$N$3)/E30,1))*MAX(1,MIN(IF(G30="",1,G30),FLOOR($N$4/D30,1)))*IF(F30="",1,F30),""))</f>
        <v/>
      </c>
      <c r="K30" s="12">
        <f>IF(A30="","",IF(COUNTIF(DATA!$D$2:$D$500,A30)=0,"CEK SKU tidak ada di DATA",IF(COUNT(C30:E30)&lt;3,"CEK dimensi belum lengkap",IF(OR(C30&lt;=0,D30&lt;=0,E30&lt;=0),"CEK dimensi harus lebih dari 0",IF(COUNTIF($A$2:$A$500,A30)&gt;1,"CEK SKU dobel","OK")))))</f>
        <v/>
      </c>
    </row>
    <row r="31">
      <c r="A31" s="10" t="n"/>
      <c r="B31" s="12">
        <f>IF(A31="","",IFERROR(INDEX(DATA!$E$2:$E$500,MATCH(A31,DATA!$D$2:$D$500,0)),""))</f>
        <v/>
      </c>
      <c r="C31" s="10" t="n"/>
      <c r="D31" s="10" t="n"/>
      <c r="E31" s="10" t="n"/>
      <c r="F31" s="10" t="n"/>
      <c r="G31" s="10" t="n"/>
      <c r="H31" s="10" t="n"/>
      <c r="I31" s="10" t="n"/>
      <c r="J31" s="12">
        <f>IF(OR(A31="",COUNT(C31:E31)&lt;3),"",IFERROR(MAX(0,FLOOR(($N$2-$N$3)/E31,1))*MAX(1,MIN(IF(G31="",1,G31),FLOOR($N$4/D31,1)))*IF(F31="",1,F31),""))</f>
        <v/>
      </c>
      <c r="K31" s="12">
        <f>IF(A31="","",IF(COUNTIF(DATA!$D$2:$D$500,A31)=0,"CEK SKU tidak ada di DATA",IF(COUNT(C31:E31)&lt;3,"CEK dimensi belum lengkap",IF(OR(C31&lt;=0,D31&lt;=0,E31&lt;=0),"CEK dimensi harus lebih dari 0",IF(COUNTIF($A$2:$A$500,A31)&gt;1,"CEK SKU dobel","OK")))))</f>
        <v/>
      </c>
    </row>
    <row r="32">
      <c r="A32" s="10" t="n"/>
      <c r="B32" s="12">
        <f>IF(A32="","",IFERROR(INDEX(DATA!$E$2:$E$500,MATCH(A32,DATA!$D$2:$D$500,0)),""))</f>
        <v/>
      </c>
      <c r="C32" s="10" t="n"/>
      <c r="D32" s="10" t="n"/>
      <c r="E32" s="10" t="n"/>
      <c r="F32" s="10" t="n"/>
      <c r="G32" s="10" t="n"/>
      <c r="H32" s="10" t="n"/>
      <c r="I32" s="10" t="n"/>
      <c r="J32" s="12">
        <f>IF(OR(A32="",COUNT(C32:E32)&lt;3),"",IFERROR(MAX(0,FLOOR(($N$2-$N$3)/E32,1))*MAX(1,MIN(IF(G32="",1,G32),FLOOR($N$4/D32,1)))*IF(F32="",1,F32),""))</f>
        <v/>
      </c>
      <c r="K32" s="12">
        <f>IF(A32="","",IF(COUNTIF(DATA!$D$2:$D$500,A32)=0,"CEK SKU tidak ada di DATA",IF(COUNT(C32:E32)&lt;3,"CEK dimensi belum lengkap",IF(OR(C32&lt;=0,D32&lt;=0,E32&lt;=0),"CEK dimensi harus lebih dari 0",IF(COUNTIF($A$2:$A$500,A32)&gt;1,"CEK SKU dobel","OK")))))</f>
        <v/>
      </c>
    </row>
    <row r="33">
      <c r="A33" s="10" t="n"/>
      <c r="B33" s="12">
        <f>IF(A33="","",IFERROR(INDEX(DATA!$E$2:$E$500,MATCH(A33,DATA!$D$2:$D$500,0)),""))</f>
        <v/>
      </c>
      <c r="C33" s="10" t="n"/>
      <c r="D33" s="10" t="n"/>
      <c r="E33" s="10" t="n"/>
      <c r="F33" s="10" t="n"/>
      <c r="G33" s="10" t="n"/>
      <c r="H33" s="10" t="n"/>
      <c r="I33" s="10" t="n"/>
      <c r="J33" s="12">
        <f>IF(OR(A33="",COUNT(C33:E33)&lt;3),"",IFERROR(MAX(0,FLOOR(($N$2-$N$3)/E33,1))*MAX(1,MIN(IF(G33="",1,G33),FLOOR($N$4/D33,1)))*IF(F33="",1,F33),""))</f>
        <v/>
      </c>
      <c r="K33" s="12">
        <f>IF(A33="","",IF(COUNTIF(DATA!$D$2:$D$500,A33)=0,"CEK SKU tidak ada di DATA",IF(COUNT(C33:E33)&lt;3,"CEK dimensi belum lengkap",IF(OR(C33&lt;=0,D33&lt;=0,E33&lt;=0),"CEK dimensi harus lebih dari 0",IF(COUNTIF($A$2:$A$500,A33)&gt;1,"CEK SKU dobel","OK")))))</f>
        <v/>
      </c>
    </row>
    <row r="34">
      <c r="A34" s="10" t="n"/>
      <c r="B34" s="12">
        <f>IF(A34="","",IFERROR(INDEX(DATA!$E$2:$E$500,MATCH(A34,DATA!$D$2:$D$500,0)),""))</f>
        <v/>
      </c>
      <c r="C34" s="10" t="n"/>
      <c r="D34" s="10" t="n"/>
      <c r="E34" s="10" t="n"/>
      <c r="F34" s="10" t="n"/>
      <c r="G34" s="10" t="n"/>
      <c r="H34" s="10" t="n"/>
      <c r="I34" s="10" t="n"/>
      <c r="J34" s="12">
        <f>IF(OR(A34="",COUNT(C34:E34)&lt;3),"",IFERROR(MAX(0,FLOOR(($N$2-$N$3)/E34,1))*MAX(1,MIN(IF(G34="",1,G34),FLOOR($N$4/D34,1)))*IF(F34="",1,F34),""))</f>
        <v/>
      </c>
      <c r="K34" s="12">
        <f>IF(A34="","",IF(COUNTIF(DATA!$D$2:$D$500,A34)=0,"CEK SKU tidak ada di DATA",IF(COUNT(C34:E34)&lt;3,"CEK dimensi belum lengkap",IF(OR(C34&lt;=0,D34&lt;=0,E34&lt;=0),"CEK dimensi harus lebih dari 0",IF(COUNTIF($A$2:$A$500,A34)&gt;1,"CEK SKU dobel","OK")))))</f>
        <v/>
      </c>
    </row>
    <row r="35">
      <c r="A35" s="10" t="n"/>
      <c r="B35" s="12">
        <f>IF(A35="","",IFERROR(INDEX(DATA!$E$2:$E$500,MATCH(A35,DATA!$D$2:$D$500,0)),""))</f>
        <v/>
      </c>
      <c r="C35" s="10" t="n"/>
      <c r="D35" s="10" t="n"/>
      <c r="E35" s="10" t="n"/>
      <c r="F35" s="10" t="n"/>
      <c r="G35" s="10" t="n"/>
      <c r="H35" s="10" t="n"/>
      <c r="I35" s="10" t="n"/>
      <c r="J35" s="12">
        <f>IF(OR(A35="",COUNT(C35:E35)&lt;3),"",IFERROR(MAX(0,FLOOR(($N$2-$N$3)/E35,1))*MAX(1,MIN(IF(G35="",1,G35),FLOOR($N$4/D35,1)))*IF(F35="",1,F35),""))</f>
        <v/>
      </c>
      <c r="K35" s="12">
        <f>IF(A35="","",IF(COUNTIF(DATA!$D$2:$D$500,A35)=0,"CEK SKU tidak ada di DATA",IF(COUNT(C35:E35)&lt;3,"CEK dimensi belum lengkap",IF(OR(C35&lt;=0,D35&lt;=0,E35&lt;=0),"CEK dimensi harus lebih dari 0",IF(COUNTIF($A$2:$A$500,A35)&gt;1,"CEK SKU dobel","OK")))))</f>
        <v/>
      </c>
    </row>
    <row r="36">
      <c r="A36" s="10" t="n"/>
      <c r="B36" s="12">
        <f>IF(A36="","",IFERROR(INDEX(DATA!$E$2:$E$500,MATCH(A36,DATA!$D$2:$D$500,0)),""))</f>
        <v/>
      </c>
      <c r="C36" s="10" t="n"/>
      <c r="D36" s="10" t="n"/>
      <c r="E36" s="10" t="n"/>
      <c r="F36" s="10" t="n"/>
      <c r="G36" s="10" t="n"/>
      <c r="H36" s="10" t="n"/>
      <c r="I36" s="10" t="n"/>
      <c r="J36" s="12">
        <f>IF(OR(A36="",COUNT(C36:E36)&lt;3),"",IFERROR(MAX(0,FLOOR(($N$2-$N$3)/E36,1))*MAX(1,MIN(IF(G36="",1,G36),FLOOR($N$4/D36,1)))*IF(F36="",1,F36),""))</f>
        <v/>
      </c>
      <c r="K36" s="12">
        <f>IF(A36="","",IF(COUNTIF(DATA!$D$2:$D$500,A36)=0,"CEK SKU tidak ada di DATA",IF(COUNT(C36:E36)&lt;3,"CEK dimensi belum lengkap",IF(OR(C36&lt;=0,D36&lt;=0,E36&lt;=0),"CEK dimensi harus lebih dari 0",IF(COUNTIF($A$2:$A$500,A36)&gt;1,"CEK SKU dobel","OK")))))</f>
        <v/>
      </c>
    </row>
    <row r="37">
      <c r="A37" s="10" t="n"/>
      <c r="B37" s="12">
        <f>IF(A37="","",IFERROR(INDEX(DATA!$E$2:$E$500,MATCH(A37,DATA!$D$2:$D$500,0)),""))</f>
        <v/>
      </c>
      <c r="C37" s="10" t="n"/>
      <c r="D37" s="10" t="n"/>
      <c r="E37" s="10" t="n"/>
      <c r="F37" s="10" t="n"/>
      <c r="G37" s="10" t="n"/>
      <c r="H37" s="10" t="n"/>
      <c r="I37" s="10" t="n"/>
      <c r="J37" s="12">
        <f>IF(OR(A37="",COUNT(C37:E37)&lt;3),"",IFERROR(MAX(0,FLOOR(($N$2-$N$3)/E37,1))*MAX(1,MIN(IF(G37="",1,G37),FLOOR($N$4/D37,1)))*IF(F37="",1,F37),""))</f>
        <v/>
      </c>
      <c r="K37" s="12">
        <f>IF(A37="","",IF(COUNTIF(DATA!$D$2:$D$500,A37)=0,"CEK SKU tidak ada di DATA",IF(COUNT(C37:E37)&lt;3,"CEK dimensi belum lengkap",IF(OR(C37&lt;=0,D37&lt;=0,E37&lt;=0),"CEK dimensi harus lebih dari 0",IF(COUNTIF($A$2:$A$500,A37)&gt;1,"CEK SKU dobel","OK")))))</f>
        <v/>
      </c>
    </row>
    <row r="38">
      <c r="A38" s="10" t="n"/>
      <c r="B38" s="12">
        <f>IF(A38="","",IFERROR(INDEX(DATA!$E$2:$E$500,MATCH(A38,DATA!$D$2:$D$500,0)),""))</f>
        <v/>
      </c>
      <c r="C38" s="10" t="n"/>
      <c r="D38" s="10" t="n"/>
      <c r="E38" s="10" t="n"/>
      <c r="F38" s="10" t="n"/>
      <c r="G38" s="10" t="n"/>
      <c r="H38" s="10" t="n"/>
      <c r="I38" s="10" t="n"/>
      <c r="J38" s="12">
        <f>IF(OR(A38="",COUNT(C38:E38)&lt;3),"",IFERROR(MAX(0,FLOOR(($N$2-$N$3)/E38,1))*MAX(1,MIN(IF(G38="",1,G38),FLOOR($N$4/D38,1)))*IF(F38="",1,F38),""))</f>
        <v/>
      </c>
      <c r="K38" s="12">
        <f>IF(A38="","",IF(COUNTIF(DATA!$D$2:$D$500,A38)=0,"CEK SKU tidak ada di DATA",IF(COUNT(C38:E38)&lt;3,"CEK dimensi belum lengkap",IF(OR(C38&lt;=0,D38&lt;=0,E38&lt;=0),"CEK dimensi harus lebih dari 0",IF(COUNTIF($A$2:$A$500,A38)&gt;1,"CEK SKU dobel","OK")))))</f>
        <v/>
      </c>
    </row>
    <row r="39">
      <c r="A39" s="10" t="n"/>
      <c r="B39" s="12">
        <f>IF(A39="","",IFERROR(INDEX(DATA!$E$2:$E$500,MATCH(A39,DATA!$D$2:$D$500,0)),""))</f>
        <v/>
      </c>
      <c r="C39" s="10" t="n"/>
      <c r="D39" s="10" t="n"/>
      <c r="E39" s="10" t="n"/>
      <c r="F39" s="10" t="n"/>
      <c r="G39" s="10" t="n"/>
      <c r="H39" s="10" t="n"/>
      <c r="I39" s="10" t="n"/>
      <c r="J39" s="12">
        <f>IF(OR(A39="",COUNT(C39:E39)&lt;3),"",IFERROR(MAX(0,FLOOR(($N$2-$N$3)/E39,1))*MAX(1,MIN(IF(G39="",1,G39),FLOOR($N$4/D39,1)))*IF(F39="",1,F39),""))</f>
        <v/>
      </c>
      <c r="K39" s="12">
        <f>IF(A39="","",IF(COUNTIF(DATA!$D$2:$D$500,A39)=0,"CEK SKU tidak ada di DATA",IF(COUNT(C39:E39)&lt;3,"CEK dimensi belum lengkap",IF(OR(C39&lt;=0,D39&lt;=0,E39&lt;=0),"CEK dimensi harus lebih dari 0",IF(COUNTIF($A$2:$A$500,A39)&gt;1,"CEK SKU dobel","OK")))))</f>
        <v/>
      </c>
    </row>
    <row r="40">
      <c r="A40" s="10" t="n"/>
      <c r="B40" s="12">
        <f>IF(A40="","",IFERROR(INDEX(DATA!$E$2:$E$500,MATCH(A40,DATA!$D$2:$D$500,0)),""))</f>
        <v/>
      </c>
      <c r="C40" s="10" t="n"/>
      <c r="D40" s="10" t="n"/>
      <c r="E40" s="10" t="n"/>
      <c r="F40" s="10" t="n"/>
      <c r="G40" s="10" t="n"/>
      <c r="H40" s="10" t="n"/>
      <c r="I40" s="10" t="n"/>
      <c r="J40" s="12">
        <f>IF(OR(A40="",COUNT(C40:E40)&lt;3),"",IFERROR(MAX(0,FLOOR(($N$2-$N$3)/E40,1))*MAX(1,MIN(IF(G40="",1,G40),FLOOR($N$4/D40,1)))*IF(F40="",1,F40),""))</f>
        <v/>
      </c>
      <c r="K40" s="12">
        <f>IF(A40="","",IF(COUNTIF(DATA!$D$2:$D$500,A40)=0,"CEK SKU tidak ada di DATA",IF(COUNT(C40:E40)&lt;3,"CEK dimensi belum lengkap",IF(OR(C40&lt;=0,D40&lt;=0,E40&lt;=0),"CEK dimensi harus lebih dari 0",IF(COUNTIF($A$2:$A$500,A40)&gt;1,"CEK SKU dobel","OK")))))</f>
        <v/>
      </c>
    </row>
    <row r="41">
      <c r="A41" s="10" t="n"/>
      <c r="B41" s="12">
        <f>IF(A41="","",IFERROR(INDEX(DATA!$E$2:$E$500,MATCH(A41,DATA!$D$2:$D$500,0)),""))</f>
        <v/>
      </c>
      <c r="C41" s="10" t="n"/>
      <c r="D41" s="10" t="n"/>
      <c r="E41" s="10" t="n"/>
      <c r="F41" s="10" t="n"/>
      <c r="G41" s="10" t="n"/>
      <c r="H41" s="10" t="n"/>
      <c r="I41" s="10" t="n"/>
      <c r="J41" s="12">
        <f>IF(OR(A41="",COUNT(C41:E41)&lt;3),"",IFERROR(MAX(0,FLOOR(($N$2-$N$3)/E41,1))*MAX(1,MIN(IF(G41="",1,G41),FLOOR($N$4/D41,1)))*IF(F41="",1,F41),""))</f>
        <v/>
      </c>
      <c r="K41" s="12">
        <f>IF(A41="","",IF(COUNTIF(DATA!$D$2:$D$500,A41)=0,"CEK SKU tidak ada di DATA",IF(COUNT(C41:E41)&lt;3,"CEK dimensi belum lengkap",IF(OR(C41&lt;=0,D41&lt;=0,E41&lt;=0),"CEK dimensi harus lebih dari 0",IF(COUNTIF($A$2:$A$500,A41)&gt;1,"CEK SKU dobel","OK")))))</f>
        <v/>
      </c>
    </row>
    <row r="42">
      <c r="A42" s="10" t="n"/>
      <c r="B42" s="12">
        <f>IF(A42="","",IFERROR(INDEX(DATA!$E$2:$E$500,MATCH(A42,DATA!$D$2:$D$500,0)),""))</f>
        <v/>
      </c>
      <c r="C42" s="10" t="n"/>
      <c r="D42" s="10" t="n"/>
      <c r="E42" s="10" t="n"/>
      <c r="F42" s="10" t="n"/>
      <c r="G42" s="10" t="n"/>
      <c r="H42" s="10" t="n"/>
      <c r="I42" s="10" t="n"/>
      <c r="J42" s="12">
        <f>IF(OR(A42="",COUNT(C42:E42)&lt;3),"",IFERROR(MAX(0,FLOOR(($N$2-$N$3)/E42,1))*MAX(1,MIN(IF(G42="",1,G42),FLOOR($N$4/D42,1)))*IF(F42="",1,F42),""))</f>
        <v/>
      </c>
      <c r="K42" s="12">
        <f>IF(A42="","",IF(COUNTIF(DATA!$D$2:$D$500,A42)=0,"CEK SKU tidak ada di DATA",IF(COUNT(C42:E42)&lt;3,"CEK dimensi belum lengkap",IF(OR(C42&lt;=0,D42&lt;=0,E42&lt;=0),"CEK dimensi harus lebih dari 0",IF(COUNTIF($A$2:$A$500,A42)&gt;1,"CEK SKU dobel","OK")))))</f>
        <v/>
      </c>
    </row>
    <row r="43">
      <c r="A43" s="10" t="n"/>
      <c r="B43" s="12">
        <f>IF(A43="","",IFERROR(INDEX(DATA!$E$2:$E$500,MATCH(A43,DATA!$D$2:$D$500,0)),""))</f>
        <v/>
      </c>
      <c r="C43" s="10" t="n"/>
      <c r="D43" s="10" t="n"/>
      <c r="E43" s="10" t="n"/>
      <c r="F43" s="10" t="n"/>
      <c r="G43" s="10" t="n"/>
      <c r="H43" s="10" t="n"/>
      <c r="I43" s="10" t="n"/>
      <c r="J43" s="12">
        <f>IF(OR(A43="",COUNT(C43:E43)&lt;3),"",IFERROR(MAX(0,FLOOR(($N$2-$N$3)/E43,1))*MAX(1,MIN(IF(G43="",1,G43),FLOOR($N$4/D43,1)))*IF(F43="",1,F43),""))</f>
        <v/>
      </c>
      <c r="K43" s="12">
        <f>IF(A43="","",IF(COUNTIF(DATA!$D$2:$D$500,A43)=0,"CEK SKU tidak ada di DATA",IF(COUNT(C43:E43)&lt;3,"CEK dimensi belum lengkap",IF(OR(C43&lt;=0,D43&lt;=0,E43&lt;=0),"CEK dimensi harus lebih dari 0",IF(COUNTIF($A$2:$A$500,A43)&gt;1,"CEK SKU dobel","OK")))))</f>
        <v/>
      </c>
    </row>
    <row r="44">
      <c r="A44" s="10" t="n"/>
      <c r="B44" s="12">
        <f>IF(A44="","",IFERROR(INDEX(DATA!$E$2:$E$500,MATCH(A44,DATA!$D$2:$D$500,0)),""))</f>
        <v/>
      </c>
      <c r="C44" s="10" t="n"/>
      <c r="D44" s="10" t="n"/>
      <c r="E44" s="10" t="n"/>
      <c r="F44" s="10" t="n"/>
      <c r="G44" s="10" t="n"/>
      <c r="H44" s="10" t="n"/>
      <c r="I44" s="10" t="n"/>
      <c r="J44" s="12">
        <f>IF(OR(A44="",COUNT(C44:E44)&lt;3),"",IFERROR(MAX(0,FLOOR(($N$2-$N$3)/E44,1))*MAX(1,MIN(IF(G44="",1,G44),FLOOR($N$4/D44,1)))*IF(F44="",1,F44),""))</f>
        <v/>
      </c>
      <c r="K44" s="12">
        <f>IF(A44="","",IF(COUNTIF(DATA!$D$2:$D$500,A44)=0,"CEK SKU tidak ada di DATA",IF(COUNT(C44:E44)&lt;3,"CEK dimensi belum lengkap",IF(OR(C44&lt;=0,D44&lt;=0,E44&lt;=0),"CEK dimensi harus lebih dari 0",IF(COUNTIF($A$2:$A$500,A44)&gt;1,"CEK SKU dobel","OK")))))</f>
        <v/>
      </c>
    </row>
    <row r="45">
      <c r="A45" s="10" t="n"/>
      <c r="B45" s="12">
        <f>IF(A45="","",IFERROR(INDEX(DATA!$E$2:$E$500,MATCH(A45,DATA!$D$2:$D$500,0)),""))</f>
        <v/>
      </c>
      <c r="C45" s="10" t="n"/>
      <c r="D45" s="10" t="n"/>
      <c r="E45" s="10" t="n"/>
      <c r="F45" s="10" t="n"/>
      <c r="G45" s="10" t="n"/>
      <c r="H45" s="10" t="n"/>
      <c r="I45" s="10" t="n"/>
      <c r="J45" s="12">
        <f>IF(OR(A45="",COUNT(C45:E45)&lt;3),"",IFERROR(MAX(0,FLOOR(($N$2-$N$3)/E45,1))*MAX(1,MIN(IF(G45="",1,G45),FLOOR($N$4/D45,1)))*IF(F45="",1,F45),""))</f>
        <v/>
      </c>
      <c r="K45" s="12">
        <f>IF(A45="","",IF(COUNTIF(DATA!$D$2:$D$500,A45)=0,"CEK SKU tidak ada di DATA",IF(COUNT(C45:E45)&lt;3,"CEK dimensi belum lengkap",IF(OR(C45&lt;=0,D45&lt;=0,E45&lt;=0),"CEK dimensi harus lebih dari 0",IF(COUNTIF($A$2:$A$500,A45)&gt;1,"CEK SKU dobel","OK")))))</f>
        <v/>
      </c>
    </row>
    <row r="46">
      <c r="A46" s="10" t="n"/>
      <c r="B46" s="12">
        <f>IF(A46="","",IFERROR(INDEX(DATA!$E$2:$E$500,MATCH(A46,DATA!$D$2:$D$500,0)),""))</f>
        <v/>
      </c>
      <c r="C46" s="10" t="n"/>
      <c r="D46" s="10" t="n"/>
      <c r="E46" s="10" t="n"/>
      <c r="F46" s="10" t="n"/>
      <c r="G46" s="10" t="n"/>
      <c r="H46" s="10" t="n"/>
      <c r="I46" s="10" t="n"/>
      <c r="J46" s="12">
        <f>IF(OR(A46="",COUNT(C46:E46)&lt;3),"",IFERROR(MAX(0,FLOOR(($N$2-$N$3)/E46,1))*MAX(1,MIN(IF(G46="",1,G46),FLOOR($N$4/D46,1)))*IF(F46="",1,F46),""))</f>
        <v/>
      </c>
      <c r="K46" s="12">
        <f>IF(A46="","",IF(COUNTIF(DATA!$D$2:$D$500,A46)=0,"CEK SKU tidak ada di DATA",IF(COUNT(C46:E46)&lt;3,"CEK dimensi belum lengkap",IF(OR(C46&lt;=0,D46&lt;=0,E46&lt;=0),"CEK dimensi harus lebih dari 0",IF(COUNTIF($A$2:$A$500,A46)&gt;1,"CEK SKU dobel","OK")))))</f>
        <v/>
      </c>
    </row>
    <row r="47">
      <c r="A47" s="10" t="n"/>
      <c r="B47" s="12">
        <f>IF(A47="","",IFERROR(INDEX(DATA!$E$2:$E$500,MATCH(A47,DATA!$D$2:$D$500,0)),""))</f>
        <v/>
      </c>
      <c r="C47" s="10" t="n"/>
      <c r="D47" s="10" t="n"/>
      <c r="E47" s="10" t="n"/>
      <c r="F47" s="10" t="n"/>
      <c r="G47" s="10" t="n"/>
      <c r="H47" s="10" t="n"/>
      <c r="I47" s="10" t="n"/>
      <c r="J47" s="12">
        <f>IF(OR(A47="",COUNT(C47:E47)&lt;3),"",IFERROR(MAX(0,FLOOR(($N$2-$N$3)/E47,1))*MAX(1,MIN(IF(G47="",1,G47),FLOOR($N$4/D47,1)))*IF(F47="",1,F47),""))</f>
        <v/>
      </c>
      <c r="K47" s="12">
        <f>IF(A47="","",IF(COUNTIF(DATA!$D$2:$D$500,A47)=0,"CEK SKU tidak ada di DATA",IF(COUNT(C47:E47)&lt;3,"CEK dimensi belum lengkap",IF(OR(C47&lt;=0,D47&lt;=0,E47&lt;=0),"CEK dimensi harus lebih dari 0",IF(COUNTIF($A$2:$A$500,A47)&gt;1,"CEK SKU dobel","OK")))))</f>
        <v/>
      </c>
    </row>
    <row r="48">
      <c r="A48" s="10" t="n"/>
      <c r="B48" s="12">
        <f>IF(A48="","",IFERROR(INDEX(DATA!$E$2:$E$500,MATCH(A48,DATA!$D$2:$D$500,0)),""))</f>
        <v/>
      </c>
      <c r="C48" s="10" t="n"/>
      <c r="D48" s="10" t="n"/>
      <c r="E48" s="10" t="n"/>
      <c r="F48" s="10" t="n"/>
      <c r="G48" s="10" t="n"/>
      <c r="H48" s="10" t="n"/>
      <c r="I48" s="10" t="n"/>
      <c r="J48" s="12">
        <f>IF(OR(A48="",COUNT(C48:E48)&lt;3),"",IFERROR(MAX(0,FLOOR(($N$2-$N$3)/E48,1))*MAX(1,MIN(IF(G48="",1,G48),FLOOR($N$4/D48,1)))*IF(F48="",1,F48),""))</f>
        <v/>
      </c>
      <c r="K48" s="12">
        <f>IF(A48="","",IF(COUNTIF(DATA!$D$2:$D$500,A48)=0,"CEK SKU tidak ada di DATA",IF(COUNT(C48:E48)&lt;3,"CEK dimensi belum lengkap",IF(OR(C48&lt;=0,D48&lt;=0,E48&lt;=0),"CEK dimensi harus lebih dari 0",IF(COUNTIF($A$2:$A$500,A48)&gt;1,"CEK SKU dobel","OK")))))</f>
        <v/>
      </c>
    </row>
    <row r="49">
      <c r="A49" s="10" t="n"/>
      <c r="B49" s="12">
        <f>IF(A49="","",IFERROR(INDEX(DATA!$E$2:$E$500,MATCH(A49,DATA!$D$2:$D$500,0)),""))</f>
        <v/>
      </c>
      <c r="C49" s="10" t="n"/>
      <c r="D49" s="10" t="n"/>
      <c r="E49" s="10" t="n"/>
      <c r="F49" s="10" t="n"/>
      <c r="G49" s="10" t="n"/>
      <c r="H49" s="10" t="n"/>
      <c r="I49" s="10" t="n"/>
      <c r="J49" s="12">
        <f>IF(OR(A49="",COUNT(C49:E49)&lt;3),"",IFERROR(MAX(0,FLOOR(($N$2-$N$3)/E49,1))*MAX(1,MIN(IF(G49="",1,G49),FLOOR($N$4/D49,1)))*IF(F49="",1,F49),""))</f>
        <v/>
      </c>
      <c r="K49" s="12">
        <f>IF(A49="","",IF(COUNTIF(DATA!$D$2:$D$500,A49)=0,"CEK SKU tidak ada di DATA",IF(COUNT(C49:E49)&lt;3,"CEK dimensi belum lengkap",IF(OR(C49&lt;=0,D49&lt;=0,E49&lt;=0),"CEK dimensi harus lebih dari 0",IF(COUNTIF($A$2:$A$500,A49)&gt;1,"CEK SKU dobel","OK")))))</f>
        <v/>
      </c>
    </row>
    <row r="50">
      <c r="A50" s="10" t="n"/>
      <c r="B50" s="12">
        <f>IF(A50="","",IFERROR(INDEX(DATA!$E$2:$E$500,MATCH(A50,DATA!$D$2:$D$500,0)),""))</f>
        <v/>
      </c>
      <c r="C50" s="10" t="n"/>
      <c r="D50" s="10" t="n"/>
      <c r="E50" s="10" t="n"/>
      <c r="F50" s="10" t="n"/>
      <c r="G50" s="10" t="n"/>
      <c r="H50" s="10" t="n"/>
      <c r="I50" s="10" t="n"/>
      <c r="J50" s="12">
        <f>IF(OR(A50="",COUNT(C50:E50)&lt;3),"",IFERROR(MAX(0,FLOOR(($N$2-$N$3)/E50,1))*MAX(1,MIN(IF(G50="",1,G50),FLOOR($N$4/D50,1)))*IF(F50="",1,F50),""))</f>
        <v/>
      </c>
      <c r="K50" s="12">
        <f>IF(A50="","",IF(COUNTIF(DATA!$D$2:$D$500,A50)=0,"CEK SKU tidak ada di DATA",IF(COUNT(C50:E50)&lt;3,"CEK dimensi belum lengkap",IF(OR(C50&lt;=0,D50&lt;=0,E50&lt;=0),"CEK dimensi harus lebih dari 0",IF(COUNTIF($A$2:$A$500,A50)&gt;1,"CEK SKU dobel","OK")))))</f>
        <v/>
      </c>
    </row>
    <row r="51">
      <c r="A51" s="10" t="n"/>
      <c r="B51" s="12">
        <f>IF(A51="","",IFERROR(INDEX(DATA!$E$2:$E$500,MATCH(A51,DATA!$D$2:$D$500,0)),""))</f>
        <v/>
      </c>
      <c r="C51" s="10" t="n"/>
      <c r="D51" s="10" t="n"/>
      <c r="E51" s="10" t="n"/>
      <c r="F51" s="10" t="n"/>
      <c r="G51" s="10" t="n"/>
      <c r="H51" s="10" t="n"/>
      <c r="I51" s="10" t="n"/>
      <c r="J51" s="12">
        <f>IF(OR(A51="",COUNT(C51:E51)&lt;3),"",IFERROR(MAX(0,FLOOR(($N$2-$N$3)/E51,1))*MAX(1,MIN(IF(G51="",1,G51),FLOOR($N$4/D51,1)))*IF(F51="",1,F51),""))</f>
        <v/>
      </c>
      <c r="K51" s="12">
        <f>IF(A51="","",IF(COUNTIF(DATA!$D$2:$D$500,A51)=0,"CEK SKU tidak ada di DATA",IF(COUNT(C51:E51)&lt;3,"CEK dimensi belum lengkap",IF(OR(C51&lt;=0,D51&lt;=0,E51&lt;=0),"CEK dimensi harus lebih dari 0",IF(COUNTIF($A$2:$A$500,A51)&gt;1,"CEK SKU dobel","OK")))))</f>
        <v/>
      </c>
    </row>
    <row r="52">
      <c r="A52" s="10" t="n"/>
      <c r="B52" s="12">
        <f>IF(A52="","",IFERROR(INDEX(DATA!$E$2:$E$500,MATCH(A52,DATA!$D$2:$D$500,0)),""))</f>
        <v/>
      </c>
      <c r="C52" s="10" t="n"/>
      <c r="D52" s="10" t="n"/>
      <c r="E52" s="10" t="n"/>
      <c r="F52" s="10" t="n"/>
      <c r="G52" s="10" t="n"/>
      <c r="H52" s="10" t="n"/>
      <c r="I52" s="10" t="n"/>
      <c r="J52" s="12">
        <f>IF(OR(A52="",COUNT(C52:E52)&lt;3),"",IFERROR(MAX(0,FLOOR(($N$2-$N$3)/E52,1))*MAX(1,MIN(IF(G52="",1,G52),FLOOR($N$4/D52,1)))*IF(F52="",1,F52),""))</f>
        <v/>
      </c>
      <c r="K52" s="12">
        <f>IF(A52="","",IF(COUNTIF(DATA!$D$2:$D$500,A52)=0,"CEK SKU tidak ada di DATA",IF(COUNT(C52:E52)&lt;3,"CEK dimensi belum lengkap",IF(OR(C52&lt;=0,D52&lt;=0,E52&lt;=0),"CEK dimensi harus lebih dari 0",IF(COUNTIF($A$2:$A$500,A52)&gt;1,"CEK SKU dobel","OK")))))</f>
        <v/>
      </c>
    </row>
    <row r="53">
      <c r="A53" s="10" t="n"/>
      <c r="B53" s="12">
        <f>IF(A53="","",IFERROR(INDEX(DATA!$E$2:$E$500,MATCH(A53,DATA!$D$2:$D$500,0)),""))</f>
        <v/>
      </c>
      <c r="C53" s="10" t="n"/>
      <c r="D53" s="10" t="n"/>
      <c r="E53" s="10" t="n"/>
      <c r="F53" s="10" t="n"/>
      <c r="G53" s="10" t="n"/>
      <c r="H53" s="10" t="n"/>
      <c r="I53" s="10" t="n"/>
      <c r="J53" s="12">
        <f>IF(OR(A53="",COUNT(C53:E53)&lt;3),"",IFERROR(MAX(0,FLOOR(($N$2-$N$3)/E53,1))*MAX(1,MIN(IF(G53="",1,G53),FLOOR($N$4/D53,1)))*IF(F53="",1,F53),""))</f>
        <v/>
      </c>
      <c r="K53" s="12">
        <f>IF(A53="","",IF(COUNTIF(DATA!$D$2:$D$500,A53)=0,"CEK SKU tidak ada di DATA",IF(COUNT(C53:E53)&lt;3,"CEK dimensi belum lengkap",IF(OR(C53&lt;=0,D53&lt;=0,E53&lt;=0),"CEK dimensi harus lebih dari 0",IF(COUNTIF($A$2:$A$500,A53)&gt;1,"CEK SKU dobel","OK")))))</f>
        <v/>
      </c>
    </row>
    <row r="54">
      <c r="A54" s="10" t="n"/>
      <c r="B54" s="12">
        <f>IF(A54="","",IFERROR(INDEX(DATA!$E$2:$E$500,MATCH(A54,DATA!$D$2:$D$500,0)),""))</f>
        <v/>
      </c>
      <c r="C54" s="10" t="n"/>
      <c r="D54" s="10" t="n"/>
      <c r="E54" s="10" t="n"/>
      <c r="F54" s="10" t="n"/>
      <c r="G54" s="10" t="n"/>
      <c r="H54" s="10" t="n"/>
      <c r="I54" s="10" t="n"/>
      <c r="J54" s="12">
        <f>IF(OR(A54="",COUNT(C54:E54)&lt;3),"",IFERROR(MAX(0,FLOOR(($N$2-$N$3)/E54,1))*MAX(1,MIN(IF(G54="",1,G54),FLOOR($N$4/D54,1)))*IF(F54="",1,F54),""))</f>
        <v/>
      </c>
      <c r="K54" s="12">
        <f>IF(A54="","",IF(COUNTIF(DATA!$D$2:$D$500,A54)=0,"CEK SKU tidak ada di DATA",IF(COUNT(C54:E54)&lt;3,"CEK dimensi belum lengkap",IF(OR(C54&lt;=0,D54&lt;=0,E54&lt;=0),"CEK dimensi harus lebih dari 0",IF(COUNTIF($A$2:$A$500,A54)&gt;1,"CEK SKU dobel","OK")))))</f>
        <v/>
      </c>
    </row>
    <row r="55">
      <c r="A55" s="10" t="n"/>
      <c r="B55" s="12">
        <f>IF(A55="","",IFERROR(INDEX(DATA!$E$2:$E$500,MATCH(A55,DATA!$D$2:$D$500,0)),""))</f>
        <v/>
      </c>
      <c r="C55" s="10" t="n"/>
      <c r="D55" s="10" t="n"/>
      <c r="E55" s="10" t="n"/>
      <c r="F55" s="10" t="n"/>
      <c r="G55" s="10" t="n"/>
      <c r="H55" s="10" t="n"/>
      <c r="I55" s="10" t="n"/>
      <c r="J55" s="12">
        <f>IF(OR(A55="",COUNT(C55:E55)&lt;3),"",IFERROR(MAX(0,FLOOR(($N$2-$N$3)/E55,1))*MAX(1,MIN(IF(G55="",1,G55),FLOOR($N$4/D55,1)))*IF(F55="",1,F55),""))</f>
        <v/>
      </c>
      <c r="K55" s="12">
        <f>IF(A55="","",IF(COUNTIF(DATA!$D$2:$D$500,A55)=0,"CEK SKU tidak ada di DATA",IF(COUNT(C55:E55)&lt;3,"CEK dimensi belum lengkap",IF(OR(C55&lt;=0,D55&lt;=0,E55&lt;=0),"CEK dimensi harus lebih dari 0",IF(COUNTIF($A$2:$A$500,A55)&gt;1,"CEK SKU dobel","OK")))))</f>
        <v/>
      </c>
    </row>
    <row r="56">
      <c r="A56" s="10" t="n"/>
      <c r="B56" s="12">
        <f>IF(A56="","",IFERROR(INDEX(DATA!$E$2:$E$500,MATCH(A56,DATA!$D$2:$D$500,0)),""))</f>
        <v/>
      </c>
      <c r="C56" s="10" t="n"/>
      <c r="D56" s="10" t="n"/>
      <c r="E56" s="10" t="n"/>
      <c r="F56" s="10" t="n"/>
      <c r="G56" s="10" t="n"/>
      <c r="H56" s="10" t="n"/>
      <c r="I56" s="10" t="n"/>
      <c r="J56" s="12">
        <f>IF(OR(A56="",COUNT(C56:E56)&lt;3),"",IFERROR(MAX(0,FLOOR(($N$2-$N$3)/E56,1))*MAX(1,MIN(IF(G56="",1,G56),FLOOR($N$4/D56,1)))*IF(F56="",1,F56),""))</f>
        <v/>
      </c>
      <c r="K56" s="12">
        <f>IF(A56="","",IF(COUNTIF(DATA!$D$2:$D$500,A56)=0,"CEK SKU tidak ada di DATA",IF(COUNT(C56:E56)&lt;3,"CEK dimensi belum lengkap",IF(OR(C56&lt;=0,D56&lt;=0,E56&lt;=0),"CEK dimensi harus lebih dari 0",IF(COUNTIF($A$2:$A$500,A56)&gt;1,"CEK SKU dobel","OK")))))</f>
        <v/>
      </c>
    </row>
    <row r="57">
      <c r="A57" s="10" t="n"/>
      <c r="B57" s="12">
        <f>IF(A57="","",IFERROR(INDEX(DATA!$E$2:$E$500,MATCH(A57,DATA!$D$2:$D$500,0)),""))</f>
        <v/>
      </c>
      <c r="C57" s="10" t="n"/>
      <c r="D57" s="10" t="n"/>
      <c r="E57" s="10" t="n"/>
      <c r="F57" s="10" t="n"/>
      <c r="G57" s="10" t="n"/>
      <c r="H57" s="10" t="n"/>
      <c r="I57" s="10" t="n"/>
      <c r="J57" s="12">
        <f>IF(OR(A57="",COUNT(C57:E57)&lt;3),"",IFERROR(MAX(0,FLOOR(($N$2-$N$3)/E57,1))*MAX(1,MIN(IF(G57="",1,G57),FLOOR($N$4/D57,1)))*IF(F57="",1,F57),""))</f>
        <v/>
      </c>
      <c r="K57" s="12">
        <f>IF(A57="","",IF(COUNTIF(DATA!$D$2:$D$500,A57)=0,"CEK SKU tidak ada di DATA",IF(COUNT(C57:E57)&lt;3,"CEK dimensi belum lengkap",IF(OR(C57&lt;=0,D57&lt;=0,E57&lt;=0),"CEK dimensi harus lebih dari 0",IF(COUNTIF($A$2:$A$500,A57)&gt;1,"CEK SKU dobel","OK")))))</f>
        <v/>
      </c>
    </row>
    <row r="58">
      <c r="A58" s="10" t="n"/>
      <c r="B58" s="12">
        <f>IF(A58="","",IFERROR(INDEX(DATA!$E$2:$E$500,MATCH(A58,DATA!$D$2:$D$500,0)),""))</f>
        <v/>
      </c>
      <c r="C58" s="10" t="n"/>
      <c r="D58" s="10" t="n"/>
      <c r="E58" s="10" t="n"/>
      <c r="F58" s="10" t="n"/>
      <c r="G58" s="10" t="n"/>
      <c r="H58" s="10" t="n"/>
      <c r="I58" s="10" t="n"/>
      <c r="J58" s="12">
        <f>IF(OR(A58="",COUNT(C58:E58)&lt;3),"",IFERROR(MAX(0,FLOOR(($N$2-$N$3)/E58,1))*MAX(1,MIN(IF(G58="",1,G58),FLOOR($N$4/D58,1)))*IF(F58="",1,F58),""))</f>
        <v/>
      </c>
      <c r="K58" s="12">
        <f>IF(A58="","",IF(COUNTIF(DATA!$D$2:$D$500,A58)=0,"CEK SKU tidak ada di DATA",IF(COUNT(C58:E58)&lt;3,"CEK dimensi belum lengkap",IF(OR(C58&lt;=0,D58&lt;=0,E58&lt;=0),"CEK dimensi harus lebih dari 0",IF(COUNTIF($A$2:$A$500,A58)&gt;1,"CEK SKU dobel","OK")))))</f>
        <v/>
      </c>
    </row>
    <row r="59">
      <c r="A59" s="10" t="n"/>
      <c r="B59" s="12">
        <f>IF(A59="","",IFERROR(INDEX(DATA!$E$2:$E$500,MATCH(A59,DATA!$D$2:$D$500,0)),""))</f>
        <v/>
      </c>
      <c r="C59" s="10" t="n"/>
      <c r="D59" s="10" t="n"/>
      <c r="E59" s="10" t="n"/>
      <c r="F59" s="10" t="n"/>
      <c r="G59" s="10" t="n"/>
      <c r="H59" s="10" t="n"/>
      <c r="I59" s="10" t="n"/>
      <c r="J59" s="12">
        <f>IF(OR(A59="",COUNT(C59:E59)&lt;3),"",IFERROR(MAX(0,FLOOR(($N$2-$N$3)/E59,1))*MAX(1,MIN(IF(G59="",1,G59),FLOOR($N$4/D59,1)))*IF(F59="",1,F59),""))</f>
        <v/>
      </c>
      <c r="K59" s="12">
        <f>IF(A59="","",IF(COUNTIF(DATA!$D$2:$D$500,A59)=0,"CEK SKU tidak ada di DATA",IF(COUNT(C59:E59)&lt;3,"CEK dimensi belum lengkap",IF(OR(C59&lt;=0,D59&lt;=0,E59&lt;=0),"CEK dimensi harus lebih dari 0",IF(COUNTIF($A$2:$A$500,A59)&gt;1,"CEK SKU dobel","OK")))))</f>
        <v/>
      </c>
    </row>
    <row r="60">
      <c r="A60" s="10" t="n"/>
      <c r="B60" s="12">
        <f>IF(A60="","",IFERROR(INDEX(DATA!$E$2:$E$500,MATCH(A60,DATA!$D$2:$D$500,0)),""))</f>
        <v/>
      </c>
      <c r="C60" s="10" t="n"/>
      <c r="D60" s="10" t="n"/>
      <c r="E60" s="10" t="n"/>
      <c r="F60" s="10" t="n"/>
      <c r="G60" s="10" t="n"/>
      <c r="H60" s="10" t="n"/>
      <c r="I60" s="10" t="n"/>
      <c r="J60" s="12">
        <f>IF(OR(A60="",COUNT(C60:E60)&lt;3),"",IFERROR(MAX(0,FLOOR(($N$2-$N$3)/E60,1))*MAX(1,MIN(IF(G60="",1,G60),FLOOR($N$4/D60,1)))*IF(F60="",1,F60),""))</f>
        <v/>
      </c>
      <c r="K60" s="12">
        <f>IF(A60="","",IF(COUNTIF(DATA!$D$2:$D$500,A60)=0,"CEK SKU tidak ada di DATA",IF(COUNT(C60:E60)&lt;3,"CEK dimensi belum lengkap",IF(OR(C60&lt;=0,D60&lt;=0,E60&lt;=0),"CEK dimensi harus lebih dari 0",IF(COUNTIF($A$2:$A$500,A60)&gt;1,"CEK SKU dobel","OK")))))</f>
        <v/>
      </c>
    </row>
    <row r="61">
      <c r="A61" s="10" t="n"/>
      <c r="B61" s="12">
        <f>IF(A61="","",IFERROR(INDEX(DATA!$E$2:$E$500,MATCH(A61,DATA!$D$2:$D$500,0)),""))</f>
        <v/>
      </c>
      <c r="C61" s="10" t="n"/>
      <c r="D61" s="10" t="n"/>
      <c r="E61" s="10" t="n"/>
      <c r="F61" s="10" t="n"/>
      <c r="G61" s="10" t="n"/>
      <c r="H61" s="10" t="n"/>
      <c r="I61" s="10" t="n"/>
      <c r="J61" s="12">
        <f>IF(OR(A61="",COUNT(C61:E61)&lt;3),"",IFERROR(MAX(0,FLOOR(($N$2-$N$3)/E61,1))*MAX(1,MIN(IF(G61="",1,G61),FLOOR($N$4/D61,1)))*IF(F61="",1,F61),""))</f>
        <v/>
      </c>
      <c r="K61" s="12">
        <f>IF(A61="","",IF(COUNTIF(DATA!$D$2:$D$500,A61)=0,"CEK SKU tidak ada di DATA",IF(COUNT(C61:E61)&lt;3,"CEK dimensi belum lengkap",IF(OR(C61&lt;=0,D61&lt;=0,E61&lt;=0),"CEK dimensi harus lebih dari 0",IF(COUNTIF($A$2:$A$500,A61)&gt;1,"CEK SKU dobel","OK")))))</f>
        <v/>
      </c>
    </row>
    <row r="62">
      <c r="A62" s="10" t="n"/>
      <c r="B62" s="12">
        <f>IF(A62="","",IFERROR(INDEX(DATA!$E$2:$E$500,MATCH(A62,DATA!$D$2:$D$500,0)),""))</f>
        <v/>
      </c>
      <c r="C62" s="10" t="n"/>
      <c r="D62" s="10" t="n"/>
      <c r="E62" s="10" t="n"/>
      <c r="F62" s="10" t="n"/>
      <c r="G62" s="10" t="n"/>
      <c r="H62" s="10" t="n"/>
      <c r="I62" s="10" t="n"/>
      <c r="J62" s="12">
        <f>IF(OR(A62="",COUNT(C62:E62)&lt;3),"",IFERROR(MAX(0,FLOOR(($N$2-$N$3)/E62,1))*MAX(1,MIN(IF(G62="",1,G62),FLOOR($N$4/D62,1)))*IF(F62="",1,F62),""))</f>
        <v/>
      </c>
      <c r="K62" s="12">
        <f>IF(A62="","",IF(COUNTIF(DATA!$D$2:$D$500,A62)=0,"CEK SKU tidak ada di DATA",IF(COUNT(C62:E62)&lt;3,"CEK dimensi belum lengkap",IF(OR(C62&lt;=0,D62&lt;=0,E62&lt;=0),"CEK dimensi harus lebih dari 0",IF(COUNTIF($A$2:$A$500,A62)&gt;1,"CEK SKU dobel","OK")))))</f>
        <v/>
      </c>
    </row>
    <row r="63">
      <c r="A63" s="10" t="n"/>
      <c r="B63" s="12">
        <f>IF(A63="","",IFERROR(INDEX(DATA!$E$2:$E$500,MATCH(A63,DATA!$D$2:$D$500,0)),""))</f>
        <v/>
      </c>
      <c r="C63" s="10" t="n"/>
      <c r="D63" s="10" t="n"/>
      <c r="E63" s="10" t="n"/>
      <c r="F63" s="10" t="n"/>
      <c r="G63" s="10" t="n"/>
      <c r="H63" s="10" t="n"/>
      <c r="I63" s="10" t="n"/>
      <c r="J63" s="12">
        <f>IF(OR(A63="",COUNT(C63:E63)&lt;3),"",IFERROR(MAX(0,FLOOR(($N$2-$N$3)/E63,1))*MAX(1,MIN(IF(G63="",1,G63),FLOOR($N$4/D63,1)))*IF(F63="",1,F63),""))</f>
        <v/>
      </c>
      <c r="K63" s="12">
        <f>IF(A63="","",IF(COUNTIF(DATA!$D$2:$D$500,A63)=0,"CEK SKU tidak ada di DATA",IF(COUNT(C63:E63)&lt;3,"CEK dimensi belum lengkap",IF(OR(C63&lt;=0,D63&lt;=0,E63&lt;=0),"CEK dimensi harus lebih dari 0",IF(COUNTIF($A$2:$A$500,A63)&gt;1,"CEK SKU dobel","OK")))))</f>
        <v/>
      </c>
    </row>
    <row r="64">
      <c r="A64" s="10" t="n"/>
      <c r="B64" s="12">
        <f>IF(A64="","",IFERROR(INDEX(DATA!$E$2:$E$500,MATCH(A64,DATA!$D$2:$D$500,0)),""))</f>
        <v/>
      </c>
      <c r="C64" s="10" t="n"/>
      <c r="D64" s="10" t="n"/>
      <c r="E64" s="10" t="n"/>
      <c r="F64" s="10" t="n"/>
      <c r="G64" s="10" t="n"/>
      <c r="H64" s="10" t="n"/>
      <c r="I64" s="10" t="n"/>
      <c r="J64" s="12">
        <f>IF(OR(A64="",COUNT(C64:E64)&lt;3),"",IFERROR(MAX(0,FLOOR(($N$2-$N$3)/E64,1))*MAX(1,MIN(IF(G64="",1,G64),FLOOR($N$4/D64,1)))*IF(F64="",1,F64),""))</f>
        <v/>
      </c>
      <c r="K64" s="12">
        <f>IF(A64="","",IF(COUNTIF(DATA!$D$2:$D$500,A64)=0,"CEK SKU tidak ada di DATA",IF(COUNT(C64:E64)&lt;3,"CEK dimensi belum lengkap",IF(OR(C64&lt;=0,D64&lt;=0,E64&lt;=0),"CEK dimensi harus lebih dari 0",IF(COUNTIF($A$2:$A$500,A64)&gt;1,"CEK SKU dobel","OK")))))</f>
        <v/>
      </c>
    </row>
    <row r="65">
      <c r="A65" s="10" t="n"/>
      <c r="B65" s="12">
        <f>IF(A65="","",IFERROR(INDEX(DATA!$E$2:$E$500,MATCH(A65,DATA!$D$2:$D$500,0)),""))</f>
        <v/>
      </c>
      <c r="C65" s="10" t="n"/>
      <c r="D65" s="10" t="n"/>
      <c r="E65" s="10" t="n"/>
      <c r="F65" s="10" t="n"/>
      <c r="G65" s="10" t="n"/>
      <c r="H65" s="10" t="n"/>
      <c r="I65" s="10" t="n"/>
      <c r="J65" s="12">
        <f>IF(OR(A65="",COUNT(C65:E65)&lt;3),"",IFERROR(MAX(0,FLOOR(($N$2-$N$3)/E65,1))*MAX(1,MIN(IF(G65="",1,G65),FLOOR($N$4/D65,1)))*IF(F65="",1,F65),""))</f>
        <v/>
      </c>
      <c r="K65" s="12">
        <f>IF(A65="","",IF(COUNTIF(DATA!$D$2:$D$500,A65)=0,"CEK SKU tidak ada di DATA",IF(COUNT(C65:E65)&lt;3,"CEK dimensi belum lengkap",IF(OR(C65&lt;=0,D65&lt;=0,E65&lt;=0),"CEK dimensi harus lebih dari 0",IF(COUNTIF($A$2:$A$500,A65)&gt;1,"CEK SKU dobel","OK")))))</f>
        <v/>
      </c>
    </row>
    <row r="66">
      <c r="A66" s="10" t="n"/>
      <c r="B66" s="12">
        <f>IF(A66="","",IFERROR(INDEX(DATA!$E$2:$E$500,MATCH(A66,DATA!$D$2:$D$500,0)),""))</f>
        <v/>
      </c>
      <c r="C66" s="10" t="n"/>
      <c r="D66" s="10" t="n"/>
      <c r="E66" s="10" t="n"/>
      <c r="F66" s="10" t="n"/>
      <c r="G66" s="10" t="n"/>
      <c r="H66" s="10" t="n"/>
      <c r="I66" s="10" t="n"/>
      <c r="J66" s="12">
        <f>IF(OR(A66="",COUNT(C66:E66)&lt;3),"",IFERROR(MAX(0,FLOOR(($N$2-$N$3)/E66,1))*MAX(1,MIN(IF(G66="",1,G66),FLOOR($N$4/D66,1)))*IF(F66="",1,F66),""))</f>
        <v/>
      </c>
      <c r="K66" s="12">
        <f>IF(A66="","",IF(COUNTIF(DATA!$D$2:$D$500,A66)=0,"CEK SKU tidak ada di DATA",IF(COUNT(C66:E66)&lt;3,"CEK dimensi belum lengkap",IF(OR(C66&lt;=0,D66&lt;=0,E66&lt;=0),"CEK dimensi harus lebih dari 0",IF(COUNTIF($A$2:$A$500,A66)&gt;1,"CEK SKU dobel","OK")))))</f>
        <v/>
      </c>
    </row>
    <row r="67">
      <c r="A67" s="10" t="n"/>
      <c r="B67" s="12">
        <f>IF(A67="","",IFERROR(INDEX(DATA!$E$2:$E$500,MATCH(A67,DATA!$D$2:$D$500,0)),""))</f>
        <v/>
      </c>
      <c r="C67" s="10" t="n"/>
      <c r="D67" s="10" t="n"/>
      <c r="E67" s="10" t="n"/>
      <c r="F67" s="10" t="n"/>
      <c r="G67" s="10" t="n"/>
      <c r="H67" s="10" t="n"/>
      <c r="I67" s="10" t="n"/>
      <c r="J67" s="12">
        <f>IF(OR(A67="",COUNT(C67:E67)&lt;3),"",IFERROR(MAX(0,FLOOR(($N$2-$N$3)/E67,1))*MAX(1,MIN(IF(G67="",1,G67),FLOOR($N$4/D67,1)))*IF(F67="",1,F67),""))</f>
        <v/>
      </c>
      <c r="K67" s="12">
        <f>IF(A67="","",IF(COUNTIF(DATA!$D$2:$D$500,A67)=0,"CEK SKU tidak ada di DATA",IF(COUNT(C67:E67)&lt;3,"CEK dimensi belum lengkap",IF(OR(C67&lt;=0,D67&lt;=0,E67&lt;=0),"CEK dimensi harus lebih dari 0",IF(COUNTIF($A$2:$A$500,A67)&gt;1,"CEK SKU dobel","OK")))))</f>
        <v/>
      </c>
    </row>
    <row r="68">
      <c r="A68" s="10" t="n"/>
      <c r="B68" s="12">
        <f>IF(A68="","",IFERROR(INDEX(DATA!$E$2:$E$500,MATCH(A68,DATA!$D$2:$D$500,0)),""))</f>
        <v/>
      </c>
      <c r="C68" s="10" t="n"/>
      <c r="D68" s="10" t="n"/>
      <c r="E68" s="10" t="n"/>
      <c r="F68" s="10" t="n"/>
      <c r="G68" s="10" t="n"/>
      <c r="H68" s="10" t="n"/>
      <c r="I68" s="10" t="n"/>
      <c r="J68" s="12">
        <f>IF(OR(A68="",COUNT(C68:E68)&lt;3),"",IFERROR(MAX(0,FLOOR(($N$2-$N$3)/E68,1))*MAX(1,MIN(IF(G68="",1,G68),FLOOR($N$4/D68,1)))*IF(F68="",1,F68),""))</f>
        <v/>
      </c>
      <c r="K68" s="12">
        <f>IF(A68="","",IF(COUNTIF(DATA!$D$2:$D$500,A68)=0,"CEK SKU tidak ada di DATA",IF(COUNT(C68:E68)&lt;3,"CEK dimensi belum lengkap",IF(OR(C68&lt;=0,D68&lt;=0,E68&lt;=0),"CEK dimensi harus lebih dari 0",IF(COUNTIF($A$2:$A$500,A68)&gt;1,"CEK SKU dobel","OK")))))</f>
        <v/>
      </c>
    </row>
    <row r="69">
      <c r="A69" s="10" t="n"/>
      <c r="B69" s="12">
        <f>IF(A69="","",IFERROR(INDEX(DATA!$E$2:$E$500,MATCH(A69,DATA!$D$2:$D$500,0)),""))</f>
        <v/>
      </c>
      <c r="C69" s="10" t="n"/>
      <c r="D69" s="10" t="n"/>
      <c r="E69" s="10" t="n"/>
      <c r="F69" s="10" t="n"/>
      <c r="G69" s="10" t="n"/>
      <c r="H69" s="10" t="n"/>
      <c r="I69" s="10" t="n"/>
      <c r="J69" s="12">
        <f>IF(OR(A69="",COUNT(C69:E69)&lt;3),"",IFERROR(MAX(0,FLOOR(($N$2-$N$3)/E69,1))*MAX(1,MIN(IF(G69="",1,G69),FLOOR($N$4/D69,1)))*IF(F69="",1,F69),""))</f>
        <v/>
      </c>
      <c r="K69" s="12">
        <f>IF(A69="","",IF(COUNTIF(DATA!$D$2:$D$500,A69)=0,"CEK SKU tidak ada di DATA",IF(COUNT(C69:E69)&lt;3,"CEK dimensi belum lengkap",IF(OR(C69&lt;=0,D69&lt;=0,E69&lt;=0),"CEK dimensi harus lebih dari 0",IF(COUNTIF($A$2:$A$500,A69)&gt;1,"CEK SKU dobel","OK")))))</f>
        <v/>
      </c>
    </row>
    <row r="70">
      <c r="A70" s="10" t="n"/>
      <c r="B70" s="12">
        <f>IF(A70="","",IFERROR(INDEX(DATA!$E$2:$E$500,MATCH(A70,DATA!$D$2:$D$500,0)),""))</f>
        <v/>
      </c>
      <c r="C70" s="10" t="n"/>
      <c r="D70" s="10" t="n"/>
      <c r="E70" s="10" t="n"/>
      <c r="F70" s="10" t="n"/>
      <c r="G70" s="10" t="n"/>
      <c r="H70" s="10" t="n"/>
      <c r="I70" s="10" t="n"/>
      <c r="J70" s="12">
        <f>IF(OR(A70="",COUNT(C70:E70)&lt;3),"",IFERROR(MAX(0,FLOOR(($N$2-$N$3)/E70,1))*MAX(1,MIN(IF(G70="",1,G70),FLOOR($N$4/D70,1)))*IF(F70="",1,F70),""))</f>
        <v/>
      </c>
      <c r="K70" s="12">
        <f>IF(A70="","",IF(COUNTIF(DATA!$D$2:$D$500,A70)=0,"CEK SKU tidak ada di DATA",IF(COUNT(C70:E70)&lt;3,"CEK dimensi belum lengkap",IF(OR(C70&lt;=0,D70&lt;=0,E70&lt;=0),"CEK dimensi harus lebih dari 0",IF(COUNTIF($A$2:$A$500,A70)&gt;1,"CEK SKU dobel","OK")))))</f>
        <v/>
      </c>
    </row>
    <row r="71">
      <c r="A71" s="10" t="n"/>
      <c r="B71" s="12">
        <f>IF(A71="","",IFERROR(INDEX(DATA!$E$2:$E$500,MATCH(A71,DATA!$D$2:$D$500,0)),""))</f>
        <v/>
      </c>
      <c r="C71" s="10" t="n"/>
      <c r="D71" s="10" t="n"/>
      <c r="E71" s="10" t="n"/>
      <c r="F71" s="10" t="n"/>
      <c r="G71" s="10" t="n"/>
      <c r="H71" s="10" t="n"/>
      <c r="I71" s="10" t="n"/>
      <c r="J71" s="12">
        <f>IF(OR(A71="",COUNT(C71:E71)&lt;3),"",IFERROR(MAX(0,FLOOR(($N$2-$N$3)/E71,1))*MAX(1,MIN(IF(G71="",1,G71),FLOOR($N$4/D71,1)))*IF(F71="",1,F71),""))</f>
        <v/>
      </c>
      <c r="K71" s="12">
        <f>IF(A71="","",IF(COUNTIF(DATA!$D$2:$D$500,A71)=0,"CEK SKU tidak ada di DATA",IF(COUNT(C71:E71)&lt;3,"CEK dimensi belum lengkap",IF(OR(C71&lt;=0,D71&lt;=0,E71&lt;=0),"CEK dimensi harus lebih dari 0",IF(COUNTIF($A$2:$A$500,A71)&gt;1,"CEK SKU dobel","OK")))))</f>
        <v/>
      </c>
    </row>
    <row r="72">
      <c r="A72" s="10" t="n"/>
      <c r="B72" s="12">
        <f>IF(A72="","",IFERROR(INDEX(DATA!$E$2:$E$500,MATCH(A72,DATA!$D$2:$D$500,0)),""))</f>
        <v/>
      </c>
      <c r="C72" s="10" t="n"/>
      <c r="D72" s="10" t="n"/>
      <c r="E72" s="10" t="n"/>
      <c r="F72" s="10" t="n"/>
      <c r="G72" s="10" t="n"/>
      <c r="H72" s="10" t="n"/>
      <c r="I72" s="10" t="n"/>
      <c r="J72" s="12">
        <f>IF(OR(A72="",COUNT(C72:E72)&lt;3),"",IFERROR(MAX(0,FLOOR(($N$2-$N$3)/E72,1))*MAX(1,MIN(IF(G72="",1,G72),FLOOR($N$4/D72,1)))*IF(F72="",1,F72),""))</f>
        <v/>
      </c>
      <c r="K72" s="12">
        <f>IF(A72="","",IF(COUNTIF(DATA!$D$2:$D$500,A72)=0,"CEK SKU tidak ada di DATA",IF(COUNT(C72:E72)&lt;3,"CEK dimensi belum lengkap",IF(OR(C72&lt;=0,D72&lt;=0,E72&lt;=0),"CEK dimensi harus lebih dari 0",IF(COUNTIF($A$2:$A$500,A72)&gt;1,"CEK SKU dobel","OK")))))</f>
        <v/>
      </c>
    </row>
    <row r="73">
      <c r="A73" s="10" t="n"/>
      <c r="B73" s="12">
        <f>IF(A73="","",IFERROR(INDEX(DATA!$E$2:$E$500,MATCH(A73,DATA!$D$2:$D$500,0)),""))</f>
        <v/>
      </c>
      <c r="C73" s="10" t="n"/>
      <c r="D73" s="10" t="n"/>
      <c r="E73" s="10" t="n"/>
      <c r="F73" s="10" t="n"/>
      <c r="G73" s="10" t="n"/>
      <c r="H73" s="10" t="n"/>
      <c r="I73" s="10" t="n"/>
      <c r="J73" s="12">
        <f>IF(OR(A73="",COUNT(C73:E73)&lt;3),"",IFERROR(MAX(0,FLOOR(($N$2-$N$3)/E73,1))*MAX(1,MIN(IF(G73="",1,G73),FLOOR($N$4/D73,1)))*IF(F73="",1,F73),""))</f>
        <v/>
      </c>
      <c r="K73" s="12">
        <f>IF(A73="","",IF(COUNTIF(DATA!$D$2:$D$500,A73)=0,"CEK SKU tidak ada di DATA",IF(COUNT(C73:E73)&lt;3,"CEK dimensi belum lengkap",IF(OR(C73&lt;=0,D73&lt;=0,E73&lt;=0),"CEK dimensi harus lebih dari 0",IF(COUNTIF($A$2:$A$500,A73)&gt;1,"CEK SKU dobel","OK")))))</f>
        <v/>
      </c>
    </row>
    <row r="74">
      <c r="A74" s="10" t="n"/>
      <c r="B74" s="12">
        <f>IF(A74="","",IFERROR(INDEX(DATA!$E$2:$E$500,MATCH(A74,DATA!$D$2:$D$500,0)),""))</f>
        <v/>
      </c>
      <c r="C74" s="10" t="n"/>
      <c r="D74" s="10" t="n"/>
      <c r="E74" s="10" t="n"/>
      <c r="F74" s="10" t="n"/>
      <c r="G74" s="10" t="n"/>
      <c r="H74" s="10" t="n"/>
      <c r="I74" s="10" t="n"/>
      <c r="J74" s="12">
        <f>IF(OR(A74="",COUNT(C74:E74)&lt;3),"",IFERROR(MAX(0,FLOOR(($N$2-$N$3)/E74,1))*MAX(1,MIN(IF(G74="",1,G74),FLOOR($N$4/D74,1)))*IF(F74="",1,F74),""))</f>
        <v/>
      </c>
      <c r="K74" s="12">
        <f>IF(A74="","",IF(COUNTIF(DATA!$D$2:$D$500,A74)=0,"CEK SKU tidak ada di DATA",IF(COUNT(C74:E74)&lt;3,"CEK dimensi belum lengkap",IF(OR(C74&lt;=0,D74&lt;=0,E74&lt;=0),"CEK dimensi harus lebih dari 0",IF(COUNTIF($A$2:$A$500,A74)&gt;1,"CEK SKU dobel","OK")))))</f>
        <v/>
      </c>
    </row>
    <row r="75">
      <c r="A75" s="10" t="n"/>
      <c r="B75" s="12">
        <f>IF(A75="","",IFERROR(INDEX(DATA!$E$2:$E$500,MATCH(A75,DATA!$D$2:$D$500,0)),""))</f>
        <v/>
      </c>
      <c r="C75" s="10" t="n"/>
      <c r="D75" s="10" t="n"/>
      <c r="E75" s="10" t="n"/>
      <c r="F75" s="10" t="n"/>
      <c r="G75" s="10" t="n"/>
      <c r="H75" s="10" t="n"/>
      <c r="I75" s="10" t="n"/>
      <c r="J75" s="12">
        <f>IF(OR(A75="",COUNT(C75:E75)&lt;3),"",IFERROR(MAX(0,FLOOR(($N$2-$N$3)/E75,1))*MAX(1,MIN(IF(G75="",1,G75),FLOOR($N$4/D75,1)))*IF(F75="",1,F75),""))</f>
        <v/>
      </c>
      <c r="K75" s="12">
        <f>IF(A75="","",IF(COUNTIF(DATA!$D$2:$D$500,A75)=0,"CEK SKU tidak ada di DATA",IF(COUNT(C75:E75)&lt;3,"CEK dimensi belum lengkap",IF(OR(C75&lt;=0,D75&lt;=0,E75&lt;=0),"CEK dimensi harus lebih dari 0",IF(COUNTIF($A$2:$A$500,A75)&gt;1,"CEK SKU dobel","OK")))))</f>
        <v/>
      </c>
    </row>
    <row r="76">
      <c r="A76" s="10" t="n"/>
      <c r="B76" s="12">
        <f>IF(A76="","",IFERROR(INDEX(DATA!$E$2:$E$500,MATCH(A76,DATA!$D$2:$D$500,0)),""))</f>
        <v/>
      </c>
      <c r="C76" s="10" t="n"/>
      <c r="D76" s="10" t="n"/>
      <c r="E76" s="10" t="n"/>
      <c r="F76" s="10" t="n"/>
      <c r="G76" s="10" t="n"/>
      <c r="H76" s="10" t="n"/>
      <c r="I76" s="10" t="n"/>
      <c r="J76" s="12">
        <f>IF(OR(A76="",COUNT(C76:E76)&lt;3),"",IFERROR(MAX(0,FLOOR(($N$2-$N$3)/E76,1))*MAX(1,MIN(IF(G76="",1,G76),FLOOR($N$4/D76,1)))*IF(F76="",1,F76),""))</f>
        <v/>
      </c>
      <c r="K76" s="12">
        <f>IF(A76="","",IF(COUNTIF(DATA!$D$2:$D$500,A76)=0,"CEK SKU tidak ada di DATA",IF(COUNT(C76:E76)&lt;3,"CEK dimensi belum lengkap",IF(OR(C76&lt;=0,D76&lt;=0,E76&lt;=0),"CEK dimensi harus lebih dari 0",IF(COUNTIF($A$2:$A$500,A76)&gt;1,"CEK SKU dobel","OK")))))</f>
        <v/>
      </c>
    </row>
    <row r="77">
      <c r="A77" s="10" t="n"/>
      <c r="B77" s="12">
        <f>IF(A77="","",IFERROR(INDEX(DATA!$E$2:$E$500,MATCH(A77,DATA!$D$2:$D$500,0)),""))</f>
        <v/>
      </c>
      <c r="C77" s="10" t="n"/>
      <c r="D77" s="10" t="n"/>
      <c r="E77" s="10" t="n"/>
      <c r="F77" s="10" t="n"/>
      <c r="G77" s="10" t="n"/>
      <c r="H77" s="10" t="n"/>
      <c r="I77" s="10" t="n"/>
      <c r="J77" s="12">
        <f>IF(OR(A77="",COUNT(C77:E77)&lt;3),"",IFERROR(MAX(0,FLOOR(($N$2-$N$3)/E77,1))*MAX(1,MIN(IF(G77="",1,G77),FLOOR($N$4/D77,1)))*IF(F77="",1,F77),""))</f>
        <v/>
      </c>
      <c r="K77" s="12">
        <f>IF(A77="","",IF(COUNTIF(DATA!$D$2:$D$500,A77)=0,"CEK SKU tidak ada di DATA",IF(COUNT(C77:E77)&lt;3,"CEK dimensi belum lengkap",IF(OR(C77&lt;=0,D77&lt;=0,E77&lt;=0),"CEK dimensi harus lebih dari 0",IF(COUNTIF($A$2:$A$500,A77)&gt;1,"CEK SKU dobel","OK")))))</f>
        <v/>
      </c>
    </row>
    <row r="78">
      <c r="A78" s="10" t="n"/>
      <c r="B78" s="12">
        <f>IF(A78="","",IFERROR(INDEX(DATA!$E$2:$E$500,MATCH(A78,DATA!$D$2:$D$500,0)),""))</f>
        <v/>
      </c>
      <c r="C78" s="10" t="n"/>
      <c r="D78" s="10" t="n"/>
      <c r="E78" s="10" t="n"/>
      <c r="F78" s="10" t="n"/>
      <c r="G78" s="10" t="n"/>
      <c r="H78" s="10" t="n"/>
      <c r="I78" s="10" t="n"/>
      <c r="J78" s="12">
        <f>IF(OR(A78="",COUNT(C78:E78)&lt;3),"",IFERROR(MAX(0,FLOOR(($N$2-$N$3)/E78,1))*MAX(1,MIN(IF(G78="",1,G78),FLOOR($N$4/D78,1)))*IF(F78="",1,F78),""))</f>
        <v/>
      </c>
      <c r="K78" s="12">
        <f>IF(A78="","",IF(COUNTIF(DATA!$D$2:$D$500,A78)=0,"CEK SKU tidak ada di DATA",IF(COUNT(C78:E78)&lt;3,"CEK dimensi belum lengkap",IF(OR(C78&lt;=0,D78&lt;=0,E78&lt;=0),"CEK dimensi harus lebih dari 0",IF(COUNTIF($A$2:$A$500,A78)&gt;1,"CEK SKU dobel","OK")))))</f>
        <v/>
      </c>
    </row>
    <row r="79">
      <c r="A79" s="10" t="n"/>
      <c r="B79" s="12">
        <f>IF(A79="","",IFERROR(INDEX(DATA!$E$2:$E$500,MATCH(A79,DATA!$D$2:$D$500,0)),""))</f>
        <v/>
      </c>
      <c r="C79" s="10" t="n"/>
      <c r="D79" s="10" t="n"/>
      <c r="E79" s="10" t="n"/>
      <c r="F79" s="10" t="n"/>
      <c r="G79" s="10" t="n"/>
      <c r="H79" s="10" t="n"/>
      <c r="I79" s="10" t="n"/>
      <c r="J79" s="12">
        <f>IF(OR(A79="",COUNT(C79:E79)&lt;3),"",IFERROR(MAX(0,FLOOR(($N$2-$N$3)/E79,1))*MAX(1,MIN(IF(G79="",1,G79),FLOOR($N$4/D79,1)))*IF(F79="",1,F79),""))</f>
        <v/>
      </c>
      <c r="K79" s="12">
        <f>IF(A79="","",IF(COUNTIF(DATA!$D$2:$D$500,A79)=0,"CEK SKU tidak ada di DATA",IF(COUNT(C79:E79)&lt;3,"CEK dimensi belum lengkap",IF(OR(C79&lt;=0,D79&lt;=0,E79&lt;=0),"CEK dimensi harus lebih dari 0",IF(COUNTIF($A$2:$A$500,A79)&gt;1,"CEK SKU dobel","OK")))))</f>
        <v/>
      </c>
    </row>
    <row r="80">
      <c r="A80" s="10" t="n"/>
      <c r="B80" s="12">
        <f>IF(A80="","",IFERROR(INDEX(DATA!$E$2:$E$500,MATCH(A80,DATA!$D$2:$D$500,0)),""))</f>
        <v/>
      </c>
      <c r="C80" s="10" t="n"/>
      <c r="D80" s="10" t="n"/>
      <c r="E80" s="10" t="n"/>
      <c r="F80" s="10" t="n"/>
      <c r="G80" s="10" t="n"/>
      <c r="H80" s="10" t="n"/>
      <c r="I80" s="10" t="n"/>
      <c r="J80" s="12">
        <f>IF(OR(A80="",COUNT(C80:E80)&lt;3),"",IFERROR(MAX(0,FLOOR(($N$2-$N$3)/E80,1))*MAX(1,MIN(IF(G80="",1,G80),FLOOR($N$4/D80,1)))*IF(F80="",1,F80),""))</f>
        <v/>
      </c>
      <c r="K80" s="12">
        <f>IF(A80="","",IF(COUNTIF(DATA!$D$2:$D$500,A80)=0,"CEK SKU tidak ada di DATA",IF(COUNT(C80:E80)&lt;3,"CEK dimensi belum lengkap",IF(OR(C80&lt;=0,D80&lt;=0,E80&lt;=0),"CEK dimensi harus lebih dari 0",IF(COUNTIF($A$2:$A$500,A80)&gt;1,"CEK SKU dobel","OK")))))</f>
        <v/>
      </c>
    </row>
    <row r="81">
      <c r="A81" s="10" t="n"/>
      <c r="B81" s="12">
        <f>IF(A81="","",IFERROR(INDEX(DATA!$E$2:$E$500,MATCH(A81,DATA!$D$2:$D$500,0)),""))</f>
        <v/>
      </c>
      <c r="C81" s="10" t="n"/>
      <c r="D81" s="10" t="n"/>
      <c r="E81" s="10" t="n"/>
      <c r="F81" s="10" t="n"/>
      <c r="G81" s="10" t="n"/>
      <c r="H81" s="10" t="n"/>
      <c r="I81" s="10" t="n"/>
      <c r="J81" s="12">
        <f>IF(OR(A81="",COUNT(C81:E81)&lt;3),"",IFERROR(MAX(0,FLOOR(($N$2-$N$3)/E81,1))*MAX(1,MIN(IF(G81="",1,G81),FLOOR($N$4/D81,1)))*IF(F81="",1,F81),""))</f>
        <v/>
      </c>
      <c r="K81" s="12">
        <f>IF(A81="","",IF(COUNTIF(DATA!$D$2:$D$500,A81)=0,"CEK SKU tidak ada di DATA",IF(COUNT(C81:E81)&lt;3,"CEK dimensi belum lengkap",IF(OR(C81&lt;=0,D81&lt;=0,E81&lt;=0),"CEK dimensi harus lebih dari 0",IF(COUNTIF($A$2:$A$500,A81)&gt;1,"CEK SKU dobel","OK")))))</f>
        <v/>
      </c>
    </row>
    <row r="82">
      <c r="A82" s="10" t="n"/>
      <c r="B82" s="12">
        <f>IF(A82="","",IFERROR(INDEX(DATA!$E$2:$E$500,MATCH(A82,DATA!$D$2:$D$500,0)),""))</f>
        <v/>
      </c>
      <c r="C82" s="10" t="n"/>
      <c r="D82" s="10" t="n"/>
      <c r="E82" s="10" t="n"/>
      <c r="F82" s="10" t="n"/>
      <c r="G82" s="10" t="n"/>
      <c r="H82" s="10" t="n"/>
      <c r="I82" s="10" t="n"/>
      <c r="J82" s="12">
        <f>IF(OR(A82="",COUNT(C82:E82)&lt;3),"",IFERROR(MAX(0,FLOOR(($N$2-$N$3)/E82,1))*MAX(1,MIN(IF(G82="",1,G82),FLOOR($N$4/D82,1)))*IF(F82="",1,F82),""))</f>
        <v/>
      </c>
      <c r="K82" s="12">
        <f>IF(A82="","",IF(COUNTIF(DATA!$D$2:$D$500,A82)=0,"CEK SKU tidak ada di DATA",IF(COUNT(C82:E82)&lt;3,"CEK dimensi belum lengkap",IF(OR(C82&lt;=0,D82&lt;=0,E82&lt;=0),"CEK dimensi harus lebih dari 0",IF(COUNTIF($A$2:$A$500,A82)&gt;1,"CEK SKU dobel","OK")))))</f>
        <v/>
      </c>
    </row>
    <row r="83">
      <c r="A83" s="10" t="n"/>
      <c r="B83" s="12">
        <f>IF(A83="","",IFERROR(INDEX(DATA!$E$2:$E$500,MATCH(A83,DATA!$D$2:$D$500,0)),""))</f>
        <v/>
      </c>
      <c r="C83" s="10" t="n"/>
      <c r="D83" s="10" t="n"/>
      <c r="E83" s="10" t="n"/>
      <c r="F83" s="10" t="n"/>
      <c r="G83" s="10" t="n"/>
      <c r="H83" s="10" t="n"/>
      <c r="I83" s="10" t="n"/>
      <c r="J83" s="12">
        <f>IF(OR(A83="",COUNT(C83:E83)&lt;3),"",IFERROR(MAX(0,FLOOR(($N$2-$N$3)/E83,1))*MAX(1,MIN(IF(G83="",1,G83),FLOOR($N$4/D83,1)))*IF(F83="",1,F83),""))</f>
        <v/>
      </c>
      <c r="K83" s="12">
        <f>IF(A83="","",IF(COUNTIF(DATA!$D$2:$D$500,A83)=0,"CEK SKU tidak ada di DATA",IF(COUNT(C83:E83)&lt;3,"CEK dimensi belum lengkap",IF(OR(C83&lt;=0,D83&lt;=0,E83&lt;=0),"CEK dimensi harus lebih dari 0",IF(COUNTIF($A$2:$A$500,A83)&gt;1,"CEK SKU dobel","OK")))))</f>
        <v/>
      </c>
    </row>
    <row r="84">
      <c r="A84" s="10" t="n"/>
      <c r="B84" s="12">
        <f>IF(A84="","",IFERROR(INDEX(DATA!$E$2:$E$500,MATCH(A84,DATA!$D$2:$D$500,0)),""))</f>
        <v/>
      </c>
      <c r="C84" s="10" t="n"/>
      <c r="D84" s="10" t="n"/>
      <c r="E84" s="10" t="n"/>
      <c r="F84" s="10" t="n"/>
      <c r="G84" s="10" t="n"/>
      <c r="H84" s="10" t="n"/>
      <c r="I84" s="10" t="n"/>
      <c r="J84" s="12">
        <f>IF(OR(A84="",COUNT(C84:E84)&lt;3),"",IFERROR(MAX(0,FLOOR(($N$2-$N$3)/E84,1))*MAX(1,MIN(IF(G84="",1,G84),FLOOR($N$4/D84,1)))*IF(F84="",1,F84),""))</f>
        <v/>
      </c>
      <c r="K84" s="12">
        <f>IF(A84="","",IF(COUNTIF(DATA!$D$2:$D$500,A84)=0,"CEK SKU tidak ada di DATA",IF(COUNT(C84:E84)&lt;3,"CEK dimensi belum lengkap",IF(OR(C84&lt;=0,D84&lt;=0,E84&lt;=0),"CEK dimensi harus lebih dari 0",IF(COUNTIF($A$2:$A$500,A84)&gt;1,"CEK SKU dobel","OK")))))</f>
        <v/>
      </c>
    </row>
    <row r="85">
      <c r="A85" s="10" t="n"/>
      <c r="B85" s="12">
        <f>IF(A85="","",IFERROR(INDEX(DATA!$E$2:$E$500,MATCH(A85,DATA!$D$2:$D$500,0)),""))</f>
        <v/>
      </c>
      <c r="C85" s="10" t="n"/>
      <c r="D85" s="10" t="n"/>
      <c r="E85" s="10" t="n"/>
      <c r="F85" s="10" t="n"/>
      <c r="G85" s="10" t="n"/>
      <c r="H85" s="10" t="n"/>
      <c r="I85" s="10" t="n"/>
      <c r="J85" s="12">
        <f>IF(OR(A85="",COUNT(C85:E85)&lt;3),"",IFERROR(MAX(0,FLOOR(($N$2-$N$3)/E85,1))*MAX(1,MIN(IF(G85="",1,G85),FLOOR($N$4/D85,1)))*IF(F85="",1,F85),""))</f>
        <v/>
      </c>
      <c r="K85" s="12">
        <f>IF(A85="","",IF(COUNTIF(DATA!$D$2:$D$500,A85)=0,"CEK SKU tidak ada di DATA",IF(COUNT(C85:E85)&lt;3,"CEK dimensi belum lengkap",IF(OR(C85&lt;=0,D85&lt;=0,E85&lt;=0),"CEK dimensi harus lebih dari 0",IF(COUNTIF($A$2:$A$500,A85)&gt;1,"CEK SKU dobel","OK")))))</f>
        <v/>
      </c>
    </row>
    <row r="86">
      <c r="A86" s="10" t="n"/>
      <c r="B86" s="12">
        <f>IF(A86="","",IFERROR(INDEX(DATA!$E$2:$E$500,MATCH(A86,DATA!$D$2:$D$500,0)),""))</f>
        <v/>
      </c>
      <c r="C86" s="10" t="n"/>
      <c r="D86" s="10" t="n"/>
      <c r="E86" s="10" t="n"/>
      <c r="F86" s="10" t="n"/>
      <c r="G86" s="10" t="n"/>
      <c r="H86" s="10" t="n"/>
      <c r="I86" s="10" t="n"/>
      <c r="J86" s="12">
        <f>IF(OR(A86="",COUNT(C86:E86)&lt;3),"",IFERROR(MAX(0,FLOOR(($N$2-$N$3)/E86,1))*MAX(1,MIN(IF(G86="",1,G86),FLOOR($N$4/D86,1)))*IF(F86="",1,F86),""))</f>
        <v/>
      </c>
      <c r="K86" s="12">
        <f>IF(A86="","",IF(COUNTIF(DATA!$D$2:$D$500,A86)=0,"CEK SKU tidak ada di DATA",IF(COUNT(C86:E86)&lt;3,"CEK dimensi belum lengkap",IF(OR(C86&lt;=0,D86&lt;=0,E86&lt;=0),"CEK dimensi harus lebih dari 0",IF(COUNTIF($A$2:$A$500,A86)&gt;1,"CEK SKU dobel","OK")))))</f>
        <v/>
      </c>
    </row>
    <row r="87">
      <c r="A87" s="10" t="n"/>
      <c r="B87" s="12">
        <f>IF(A87="","",IFERROR(INDEX(DATA!$E$2:$E$500,MATCH(A87,DATA!$D$2:$D$500,0)),""))</f>
        <v/>
      </c>
      <c r="C87" s="10" t="n"/>
      <c r="D87" s="10" t="n"/>
      <c r="E87" s="10" t="n"/>
      <c r="F87" s="10" t="n"/>
      <c r="G87" s="10" t="n"/>
      <c r="H87" s="10" t="n"/>
      <c r="I87" s="10" t="n"/>
      <c r="J87" s="12">
        <f>IF(OR(A87="",COUNT(C87:E87)&lt;3),"",IFERROR(MAX(0,FLOOR(($N$2-$N$3)/E87,1))*MAX(1,MIN(IF(G87="",1,G87),FLOOR($N$4/D87,1)))*IF(F87="",1,F87),""))</f>
        <v/>
      </c>
      <c r="K87" s="12">
        <f>IF(A87="","",IF(COUNTIF(DATA!$D$2:$D$500,A87)=0,"CEK SKU tidak ada di DATA",IF(COUNT(C87:E87)&lt;3,"CEK dimensi belum lengkap",IF(OR(C87&lt;=0,D87&lt;=0,E87&lt;=0),"CEK dimensi harus lebih dari 0",IF(COUNTIF($A$2:$A$500,A87)&gt;1,"CEK SKU dobel","OK")))))</f>
        <v/>
      </c>
    </row>
    <row r="88">
      <c r="A88" s="10" t="n"/>
      <c r="B88" s="12">
        <f>IF(A88="","",IFERROR(INDEX(DATA!$E$2:$E$500,MATCH(A88,DATA!$D$2:$D$500,0)),""))</f>
        <v/>
      </c>
      <c r="C88" s="10" t="n"/>
      <c r="D88" s="10" t="n"/>
      <c r="E88" s="10" t="n"/>
      <c r="F88" s="10" t="n"/>
      <c r="G88" s="10" t="n"/>
      <c r="H88" s="10" t="n"/>
      <c r="I88" s="10" t="n"/>
      <c r="J88" s="12">
        <f>IF(OR(A88="",COUNT(C88:E88)&lt;3),"",IFERROR(MAX(0,FLOOR(($N$2-$N$3)/E88,1))*MAX(1,MIN(IF(G88="",1,G88),FLOOR($N$4/D88,1)))*IF(F88="",1,F88),""))</f>
        <v/>
      </c>
      <c r="K88" s="12">
        <f>IF(A88="","",IF(COUNTIF(DATA!$D$2:$D$500,A88)=0,"CEK SKU tidak ada di DATA",IF(COUNT(C88:E88)&lt;3,"CEK dimensi belum lengkap",IF(OR(C88&lt;=0,D88&lt;=0,E88&lt;=0),"CEK dimensi harus lebih dari 0",IF(COUNTIF($A$2:$A$500,A88)&gt;1,"CEK SKU dobel","OK")))))</f>
        <v/>
      </c>
    </row>
    <row r="89">
      <c r="A89" s="10" t="n"/>
      <c r="B89" s="12">
        <f>IF(A89="","",IFERROR(INDEX(DATA!$E$2:$E$500,MATCH(A89,DATA!$D$2:$D$500,0)),""))</f>
        <v/>
      </c>
      <c r="C89" s="10" t="n"/>
      <c r="D89" s="10" t="n"/>
      <c r="E89" s="10" t="n"/>
      <c r="F89" s="10" t="n"/>
      <c r="G89" s="10" t="n"/>
      <c r="H89" s="10" t="n"/>
      <c r="I89" s="10" t="n"/>
      <c r="J89" s="12">
        <f>IF(OR(A89="",COUNT(C89:E89)&lt;3),"",IFERROR(MAX(0,FLOOR(($N$2-$N$3)/E89,1))*MAX(1,MIN(IF(G89="",1,G89),FLOOR($N$4/D89,1)))*IF(F89="",1,F89),""))</f>
        <v/>
      </c>
      <c r="K89" s="12">
        <f>IF(A89="","",IF(COUNTIF(DATA!$D$2:$D$500,A89)=0,"CEK SKU tidak ada di DATA",IF(COUNT(C89:E89)&lt;3,"CEK dimensi belum lengkap",IF(OR(C89&lt;=0,D89&lt;=0,E89&lt;=0),"CEK dimensi harus lebih dari 0",IF(COUNTIF($A$2:$A$500,A89)&gt;1,"CEK SKU dobel","OK")))))</f>
        <v/>
      </c>
    </row>
    <row r="90">
      <c r="A90" s="10" t="n"/>
      <c r="B90" s="12">
        <f>IF(A90="","",IFERROR(INDEX(DATA!$E$2:$E$500,MATCH(A90,DATA!$D$2:$D$500,0)),""))</f>
        <v/>
      </c>
      <c r="C90" s="10" t="n"/>
      <c r="D90" s="10" t="n"/>
      <c r="E90" s="10" t="n"/>
      <c r="F90" s="10" t="n"/>
      <c r="G90" s="10" t="n"/>
      <c r="H90" s="10" t="n"/>
      <c r="I90" s="10" t="n"/>
      <c r="J90" s="12">
        <f>IF(OR(A90="",COUNT(C90:E90)&lt;3),"",IFERROR(MAX(0,FLOOR(($N$2-$N$3)/E90,1))*MAX(1,MIN(IF(G90="",1,G90),FLOOR($N$4/D90,1)))*IF(F90="",1,F90),""))</f>
        <v/>
      </c>
      <c r="K90" s="12">
        <f>IF(A90="","",IF(COUNTIF(DATA!$D$2:$D$500,A90)=0,"CEK SKU tidak ada di DATA",IF(COUNT(C90:E90)&lt;3,"CEK dimensi belum lengkap",IF(OR(C90&lt;=0,D90&lt;=0,E90&lt;=0),"CEK dimensi harus lebih dari 0",IF(COUNTIF($A$2:$A$500,A90)&gt;1,"CEK SKU dobel","OK")))))</f>
        <v/>
      </c>
    </row>
    <row r="91">
      <c r="A91" s="10" t="n"/>
      <c r="B91" s="12">
        <f>IF(A91="","",IFERROR(INDEX(DATA!$E$2:$E$500,MATCH(A91,DATA!$D$2:$D$500,0)),""))</f>
        <v/>
      </c>
      <c r="C91" s="10" t="n"/>
      <c r="D91" s="10" t="n"/>
      <c r="E91" s="10" t="n"/>
      <c r="F91" s="10" t="n"/>
      <c r="G91" s="10" t="n"/>
      <c r="H91" s="10" t="n"/>
      <c r="I91" s="10" t="n"/>
      <c r="J91" s="12">
        <f>IF(OR(A91="",COUNT(C91:E91)&lt;3),"",IFERROR(MAX(0,FLOOR(($N$2-$N$3)/E91,1))*MAX(1,MIN(IF(G91="",1,G91),FLOOR($N$4/D91,1)))*IF(F91="",1,F91),""))</f>
        <v/>
      </c>
      <c r="K91" s="12">
        <f>IF(A91="","",IF(COUNTIF(DATA!$D$2:$D$500,A91)=0,"CEK SKU tidak ada di DATA",IF(COUNT(C91:E91)&lt;3,"CEK dimensi belum lengkap",IF(OR(C91&lt;=0,D91&lt;=0,E91&lt;=0),"CEK dimensi harus lebih dari 0",IF(COUNTIF($A$2:$A$500,A91)&gt;1,"CEK SKU dobel","OK")))))</f>
        <v/>
      </c>
    </row>
    <row r="92">
      <c r="A92" s="10" t="n"/>
      <c r="B92" s="12">
        <f>IF(A92="","",IFERROR(INDEX(DATA!$E$2:$E$500,MATCH(A92,DATA!$D$2:$D$500,0)),""))</f>
        <v/>
      </c>
      <c r="C92" s="10" t="n"/>
      <c r="D92" s="10" t="n"/>
      <c r="E92" s="10" t="n"/>
      <c r="F92" s="10" t="n"/>
      <c r="G92" s="10" t="n"/>
      <c r="H92" s="10" t="n"/>
      <c r="I92" s="10" t="n"/>
      <c r="J92" s="12">
        <f>IF(OR(A92="",COUNT(C92:E92)&lt;3),"",IFERROR(MAX(0,FLOOR(($N$2-$N$3)/E92,1))*MAX(1,MIN(IF(G92="",1,G92),FLOOR($N$4/D92,1)))*IF(F92="",1,F92),""))</f>
        <v/>
      </c>
      <c r="K92" s="12">
        <f>IF(A92="","",IF(COUNTIF(DATA!$D$2:$D$500,A92)=0,"CEK SKU tidak ada di DATA",IF(COUNT(C92:E92)&lt;3,"CEK dimensi belum lengkap",IF(OR(C92&lt;=0,D92&lt;=0,E92&lt;=0),"CEK dimensi harus lebih dari 0",IF(COUNTIF($A$2:$A$500,A92)&gt;1,"CEK SKU dobel","OK")))))</f>
        <v/>
      </c>
    </row>
    <row r="93">
      <c r="A93" s="10" t="n"/>
      <c r="B93" s="12">
        <f>IF(A93="","",IFERROR(INDEX(DATA!$E$2:$E$500,MATCH(A93,DATA!$D$2:$D$500,0)),""))</f>
        <v/>
      </c>
      <c r="C93" s="10" t="n"/>
      <c r="D93" s="10" t="n"/>
      <c r="E93" s="10" t="n"/>
      <c r="F93" s="10" t="n"/>
      <c r="G93" s="10" t="n"/>
      <c r="H93" s="10" t="n"/>
      <c r="I93" s="10" t="n"/>
      <c r="J93" s="12">
        <f>IF(OR(A93="",COUNT(C93:E93)&lt;3),"",IFERROR(MAX(0,FLOOR(($N$2-$N$3)/E93,1))*MAX(1,MIN(IF(G93="",1,G93),FLOOR($N$4/D93,1)))*IF(F93="",1,F93),""))</f>
        <v/>
      </c>
      <c r="K93" s="12">
        <f>IF(A93="","",IF(COUNTIF(DATA!$D$2:$D$500,A93)=0,"CEK SKU tidak ada di DATA",IF(COUNT(C93:E93)&lt;3,"CEK dimensi belum lengkap",IF(OR(C93&lt;=0,D93&lt;=0,E93&lt;=0),"CEK dimensi harus lebih dari 0",IF(COUNTIF($A$2:$A$500,A93)&gt;1,"CEK SKU dobel","OK")))))</f>
        <v/>
      </c>
    </row>
    <row r="94">
      <c r="A94" s="10" t="n"/>
      <c r="B94" s="12">
        <f>IF(A94="","",IFERROR(INDEX(DATA!$E$2:$E$500,MATCH(A94,DATA!$D$2:$D$500,0)),""))</f>
        <v/>
      </c>
      <c r="C94" s="10" t="n"/>
      <c r="D94" s="10" t="n"/>
      <c r="E94" s="10" t="n"/>
      <c r="F94" s="10" t="n"/>
      <c r="G94" s="10" t="n"/>
      <c r="H94" s="10" t="n"/>
      <c r="I94" s="10" t="n"/>
      <c r="J94" s="12">
        <f>IF(OR(A94="",COUNT(C94:E94)&lt;3),"",IFERROR(MAX(0,FLOOR(($N$2-$N$3)/E94,1))*MAX(1,MIN(IF(G94="",1,G94),FLOOR($N$4/D94,1)))*IF(F94="",1,F94),""))</f>
        <v/>
      </c>
      <c r="K94" s="12">
        <f>IF(A94="","",IF(COUNTIF(DATA!$D$2:$D$500,A94)=0,"CEK SKU tidak ada di DATA",IF(COUNT(C94:E94)&lt;3,"CEK dimensi belum lengkap",IF(OR(C94&lt;=0,D94&lt;=0,E94&lt;=0),"CEK dimensi harus lebih dari 0",IF(COUNTIF($A$2:$A$500,A94)&gt;1,"CEK SKU dobel","OK")))))</f>
        <v/>
      </c>
    </row>
    <row r="95">
      <c r="A95" s="10" t="n"/>
      <c r="B95" s="12">
        <f>IF(A95="","",IFERROR(INDEX(DATA!$E$2:$E$500,MATCH(A95,DATA!$D$2:$D$500,0)),""))</f>
        <v/>
      </c>
      <c r="C95" s="10" t="n"/>
      <c r="D95" s="10" t="n"/>
      <c r="E95" s="10" t="n"/>
      <c r="F95" s="10" t="n"/>
      <c r="G95" s="10" t="n"/>
      <c r="H95" s="10" t="n"/>
      <c r="I95" s="10" t="n"/>
      <c r="J95" s="12">
        <f>IF(OR(A95="",COUNT(C95:E95)&lt;3),"",IFERROR(MAX(0,FLOOR(($N$2-$N$3)/E95,1))*MAX(1,MIN(IF(G95="",1,G95),FLOOR($N$4/D95,1)))*IF(F95="",1,F95),""))</f>
        <v/>
      </c>
      <c r="K95" s="12">
        <f>IF(A95="","",IF(COUNTIF(DATA!$D$2:$D$500,A95)=0,"CEK SKU tidak ada di DATA",IF(COUNT(C95:E95)&lt;3,"CEK dimensi belum lengkap",IF(OR(C95&lt;=0,D95&lt;=0,E95&lt;=0),"CEK dimensi harus lebih dari 0",IF(COUNTIF($A$2:$A$500,A95)&gt;1,"CEK SKU dobel","OK")))))</f>
        <v/>
      </c>
    </row>
    <row r="96">
      <c r="A96" s="10" t="n"/>
      <c r="B96" s="12">
        <f>IF(A96="","",IFERROR(INDEX(DATA!$E$2:$E$500,MATCH(A96,DATA!$D$2:$D$500,0)),""))</f>
        <v/>
      </c>
      <c r="C96" s="10" t="n"/>
      <c r="D96" s="10" t="n"/>
      <c r="E96" s="10" t="n"/>
      <c r="F96" s="10" t="n"/>
      <c r="G96" s="10" t="n"/>
      <c r="H96" s="10" t="n"/>
      <c r="I96" s="10" t="n"/>
      <c r="J96" s="12">
        <f>IF(OR(A96="",COUNT(C96:E96)&lt;3),"",IFERROR(MAX(0,FLOOR(($N$2-$N$3)/E96,1))*MAX(1,MIN(IF(G96="",1,G96),FLOOR($N$4/D96,1)))*IF(F96="",1,F96),""))</f>
        <v/>
      </c>
      <c r="K96" s="12">
        <f>IF(A96="","",IF(COUNTIF(DATA!$D$2:$D$500,A96)=0,"CEK SKU tidak ada di DATA",IF(COUNT(C96:E96)&lt;3,"CEK dimensi belum lengkap",IF(OR(C96&lt;=0,D96&lt;=0,E96&lt;=0),"CEK dimensi harus lebih dari 0",IF(COUNTIF($A$2:$A$500,A96)&gt;1,"CEK SKU dobel","OK")))))</f>
        <v/>
      </c>
    </row>
    <row r="97">
      <c r="A97" s="10" t="n"/>
      <c r="B97" s="12">
        <f>IF(A97="","",IFERROR(INDEX(DATA!$E$2:$E$500,MATCH(A97,DATA!$D$2:$D$500,0)),""))</f>
        <v/>
      </c>
      <c r="C97" s="10" t="n"/>
      <c r="D97" s="10" t="n"/>
      <c r="E97" s="10" t="n"/>
      <c r="F97" s="10" t="n"/>
      <c r="G97" s="10" t="n"/>
      <c r="H97" s="10" t="n"/>
      <c r="I97" s="10" t="n"/>
      <c r="J97" s="12">
        <f>IF(OR(A97="",COUNT(C97:E97)&lt;3),"",IFERROR(MAX(0,FLOOR(($N$2-$N$3)/E97,1))*MAX(1,MIN(IF(G97="",1,G97),FLOOR($N$4/D97,1)))*IF(F97="",1,F97),""))</f>
        <v/>
      </c>
      <c r="K97" s="12">
        <f>IF(A97="","",IF(COUNTIF(DATA!$D$2:$D$500,A97)=0,"CEK SKU tidak ada di DATA",IF(COUNT(C97:E97)&lt;3,"CEK dimensi belum lengkap",IF(OR(C97&lt;=0,D97&lt;=0,E97&lt;=0),"CEK dimensi harus lebih dari 0",IF(COUNTIF($A$2:$A$500,A97)&gt;1,"CEK SKU dobel","OK")))))</f>
        <v/>
      </c>
    </row>
    <row r="98">
      <c r="A98" s="10" t="n"/>
      <c r="B98" s="12">
        <f>IF(A98="","",IFERROR(INDEX(DATA!$E$2:$E$500,MATCH(A98,DATA!$D$2:$D$500,0)),""))</f>
        <v/>
      </c>
      <c r="C98" s="10" t="n"/>
      <c r="D98" s="10" t="n"/>
      <c r="E98" s="10" t="n"/>
      <c r="F98" s="10" t="n"/>
      <c r="G98" s="10" t="n"/>
      <c r="H98" s="10" t="n"/>
      <c r="I98" s="10" t="n"/>
      <c r="J98" s="12">
        <f>IF(OR(A98="",COUNT(C98:E98)&lt;3),"",IFERROR(MAX(0,FLOOR(($N$2-$N$3)/E98,1))*MAX(1,MIN(IF(G98="",1,G98),FLOOR($N$4/D98,1)))*IF(F98="",1,F98),""))</f>
        <v/>
      </c>
      <c r="K98" s="12">
        <f>IF(A98="","",IF(COUNTIF(DATA!$D$2:$D$500,A98)=0,"CEK SKU tidak ada di DATA",IF(COUNT(C98:E98)&lt;3,"CEK dimensi belum lengkap",IF(OR(C98&lt;=0,D98&lt;=0,E98&lt;=0),"CEK dimensi harus lebih dari 0",IF(COUNTIF($A$2:$A$500,A98)&gt;1,"CEK SKU dobel","OK")))))</f>
        <v/>
      </c>
    </row>
    <row r="99">
      <c r="A99" s="10" t="n"/>
      <c r="B99" s="12">
        <f>IF(A99="","",IFERROR(INDEX(DATA!$E$2:$E$500,MATCH(A99,DATA!$D$2:$D$500,0)),""))</f>
        <v/>
      </c>
      <c r="C99" s="10" t="n"/>
      <c r="D99" s="10" t="n"/>
      <c r="E99" s="10" t="n"/>
      <c r="F99" s="10" t="n"/>
      <c r="G99" s="10" t="n"/>
      <c r="H99" s="10" t="n"/>
      <c r="I99" s="10" t="n"/>
      <c r="J99" s="12">
        <f>IF(OR(A99="",COUNT(C99:E99)&lt;3),"",IFERROR(MAX(0,FLOOR(($N$2-$N$3)/E99,1))*MAX(1,MIN(IF(G99="",1,G99),FLOOR($N$4/D99,1)))*IF(F99="",1,F99),""))</f>
        <v/>
      </c>
      <c r="K99" s="12">
        <f>IF(A99="","",IF(COUNTIF(DATA!$D$2:$D$500,A99)=0,"CEK SKU tidak ada di DATA",IF(COUNT(C99:E99)&lt;3,"CEK dimensi belum lengkap",IF(OR(C99&lt;=0,D99&lt;=0,E99&lt;=0),"CEK dimensi harus lebih dari 0",IF(COUNTIF($A$2:$A$500,A99)&gt;1,"CEK SKU dobel","OK")))))</f>
        <v/>
      </c>
    </row>
    <row r="100">
      <c r="A100" s="10" t="n"/>
      <c r="B100" s="12">
        <f>IF(A100="","",IFERROR(INDEX(DATA!$E$2:$E$500,MATCH(A100,DATA!$D$2:$D$500,0)),""))</f>
        <v/>
      </c>
      <c r="C100" s="10" t="n"/>
      <c r="D100" s="10" t="n"/>
      <c r="E100" s="10" t="n"/>
      <c r="F100" s="10" t="n"/>
      <c r="G100" s="10" t="n"/>
      <c r="H100" s="10" t="n"/>
      <c r="I100" s="10" t="n"/>
      <c r="J100" s="12">
        <f>IF(OR(A100="",COUNT(C100:E100)&lt;3),"",IFERROR(MAX(0,FLOOR(($N$2-$N$3)/E100,1))*MAX(1,MIN(IF(G100="",1,G100),FLOOR($N$4/D100,1)))*IF(F100="",1,F100),""))</f>
        <v/>
      </c>
      <c r="K100" s="12">
        <f>IF(A100="","",IF(COUNTIF(DATA!$D$2:$D$500,A100)=0,"CEK SKU tidak ada di DATA",IF(COUNT(C100:E100)&lt;3,"CEK dimensi belum lengkap",IF(OR(C100&lt;=0,D100&lt;=0,E100&lt;=0),"CEK dimensi harus lebih dari 0",IF(COUNTIF($A$2:$A$500,A100)&gt;1,"CEK SKU dobel","OK")))))</f>
        <v/>
      </c>
    </row>
    <row r="101">
      <c r="A101" s="10" t="n"/>
      <c r="B101" s="12">
        <f>IF(A101="","",IFERROR(INDEX(DATA!$E$2:$E$500,MATCH(A101,DATA!$D$2:$D$500,0)),""))</f>
        <v/>
      </c>
      <c r="C101" s="10" t="n"/>
      <c r="D101" s="10" t="n"/>
      <c r="E101" s="10" t="n"/>
      <c r="F101" s="10" t="n"/>
      <c r="G101" s="10" t="n"/>
      <c r="H101" s="10" t="n"/>
      <c r="I101" s="10" t="n"/>
      <c r="J101" s="12">
        <f>IF(OR(A101="",COUNT(C101:E101)&lt;3),"",IFERROR(MAX(0,FLOOR(($N$2-$N$3)/E101,1))*MAX(1,MIN(IF(G101="",1,G101),FLOOR($N$4/D101,1)))*IF(F101="",1,F101),""))</f>
        <v/>
      </c>
      <c r="K101" s="12">
        <f>IF(A101="","",IF(COUNTIF(DATA!$D$2:$D$500,A101)=0,"CEK SKU tidak ada di DATA",IF(COUNT(C101:E101)&lt;3,"CEK dimensi belum lengkap",IF(OR(C101&lt;=0,D101&lt;=0,E101&lt;=0),"CEK dimensi harus lebih dari 0",IF(COUNTIF($A$2:$A$500,A101)&gt;1,"CEK SKU dobel","OK")))))</f>
        <v/>
      </c>
    </row>
    <row r="102">
      <c r="A102" s="10" t="n"/>
      <c r="B102" s="12">
        <f>IF(A102="","",IFERROR(INDEX(DATA!$E$2:$E$500,MATCH(A102,DATA!$D$2:$D$500,0)),""))</f>
        <v/>
      </c>
      <c r="C102" s="10" t="n"/>
      <c r="D102" s="10" t="n"/>
      <c r="E102" s="10" t="n"/>
      <c r="F102" s="10" t="n"/>
      <c r="G102" s="10" t="n"/>
      <c r="H102" s="10" t="n"/>
      <c r="I102" s="10" t="n"/>
      <c r="J102" s="12">
        <f>IF(OR(A102="",COUNT(C102:E102)&lt;3),"",IFERROR(MAX(0,FLOOR(($N$2-$N$3)/E102,1))*MAX(1,MIN(IF(G102="",1,G102),FLOOR($N$4/D102,1)))*IF(F102="",1,F102),""))</f>
        <v/>
      </c>
      <c r="K102" s="12">
        <f>IF(A102="","",IF(COUNTIF(DATA!$D$2:$D$500,A102)=0,"CEK SKU tidak ada di DATA",IF(COUNT(C102:E102)&lt;3,"CEK dimensi belum lengkap",IF(OR(C102&lt;=0,D102&lt;=0,E102&lt;=0),"CEK dimensi harus lebih dari 0",IF(COUNTIF($A$2:$A$500,A102)&gt;1,"CEK SKU dobel","OK")))))</f>
        <v/>
      </c>
    </row>
    <row r="103">
      <c r="A103" s="10" t="n"/>
      <c r="B103" s="12">
        <f>IF(A103="","",IFERROR(INDEX(DATA!$E$2:$E$500,MATCH(A103,DATA!$D$2:$D$500,0)),""))</f>
        <v/>
      </c>
      <c r="C103" s="10" t="n"/>
      <c r="D103" s="10" t="n"/>
      <c r="E103" s="10" t="n"/>
      <c r="F103" s="10" t="n"/>
      <c r="G103" s="10" t="n"/>
      <c r="H103" s="10" t="n"/>
      <c r="I103" s="10" t="n"/>
      <c r="J103" s="12">
        <f>IF(OR(A103="",COUNT(C103:E103)&lt;3),"",IFERROR(MAX(0,FLOOR(($N$2-$N$3)/E103,1))*MAX(1,MIN(IF(G103="",1,G103),FLOOR($N$4/D103,1)))*IF(F103="",1,F103),""))</f>
        <v/>
      </c>
      <c r="K103" s="12">
        <f>IF(A103="","",IF(COUNTIF(DATA!$D$2:$D$500,A103)=0,"CEK SKU tidak ada di DATA",IF(COUNT(C103:E103)&lt;3,"CEK dimensi belum lengkap",IF(OR(C103&lt;=0,D103&lt;=0,E103&lt;=0),"CEK dimensi harus lebih dari 0",IF(COUNTIF($A$2:$A$500,A103)&gt;1,"CEK SKU dobel","OK")))))</f>
        <v/>
      </c>
    </row>
    <row r="104">
      <c r="A104" s="10" t="n"/>
      <c r="B104" s="12">
        <f>IF(A104="","",IFERROR(INDEX(DATA!$E$2:$E$500,MATCH(A104,DATA!$D$2:$D$500,0)),""))</f>
        <v/>
      </c>
      <c r="C104" s="10" t="n"/>
      <c r="D104" s="10" t="n"/>
      <c r="E104" s="10" t="n"/>
      <c r="F104" s="10" t="n"/>
      <c r="G104" s="10" t="n"/>
      <c r="H104" s="10" t="n"/>
      <c r="I104" s="10" t="n"/>
      <c r="J104" s="12">
        <f>IF(OR(A104="",COUNT(C104:E104)&lt;3),"",IFERROR(MAX(0,FLOOR(($N$2-$N$3)/E104,1))*MAX(1,MIN(IF(G104="",1,G104),FLOOR($N$4/D104,1)))*IF(F104="",1,F104),""))</f>
        <v/>
      </c>
      <c r="K104" s="12">
        <f>IF(A104="","",IF(COUNTIF(DATA!$D$2:$D$500,A104)=0,"CEK SKU tidak ada di DATA",IF(COUNT(C104:E104)&lt;3,"CEK dimensi belum lengkap",IF(OR(C104&lt;=0,D104&lt;=0,E104&lt;=0),"CEK dimensi harus lebih dari 0",IF(COUNTIF($A$2:$A$500,A104)&gt;1,"CEK SKU dobel","OK")))))</f>
        <v/>
      </c>
    </row>
    <row r="105">
      <c r="A105" s="10" t="n"/>
      <c r="B105" s="12">
        <f>IF(A105="","",IFERROR(INDEX(DATA!$E$2:$E$500,MATCH(A105,DATA!$D$2:$D$500,0)),""))</f>
        <v/>
      </c>
      <c r="C105" s="10" t="n"/>
      <c r="D105" s="10" t="n"/>
      <c r="E105" s="10" t="n"/>
      <c r="F105" s="10" t="n"/>
      <c r="G105" s="10" t="n"/>
      <c r="H105" s="10" t="n"/>
      <c r="I105" s="10" t="n"/>
      <c r="J105" s="12">
        <f>IF(OR(A105="",COUNT(C105:E105)&lt;3),"",IFERROR(MAX(0,FLOOR(($N$2-$N$3)/E105,1))*MAX(1,MIN(IF(G105="",1,G105),FLOOR($N$4/D105,1)))*IF(F105="",1,F105),""))</f>
        <v/>
      </c>
      <c r="K105" s="12">
        <f>IF(A105="","",IF(COUNTIF(DATA!$D$2:$D$500,A105)=0,"CEK SKU tidak ada di DATA",IF(COUNT(C105:E105)&lt;3,"CEK dimensi belum lengkap",IF(OR(C105&lt;=0,D105&lt;=0,E105&lt;=0),"CEK dimensi harus lebih dari 0",IF(COUNTIF($A$2:$A$500,A105)&gt;1,"CEK SKU dobel","OK")))))</f>
        <v/>
      </c>
    </row>
    <row r="106">
      <c r="A106" s="10" t="n"/>
      <c r="B106" s="12">
        <f>IF(A106="","",IFERROR(INDEX(DATA!$E$2:$E$500,MATCH(A106,DATA!$D$2:$D$500,0)),""))</f>
        <v/>
      </c>
      <c r="C106" s="10" t="n"/>
      <c r="D106" s="10" t="n"/>
      <c r="E106" s="10" t="n"/>
      <c r="F106" s="10" t="n"/>
      <c r="G106" s="10" t="n"/>
      <c r="H106" s="10" t="n"/>
      <c r="I106" s="10" t="n"/>
      <c r="J106" s="12">
        <f>IF(OR(A106="",COUNT(C106:E106)&lt;3),"",IFERROR(MAX(0,FLOOR(($N$2-$N$3)/E106,1))*MAX(1,MIN(IF(G106="",1,G106),FLOOR($N$4/D106,1)))*IF(F106="",1,F106),""))</f>
        <v/>
      </c>
      <c r="K106" s="12">
        <f>IF(A106="","",IF(COUNTIF(DATA!$D$2:$D$500,A106)=0,"CEK SKU tidak ada di DATA",IF(COUNT(C106:E106)&lt;3,"CEK dimensi belum lengkap",IF(OR(C106&lt;=0,D106&lt;=0,E106&lt;=0),"CEK dimensi harus lebih dari 0",IF(COUNTIF($A$2:$A$500,A106)&gt;1,"CEK SKU dobel","OK")))))</f>
        <v/>
      </c>
    </row>
    <row r="107">
      <c r="A107" s="10" t="n"/>
      <c r="B107" s="12">
        <f>IF(A107="","",IFERROR(INDEX(DATA!$E$2:$E$500,MATCH(A107,DATA!$D$2:$D$500,0)),""))</f>
        <v/>
      </c>
      <c r="C107" s="10" t="n"/>
      <c r="D107" s="10" t="n"/>
      <c r="E107" s="10" t="n"/>
      <c r="F107" s="10" t="n"/>
      <c r="G107" s="10" t="n"/>
      <c r="H107" s="10" t="n"/>
      <c r="I107" s="10" t="n"/>
      <c r="J107" s="12">
        <f>IF(OR(A107="",COUNT(C107:E107)&lt;3),"",IFERROR(MAX(0,FLOOR(($N$2-$N$3)/E107,1))*MAX(1,MIN(IF(G107="",1,G107),FLOOR($N$4/D107,1)))*IF(F107="",1,F107),""))</f>
        <v/>
      </c>
      <c r="K107" s="12">
        <f>IF(A107="","",IF(COUNTIF(DATA!$D$2:$D$500,A107)=0,"CEK SKU tidak ada di DATA",IF(COUNT(C107:E107)&lt;3,"CEK dimensi belum lengkap",IF(OR(C107&lt;=0,D107&lt;=0,E107&lt;=0),"CEK dimensi harus lebih dari 0",IF(COUNTIF($A$2:$A$500,A107)&gt;1,"CEK SKU dobel","OK")))))</f>
        <v/>
      </c>
    </row>
    <row r="108">
      <c r="A108" s="10" t="n"/>
      <c r="B108" s="12">
        <f>IF(A108="","",IFERROR(INDEX(DATA!$E$2:$E$500,MATCH(A108,DATA!$D$2:$D$500,0)),""))</f>
        <v/>
      </c>
      <c r="C108" s="10" t="n"/>
      <c r="D108" s="10" t="n"/>
      <c r="E108" s="10" t="n"/>
      <c r="F108" s="10" t="n"/>
      <c r="G108" s="10" t="n"/>
      <c r="H108" s="10" t="n"/>
      <c r="I108" s="10" t="n"/>
      <c r="J108" s="12">
        <f>IF(OR(A108="",COUNT(C108:E108)&lt;3),"",IFERROR(MAX(0,FLOOR(($N$2-$N$3)/E108,1))*MAX(1,MIN(IF(G108="",1,G108),FLOOR($N$4/D108,1)))*IF(F108="",1,F108),""))</f>
        <v/>
      </c>
      <c r="K108" s="12">
        <f>IF(A108="","",IF(COUNTIF(DATA!$D$2:$D$500,A108)=0,"CEK SKU tidak ada di DATA",IF(COUNT(C108:E108)&lt;3,"CEK dimensi belum lengkap",IF(OR(C108&lt;=0,D108&lt;=0,E108&lt;=0),"CEK dimensi harus lebih dari 0",IF(COUNTIF($A$2:$A$500,A108)&gt;1,"CEK SKU dobel","OK")))))</f>
        <v/>
      </c>
    </row>
    <row r="109">
      <c r="A109" s="10" t="n"/>
      <c r="B109" s="12">
        <f>IF(A109="","",IFERROR(INDEX(DATA!$E$2:$E$500,MATCH(A109,DATA!$D$2:$D$500,0)),""))</f>
        <v/>
      </c>
      <c r="C109" s="10" t="n"/>
      <c r="D109" s="10" t="n"/>
      <c r="E109" s="10" t="n"/>
      <c r="F109" s="10" t="n"/>
      <c r="G109" s="10" t="n"/>
      <c r="H109" s="10" t="n"/>
      <c r="I109" s="10" t="n"/>
      <c r="J109" s="12">
        <f>IF(OR(A109="",COUNT(C109:E109)&lt;3),"",IFERROR(MAX(0,FLOOR(($N$2-$N$3)/E109,1))*MAX(1,MIN(IF(G109="",1,G109),FLOOR($N$4/D109,1)))*IF(F109="",1,F109),""))</f>
        <v/>
      </c>
      <c r="K109" s="12">
        <f>IF(A109="","",IF(COUNTIF(DATA!$D$2:$D$500,A109)=0,"CEK SKU tidak ada di DATA",IF(COUNT(C109:E109)&lt;3,"CEK dimensi belum lengkap",IF(OR(C109&lt;=0,D109&lt;=0,E109&lt;=0),"CEK dimensi harus lebih dari 0",IF(COUNTIF($A$2:$A$500,A109)&gt;1,"CEK SKU dobel","OK")))))</f>
        <v/>
      </c>
    </row>
    <row r="110">
      <c r="A110" s="10" t="n"/>
      <c r="B110" s="12">
        <f>IF(A110="","",IFERROR(INDEX(DATA!$E$2:$E$500,MATCH(A110,DATA!$D$2:$D$500,0)),""))</f>
        <v/>
      </c>
      <c r="C110" s="10" t="n"/>
      <c r="D110" s="10" t="n"/>
      <c r="E110" s="10" t="n"/>
      <c r="F110" s="10" t="n"/>
      <c r="G110" s="10" t="n"/>
      <c r="H110" s="10" t="n"/>
      <c r="I110" s="10" t="n"/>
      <c r="J110" s="12">
        <f>IF(OR(A110="",COUNT(C110:E110)&lt;3),"",IFERROR(MAX(0,FLOOR(($N$2-$N$3)/E110,1))*MAX(1,MIN(IF(G110="",1,G110),FLOOR($N$4/D110,1)))*IF(F110="",1,F110),""))</f>
        <v/>
      </c>
      <c r="K110" s="12">
        <f>IF(A110="","",IF(COUNTIF(DATA!$D$2:$D$500,A110)=0,"CEK SKU tidak ada di DATA",IF(COUNT(C110:E110)&lt;3,"CEK dimensi belum lengkap",IF(OR(C110&lt;=0,D110&lt;=0,E110&lt;=0),"CEK dimensi harus lebih dari 0",IF(COUNTIF($A$2:$A$500,A110)&gt;1,"CEK SKU dobel","OK")))))</f>
        <v/>
      </c>
    </row>
    <row r="111">
      <c r="A111" s="10" t="n"/>
      <c r="B111" s="12">
        <f>IF(A111="","",IFERROR(INDEX(DATA!$E$2:$E$500,MATCH(A111,DATA!$D$2:$D$500,0)),""))</f>
        <v/>
      </c>
      <c r="C111" s="10" t="n"/>
      <c r="D111" s="10" t="n"/>
      <c r="E111" s="10" t="n"/>
      <c r="F111" s="10" t="n"/>
      <c r="G111" s="10" t="n"/>
      <c r="H111" s="10" t="n"/>
      <c r="I111" s="10" t="n"/>
      <c r="J111" s="12">
        <f>IF(OR(A111="",COUNT(C111:E111)&lt;3),"",IFERROR(MAX(0,FLOOR(($N$2-$N$3)/E111,1))*MAX(1,MIN(IF(G111="",1,G111),FLOOR($N$4/D111,1)))*IF(F111="",1,F111),""))</f>
        <v/>
      </c>
      <c r="K111" s="12">
        <f>IF(A111="","",IF(COUNTIF(DATA!$D$2:$D$500,A111)=0,"CEK SKU tidak ada di DATA",IF(COUNT(C111:E111)&lt;3,"CEK dimensi belum lengkap",IF(OR(C111&lt;=0,D111&lt;=0,E111&lt;=0),"CEK dimensi harus lebih dari 0",IF(COUNTIF($A$2:$A$500,A111)&gt;1,"CEK SKU dobel","OK")))))</f>
        <v/>
      </c>
    </row>
    <row r="112">
      <c r="A112" s="10" t="n"/>
      <c r="B112" s="12">
        <f>IF(A112="","",IFERROR(INDEX(DATA!$E$2:$E$500,MATCH(A112,DATA!$D$2:$D$500,0)),""))</f>
        <v/>
      </c>
      <c r="C112" s="10" t="n"/>
      <c r="D112" s="10" t="n"/>
      <c r="E112" s="10" t="n"/>
      <c r="F112" s="10" t="n"/>
      <c r="G112" s="10" t="n"/>
      <c r="H112" s="10" t="n"/>
      <c r="I112" s="10" t="n"/>
      <c r="J112" s="12">
        <f>IF(OR(A112="",COUNT(C112:E112)&lt;3),"",IFERROR(MAX(0,FLOOR(($N$2-$N$3)/E112,1))*MAX(1,MIN(IF(G112="",1,G112),FLOOR($N$4/D112,1)))*IF(F112="",1,F112),""))</f>
        <v/>
      </c>
      <c r="K112" s="12">
        <f>IF(A112="","",IF(COUNTIF(DATA!$D$2:$D$500,A112)=0,"CEK SKU tidak ada di DATA",IF(COUNT(C112:E112)&lt;3,"CEK dimensi belum lengkap",IF(OR(C112&lt;=0,D112&lt;=0,E112&lt;=0),"CEK dimensi harus lebih dari 0",IF(COUNTIF($A$2:$A$500,A112)&gt;1,"CEK SKU dobel","OK")))))</f>
        <v/>
      </c>
    </row>
    <row r="113">
      <c r="A113" s="10" t="n"/>
      <c r="B113" s="12">
        <f>IF(A113="","",IFERROR(INDEX(DATA!$E$2:$E$500,MATCH(A113,DATA!$D$2:$D$500,0)),""))</f>
        <v/>
      </c>
      <c r="C113" s="10" t="n"/>
      <c r="D113" s="10" t="n"/>
      <c r="E113" s="10" t="n"/>
      <c r="F113" s="10" t="n"/>
      <c r="G113" s="10" t="n"/>
      <c r="H113" s="10" t="n"/>
      <c r="I113" s="10" t="n"/>
      <c r="J113" s="12">
        <f>IF(OR(A113="",COUNT(C113:E113)&lt;3),"",IFERROR(MAX(0,FLOOR(($N$2-$N$3)/E113,1))*MAX(1,MIN(IF(G113="",1,G113),FLOOR($N$4/D113,1)))*IF(F113="",1,F113),""))</f>
        <v/>
      </c>
      <c r="K113" s="12">
        <f>IF(A113="","",IF(COUNTIF(DATA!$D$2:$D$500,A113)=0,"CEK SKU tidak ada di DATA",IF(COUNT(C113:E113)&lt;3,"CEK dimensi belum lengkap",IF(OR(C113&lt;=0,D113&lt;=0,E113&lt;=0),"CEK dimensi harus lebih dari 0",IF(COUNTIF($A$2:$A$500,A113)&gt;1,"CEK SKU dobel","OK")))))</f>
        <v/>
      </c>
    </row>
    <row r="114">
      <c r="A114" s="10" t="n"/>
      <c r="B114" s="12">
        <f>IF(A114="","",IFERROR(INDEX(DATA!$E$2:$E$500,MATCH(A114,DATA!$D$2:$D$500,0)),""))</f>
        <v/>
      </c>
      <c r="C114" s="10" t="n"/>
      <c r="D114" s="10" t="n"/>
      <c r="E114" s="10" t="n"/>
      <c r="F114" s="10" t="n"/>
      <c r="G114" s="10" t="n"/>
      <c r="H114" s="10" t="n"/>
      <c r="I114" s="10" t="n"/>
      <c r="J114" s="12">
        <f>IF(OR(A114="",COUNT(C114:E114)&lt;3),"",IFERROR(MAX(0,FLOOR(($N$2-$N$3)/E114,1))*MAX(1,MIN(IF(G114="",1,G114),FLOOR($N$4/D114,1)))*IF(F114="",1,F114),""))</f>
        <v/>
      </c>
      <c r="K114" s="12">
        <f>IF(A114="","",IF(COUNTIF(DATA!$D$2:$D$500,A114)=0,"CEK SKU tidak ada di DATA",IF(COUNT(C114:E114)&lt;3,"CEK dimensi belum lengkap",IF(OR(C114&lt;=0,D114&lt;=0,E114&lt;=0),"CEK dimensi harus lebih dari 0",IF(COUNTIF($A$2:$A$500,A114)&gt;1,"CEK SKU dobel","OK")))))</f>
        <v/>
      </c>
    </row>
    <row r="115">
      <c r="A115" s="10" t="n"/>
      <c r="B115" s="12">
        <f>IF(A115="","",IFERROR(INDEX(DATA!$E$2:$E$500,MATCH(A115,DATA!$D$2:$D$500,0)),""))</f>
        <v/>
      </c>
      <c r="C115" s="10" t="n"/>
      <c r="D115" s="10" t="n"/>
      <c r="E115" s="10" t="n"/>
      <c r="F115" s="10" t="n"/>
      <c r="G115" s="10" t="n"/>
      <c r="H115" s="10" t="n"/>
      <c r="I115" s="10" t="n"/>
      <c r="J115" s="12">
        <f>IF(OR(A115="",COUNT(C115:E115)&lt;3),"",IFERROR(MAX(0,FLOOR(($N$2-$N$3)/E115,1))*MAX(1,MIN(IF(G115="",1,G115),FLOOR($N$4/D115,1)))*IF(F115="",1,F115),""))</f>
        <v/>
      </c>
      <c r="K115" s="12">
        <f>IF(A115="","",IF(COUNTIF(DATA!$D$2:$D$500,A115)=0,"CEK SKU tidak ada di DATA",IF(COUNT(C115:E115)&lt;3,"CEK dimensi belum lengkap",IF(OR(C115&lt;=0,D115&lt;=0,E115&lt;=0),"CEK dimensi harus lebih dari 0",IF(COUNTIF($A$2:$A$500,A115)&gt;1,"CEK SKU dobel","OK")))))</f>
        <v/>
      </c>
    </row>
    <row r="116">
      <c r="A116" s="10" t="n"/>
      <c r="B116" s="12">
        <f>IF(A116="","",IFERROR(INDEX(DATA!$E$2:$E$500,MATCH(A116,DATA!$D$2:$D$500,0)),""))</f>
        <v/>
      </c>
      <c r="C116" s="10" t="n"/>
      <c r="D116" s="10" t="n"/>
      <c r="E116" s="10" t="n"/>
      <c r="F116" s="10" t="n"/>
      <c r="G116" s="10" t="n"/>
      <c r="H116" s="10" t="n"/>
      <c r="I116" s="10" t="n"/>
      <c r="J116" s="12">
        <f>IF(OR(A116="",COUNT(C116:E116)&lt;3),"",IFERROR(MAX(0,FLOOR(($N$2-$N$3)/E116,1))*MAX(1,MIN(IF(G116="",1,G116),FLOOR($N$4/D116,1)))*IF(F116="",1,F116),""))</f>
        <v/>
      </c>
      <c r="K116" s="12">
        <f>IF(A116="","",IF(COUNTIF(DATA!$D$2:$D$500,A116)=0,"CEK SKU tidak ada di DATA",IF(COUNT(C116:E116)&lt;3,"CEK dimensi belum lengkap",IF(OR(C116&lt;=0,D116&lt;=0,E116&lt;=0),"CEK dimensi harus lebih dari 0",IF(COUNTIF($A$2:$A$500,A116)&gt;1,"CEK SKU dobel","OK")))))</f>
        <v/>
      </c>
    </row>
    <row r="117">
      <c r="A117" s="10" t="n"/>
      <c r="B117" s="12">
        <f>IF(A117="","",IFERROR(INDEX(DATA!$E$2:$E$500,MATCH(A117,DATA!$D$2:$D$500,0)),""))</f>
        <v/>
      </c>
      <c r="C117" s="10" t="n"/>
      <c r="D117" s="10" t="n"/>
      <c r="E117" s="10" t="n"/>
      <c r="F117" s="10" t="n"/>
      <c r="G117" s="10" t="n"/>
      <c r="H117" s="10" t="n"/>
      <c r="I117" s="10" t="n"/>
      <c r="J117" s="12">
        <f>IF(OR(A117="",COUNT(C117:E117)&lt;3),"",IFERROR(MAX(0,FLOOR(($N$2-$N$3)/E117,1))*MAX(1,MIN(IF(G117="",1,G117),FLOOR($N$4/D117,1)))*IF(F117="",1,F117),""))</f>
        <v/>
      </c>
      <c r="K117" s="12">
        <f>IF(A117="","",IF(COUNTIF(DATA!$D$2:$D$500,A117)=0,"CEK SKU tidak ada di DATA",IF(COUNT(C117:E117)&lt;3,"CEK dimensi belum lengkap",IF(OR(C117&lt;=0,D117&lt;=0,E117&lt;=0),"CEK dimensi harus lebih dari 0",IF(COUNTIF($A$2:$A$500,A117)&gt;1,"CEK SKU dobel","OK")))))</f>
        <v/>
      </c>
    </row>
    <row r="118">
      <c r="A118" s="10" t="n"/>
      <c r="B118" s="12">
        <f>IF(A118="","",IFERROR(INDEX(DATA!$E$2:$E$500,MATCH(A118,DATA!$D$2:$D$500,0)),""))</f>
        <v/>
      </c>
      <c r="C118" s="10" t="n"/>
      <c r="D118" s="10" t="n"/>
      <c r="E118" s="10" t="n"/>
      <c r="F118" s="10" t="n"/>
      <c r="G118" s="10" t="n"/>
      <c r="H118" s="10" t="n"/>
      <c r="I118" s="10" t="n"/>
      <c r="J118" s="12">
        <f>IF(OR(A118="",COUNT(C118:E118)&lt;3),"",IFERROR(MAX(0,FLOOR(($N$2-$N$3)/E118,1))*MAX(1,MIN(IF(G118="",1,G118),FLOOR($N$4/D118,1)))*IF(F118="",1,F118),""))</f>
        <v/>
      </c>
      <c r="K118" s="12">
        <f>IF(A118="","",IF(COUNTIF(DATA!$D$2:$D$500,A118)=0,"CEK SKU tidak ada di DATA",IF(COUNT(C118:E118)&lt;3,"CEK dimensi belum lengkap",IF(OR(C118&lt;=0,D118&lt;=0,E118&lt;=0),"CEK dimensi harus lebih dari 0",IF(COUNTIF($A$2:$A$500,A118)&gt;1,"CEK SKU dobel","OK")))))</f>
        <v/>
      </c>
    </row>
    <row r="119">
      <c r="A119" s="10" t="n"/>
      <c r="B119" s="12">
        <f>IF(A119="","",IFERROR(INDEX(DATA!$E$2:$E$500,MATCH(A119,DATA!$D$2:$D$500,0)),""))</f>
        <v/>
      </c>
      <c r="C119" s="10" t="n"/>
      <c r="D119" s="10" t="n"/>
      <c r="E119" s="10" t="n"/>
      <c r="F119" s="10" t="n"/>
      <c r="G119" s="10" t="n"/>
      <c r="H119" s="10" t="n"/>
      <c r="I119" s="10" t="n"/>
      <c r="J119" s="12">
        <f>IF(OR(A119="",COUNT(C119:E119)&lt;3),"",IFERROR(MAX(0,FLOOR(($N$2-$N$3)/E119,1))*MAX(1,MIN(IF(G119="",1,G119),FLOOR($N$4/D119,1)))*IF(F119="",1,F119),""))</f>
        <v/>
      </c>
      <c r="K119" s="12">
        <f>IF(A119="","",IF(COUNTIF(DATA!$D$2:$D$500,A119)=0,"CEK SKU tidak ada di DATA",IF(COUNT(C119:E119)&lt;3,"CEK dimensi belum lengkap",IF(OR(C119&lt;=0,D119&lt;=0,E119&lt;=0),"CEK dimensi harus lebih dari 0",IF(COUNTIF($A$2:$A$500,A119)&gt;1,"CEK SKU dobel","OK")))))</f>
        <v/>
      </c>
    </row>
    <row r="120">
      <c r="A120" s="10" t="n"/>
      <c r="B120" s="12">
        <f>IF(A120="","",IFERROR(INDEX(DATA!$E$2:$E$500,MATCH(A120,DATA!$D$2:$D$500,0)),""))</f>
        <v/>
      </c>
      <c r="C120" s="10" t="n"/>
      <c r="D120" s="10" t="n"/>
      <c r="E120" s="10" t="n"/>
      <c r="F120" s="10" t="n"/>
      <c r="G120" s="10" t="n"/>
      <c r="H120" s="10" t="n"/>
      <c r="I120" s="10" t="n"/>
      <c r="J120" s="12">
        <f>IF(OR(A120="",COUNT(C120:E120)&lt;3),"",IFERROR(MAX(0,FLOOR(($N$2-$N$3)/E120,1))*MAX(1,MIN(IF(G120="",1,G120),FLOOR($N$4/D120,1)))*IF(F120="",1,F120),""))</f>
        <v/>
      </c>
      <c r="K120" s="12">
        <f>IF(A120="","",IF(COUNTIF(DATA!$D$2:$D$500,A120)=0,"CEK SKU tidak ada di DATA",IF(COUNT(C120:E120)&lt;3,"CEK dimensi belum lengkap",IF(OR(C120&lt;=0,D120&lt;=0,E120&lt;=0),"CEK dimensi harus lebih dari 0",IF(COUNTIF($A$2:$A$500,A120)&gt;1,"CEK SKU dobel","OK")))))</f>
        <v/>
      </c>
    </row>
    <row r="121">
      <c r="A121" s="10" t="n"/>
      <c r="B121" s="12">
        <f>IF(A121="","",IFERROR(INDEX(DATA!$E$2:$E$500,MATCH(A121,DATA!$D$2:$D$500,0)),""))</f>
        <v/>
      </c>
      <c r="C121" s="10" t="n"/>
      <c r="D121" s="10" t="n"/>
      <c r="E121" s="10" t="n"/>
      <c r="F121" s="10" t="n"/>
      <c r="G121" s="10" t="n"/>
      <c r="H121" s="10" t="n"/>
      <c r="I121" s="10" t="n"/>
      <c r="J121" s="12">
        <f>IF(OR(A121="",COUNT(C121:E121)&lt;3),"",IFERROR(MAX(0,FLOOR(($N$2-$N$3)/E121,1))*MAX(1,MIN(IF(G121="",1,G121),FLOOR($N$4/D121,1)))*IF(F121="",1,F121),""))</f>
        <v/>
      </c>
      <c r="K121" s="12">
        <f>IF(A121="","",IF(COUNTIF(DATA!$D$2:$D$500,A121)=0,"CEK SKU tidak ada di DATA",IF(COUNT(C121:E121)&lt;3,"CEK dimensi belum lengkap",IF(OR(C121&lt;=0,D121&lt;=0,E121&lt;=0),"CEK dimensi harus lebih dari 0",IF(COUNTIF($A$2:$A$500,A121)&gt;1,"CEK SKU dobel","OK")))))</f>
        <v/>
      </c>
    </row>
    <row r="122">
      <c r="A122" s="10" t="n"/>
      <c r="B122" s="12">
        <f>IF(A122="","",IFERROR(INDEX(DATA!$E$2:$E$500,MATCH(A122,DATA!$D$2:$D$500,0)),""))</f>
        <v/>
      </c>
      <c r="C122" s="10" t="n"/>
      <c r="D122" s="10" t="n"/>
      <c r="E122" s="10" t="n"/>
      <c r="F122" s="10" t="n"/>
      <c r="G122" s="10" t="n"/>
      <c r="H122" s="10" t="n"/>
      <c r="I122" s="10" t="n"/>
      <c r="J122" s="12">
        <f>IF(OR(A122="",COUNT(C122:E122)&lt;3),"",IFERROR(MAX(0,FLOOR(($N$2-$N$3)/E122,1))*MAX(1,MIN(IF(G122="",1,G122),FLOOR($N$4/D122,1)))*IF(F122="",1,F122),""))</f>
        <v/>
      </c>
      <c r="K122" s="12">
        <f>IF(A122="","",IF(COUNTIF(DATA!$D$2:$D$500,A122)=0,"CEK SKU tidak ada di DATA",IF(COUNT(C122:E122)&lt;3,"CEK dimensi belum lengkap",IF(OR(C122&lt;=0,D122&lt;=0,E122&lt;=0),"CEK dimensi harus lebih dari 0",IF(COUNTIF($A$2:$A$500,A122)&gt;1,"CEK SKU dobel","OK")))))</f>
        <v/>
      </c>
    </row>
    <row r="123">
      <c r="A123" s="10" t="n"/>
      <c r="B123" s="12">
        <f>IF(A123="","",IFERROR(INDEX(DATA!$E$2:$E$500,MATCH(A123,DATA!$D$2:$D$500,0)),""))</f>
        <v/>
      </c>
      <c r="C123" s="10" t="n"/>
      <c r="D123" s="10" t="n"/>
      <c r="E123" s="10" t="n"/>
      <c r="F123" s="10" t="n"/>
      <c r="G123" s="10" t="n"/>
      <c r="H123" s="10" t="n"/>
      <c r="I123" s="10" t="n"/>
      <c r="J123" s="12">
        <f>IF(OR(A123="",COUNT(C123:E123)&lt;3),"",IFERROR(MAX(0,FLOOR(($N$2-$N$3)/E123,1))*MAX(1,MIN(IF(G123="",1,G123),FLOOR($N$4/D123,1)))*IF(F123="",1,F123),""))</f>
        <v/>
      </c>
      <c r="K123" s="12">
        <f>IF(A123="","",IF(COUNTIF(DATA!$D$2:$D$500,A123)=0,"CEK SKU tidak ada di DATA",IF(COUNT(C123:E123)&lt;3,"CEK dimensi belum lengkap",IF(OR(C123&lt;=0,D123&lt;=0,E123&lt;=0),"CEK dimensi harus lebih dari 0",IF(COUNTIF($A$2:$A$500,A123)&gt;1,"CEK SKU dobel","OK")))))</f>
        <v/>
      </c>
    </row>
    <row r="124">
      <c r="A124" s="10" t="n"/>
      <c r="B124" s="12">
        <f>IF(A124="","",IFERROR(INDEX(DATA!$E$2:$E$500,MATCH(A124,DATA!$D$2:$D$500,0)),""))</f>
        <v/>
      </c>
      <c r="C124" s="10" t="n"/>
      <c r="D124" s="10" t="n"/>
      <c r="E124" s="10" t="n"/>
      <c r="F124" s="10" t="n"/>
      <c r="G124" s="10" t="n"/>
      <c r="H124" s="10" t="n"/>
      <c r="I124" s="10" t="n"/>
      <c r="J124" s="12">
        <f>IF(OR(A124="",COUNT(C124:E124)&lt;3),"",IFERROR(MAX(0,FLOOR(($N$2-$N$3)/E124,1))*MAX(1,MIN(IF(G124="",1,G124),FLOOR($N$4/D124,1)))*IF(F124="",1,F124),""))</f>
        <v/>
      </c>
      <c r="K124" s="12">
        <f>IF(A124="","",IF(COUNTIF(DATA!$D$2:$D$500,A124)=0,"CEK SKU tidak ada di DATA",IF(COUNT(C124:E124)&lt;3,"CEK dimensi belum lengkap",IF(OR(C124&lt;=0,D124&lt;=0,E124&lt;=0),"CEK dimensi harus lebih dari 0",IF(COUNTIF($A$2:$A$500,A124)&gt;1,"CEK SKU dobel","OK")))))</f>
        <v/>
      </c>
    </row>
    <row r="125">
      <c r="A125" s="10" t="n"/>
      <c r="B125" s="12">
        <f>IF(A125="","",IFERROR(INDEX(DATA!$E$2:$E$500,MATCH(A125,DATA!$D$2:$D$500,0)),""))</f>
        <v/>
      </c>
      <c r="C125" s="10" t="n"/>
      <c r="D125" s="10" t="n"/>
      <c r="E125" s="10" t="n"/>
      <c r="F125" s="10" t="n"/>
      <c r="G125" s="10" t="n"/>
      <c r="H125" s="10" t="n"/>
      <c r="I125" s="10" t="n"/>
      <c r="J125" s="12">
        <f>IF(OR(A125="",COUNT(C125:E125)&lt;3),"",IFERROR(MAX(0,FLOOR(($N$2-$N$3)/E125,1))*MAX(1,MIN(IF(G125="",1,G125),FLOOR($N$4/D125,1)))*IF(F125="",1,F125),""))</f>
        <v/>
      </c>
      <c r="K125" s="12">
        <f>IF(A125="","",IF(COUNTIF(DATA!$D$2:$D$500,A125)=0,"CEK SKU tidak ada di DATA",IF(COUNT(C125:E125)&lt;3,"CEK dimensi belum lengkap",IF(OR(C125&lt;=0,D125&lt;=0,E125&lt;=0),"CEK dimensi harus lebih dari 0",IF(COUNTIF($A$2:$A$500,A125)&gt;1,"CEK SKU dobel","OK")))))</f>
        <v/>
      </c>
    </row>
    <row r="126">
      <c r="A126" s="10" t="n"/>
      <c r="B126" s="12">
        <f>IF(A126="","",IFERROR(INDEX(DATA!$E$2:$E$500,MATCH(A126,DATA!$D$2:$D$500,0)),""))</f>
        <v/>
      </c>
      <c r="C126" s="10" t="n"/>
      <c r="D126" s="10" t="n"/>
      <c r="E126" s="10" t="n"/>
      <c r="F126" s="10" t="n"/>
      <c r="G126" s="10" t="n"/>
      <c r="H126" s="10" t="n"/>
      <c r="I126" s="10" t="n"/>
      <c r="J126" s="12">
        <f>IF(OR(A126="",COUNT(C126:E126)&lt;3),"",IFERROR(MAX(0,FLOOR(($N$2-$N$3)/E126,1))*MAX(1,MIN(IF(G126="",1,G126),FLOOR($N$4/D126,1)))*IF(F126="",1,F126),""))</f>
        <v/>
      </c>
      <c r="K126" s="12">
        <f>IF(A126="","",IF(COUNTIF(DATA!$D$2:$D$500,A126)=0,"CEK SKU tidak ada di DATA",IF(COUNT(C126:E126)&lt;3,"CEK dimensi belum lengkap",IF(OR(C126&lt;=0,D126&lt;=0,E126&lt;=0),"CEK dimensi harus lebih dari 0",IF(COUNTIF($A$2:$A$500,A126)&gt;1,"CEK SKU dobel","OK")))))</f>
        <v/>
      </c>
    </row>
    <row r="127">
      <c r="A127" s="10" t="n"/>
      <c r="B127" s="12">
        <f>IF(A127="","",IFERROR(INDEX(DATA!$E$2:$E$500,MATCH(A127,DATA!$D$2:$D$500,0)),""))</f>
        <v/>
      </c>
      <c r="C127" s="10" t="n"/>
      <c r="D127" s="10" t="n"/>
      <c r="E127" s="10" t="n"/>
      <c r="F127" s="10" t="n"/>
      <c r="G127" s="10" t="n"/>
      <c r="H127" s="10" t="n"/>
      <c r="I127" s="10" t="n"/>
      <c r="J127" s="12">
        <f>IF(OR(A127="",COUNT(C127:E127)&lt;3),"",IFERROR(MAX(0,FLOOR(($N$2-$N$3)/E127,1))*MAX(1,MIN(IF(G127="",1,G127),FLOOR($N$4/D127,1)))*IF(F127="",1,F127),""))</f>
        <v/>
      </c>
      <c r="K127" s="12">
        <f>IF(A127="","",IF(COUNTIF(DATA!$D$2:$D$500,A127)=0,"CEK SKU tidak ada di DATA",IF(COUNT(C127:E127)&lt;3,"CEK dimensi belum lengkap",IF(OR(C127&lt;=0,D127&lt;=0,E127&lt;=0),"CEK dimensi harus lebih dari 0",IF(COUNTIF($A$2:$A$500,A127)&gt;1,"CEK SKU dobel","OK")))))</f>
        <v/>
      </c>
    </row>
    <row r="128">
      <c r="A128" s="10" t="n"/>
      <c r="B128" s="12">
        <f>IF(A128="","",IFERROR(INDEX(DATA!$E$2:$E$500,MATCH(A128,DATA!$D$2:$D$500,0)),""))</f>
        <v/>
      </c>
      <c r="C128" s="10" t="n"/>
      <c r="D128" s="10" t="n"/>
      <c r="E128" s="10" t="n"/>
      <c r="F128" s="10" t="n"/>
      <c r="G128" s="10" t="n"/>
      <c r="H128" s="10" t="n"/>
      <c r="I128" s="10" t="n"/>
      <c r="J128" s="12">
        <f>IF(OR(A128="",COUNT(C128:E128)&lt;3),"",IFERROR(MAX(0,FLOOR(($N$2-$N$3)/E128,1))*MAX(1,MIN(IF(G128="",1,G128),FLOOR($N$4/D128,1)))*IF(F128="",1,F128),""))</f>
        <v/>
      </c>
      <c r="K128" s="12">
        <f>IF(A128="","",IF(COUNTIF(DATA!$D$2:$D$500,A128)=0,"CEK SKU tidak ada di DATA",IF(COUNT(C128:E128)&lt;3,"CEK dimensi belum lengkap",IF(OR(C128&lt;=0,D128&lt;=0,E128&lt;=0),"CEK dimensi harus lebih dari 0",IF(COUNTIF($A$2:$A$500,A128)&gt;1,"CEK SKU dobel","OK")))))</f>
        <v/>
      </c>
    </row>
    <row r="129">
      <c r="A129" s="10" t="n"/>
      <c r="B129" s="12">
        <f>IF(A129="","",IFERROR(INDEX(DATA!$E$2:$E$500,MATCH(A129,DATA!$D$2:$D$500,0)),""))</f>
        <v/>
      </c>
      <c r="C129" s="10" t="n"/>
      <c r="D129" s="10" t="n"/>
      <c r="E129" s="10" t="n"/>
      <c r="F129" s="10" t="n"/>
      <c r="G129" s="10" t="n"/>
      <c r="H129" s="10" t="n"/>
      <c r="I129" s="10" t="n"/>
      <c r="J129" s="12">
        <f>IF(OR(A129="",COUNT(C129:E129)&lt;3),"",IFERROR(MAX(0,FLOOR(($N$2-$N$3)/E129,1))*MAX(1,MIN(IF(G129="",1,G129),FLOOR($N$4/D129,1)))*IF(F129="",1,F129),""))</f>
        <v/>
      </c>
      <c r="K129" s="12">
        <f>IF(A129="","",IF(COUNTIF(DATA!$D$2:$D$500,A129)=0,"CEK SKU tidak ada di DATA",IF(COUNT(C129:E129)&lt;3,"CEK dimensi belum lengkap",IF(OR(C129&lt;=0,D129&lt;=0,E129&lt;=0),"CEK dimensi harus lebih dari 0",IF(COUNTIF($A$2:$A$500,A129)&gt;1,"CEK SKU dobel","OK")))))</f>
        <v/>
      </c>
    </row>
    <row r="130">
      <c r="A130" s="10" t="n"/>
      <c r="B130" s="12">
        <f>IF(A130="","",IFERROR(INDEX(DATA!$E$2:$E$500,MATCH(A130,DATA!$D$2:$D$500,0)),""))</f>
        <v/>
      </c>
      <c r="C130" s="10" t="n"/>
      <c r="D130" s="10" t="n"/>
      <c r="E130" s="10" t="n"/>
      <c r="F130" s="10" t="n"/>
      <c r="G130" s="10" t="n"/>
      <c r="H130" s="10" t="n"/>
      <c r="I130" s="10" t="n"/>
      <c r="J130" s="12">
        <f>IF(OR(A130="",COUNT(C130:E130)&lt;3),"",IFERROR(MAX(0,FLOOR(($N$2-$N$3)/E130,1))*MAX(1,MIN(IF(G130="",1,G130),FLOOR($N$4/D130,1)))*IF(F130="",1,F130),""))</f>
        <v/>
      </c>
      <c r="K130" s="12">
        <f>IF(A130="","",IF(COUNTIF(DATA!$D$2:$D$500,A130)=0,"CEK SKU tidak ada di DATA",IF(COUNT(C130:E130)&lt;3,"CEK dimensi belum lengkap",IF(OR(C130&lt;=0,D130&lt;=0,E130&lt;=0),"CEK dimensi harus lebih dari 0",IF(COUNTIF($A$2:$A$500,A130)&gt;1,"CEK SKU dobel","OK")))))</f>
        <v/>
      </c>
    </row>
    <row r="131">
      <c r="A131" s="10" t="n"/>
      <c r="B131" s="12">
        <f>IF(A131="","",IFERROR(INDEX(DATA!$E$2:$E$500,MATCH(A131,DATA!$D$2:$D$500,0)),""))</f>
        <v/>
      </c>
      <c r="C131" s="10" t="n"/>
      <c r="D131" s="10" t="n"/>
      <c r="E131" s="10" t="n"/>
      <c r="F131" s="10" t="n"/>
      <c r="G131" s="10" t="n"/>
      <c r="H131" s="10" t="n"/>
      <c r="I131" s="10" t="n"/>
      <c r="J131" s="12">
        <f>IF(OR(A131="",COUNT(C131:E131)&lt;3),"",IFERROR(MAX(0,FLOOR(($N$2-$N$3)/E131,1))*MAX(1,MIN(IF(G131="",1,G131),FLOOR($N$4/D131,1)))*IF(F131="",1,F131),""))</f>
        <v/>
      </c>
      <c r="K131" s="12">
        <f>IF(A131="","",IF(COUNTIF(DATA!$D$2:$D$500,A131)=0,"CEK SKU tidak ada di DATA",IF(COUNT(C131:E131)&lt;3,"CEK dimensi belum lengkap",IF(OR(C131&lt;=0,D131&lt;=0,E131&lt;=0),"CEK dimensi harus lebih dari 0",IF(COUNTIF($A$2:$A$500,A131)&gt;1,"CEK SKU dobel","OK")))))</f>
        <v/>
      </c>
    </row>
    <row r="132">
      <c r="A132" s="10" t="n"/>
      <c r="B132" s="12">
        <f>IF(A132="","",IFERROR(INDEX(DATA!$E$2:$E$500,MATCH(A132,DATA!$D$2:$D$500,0)),""))</f>
        <v/>
      </c>
      <c r="C132" s="10" t="n"/>
      <c r="D132" s="10" t="n"/>
      <c r="E132" s="10" t="n"/>
      <c r="F132" s="10" t="n"/>
      <c r="G132" s="10" t="n"/>
      <c r="H132" s="10" t="n"/>
      <c r="I132" s="10" t="n"/>
      <c r="J132" s="12">
        <f>IF(OR(A132="",COUNT(C132:E132)&lt;3),"",IFERROR(MAX(0,FLOOR(($N$2-$N$3)/E132,1))*MAX(1,MIN(IF(G132="",1,G132),FLOOR($N$4/D132,1)))*IF(F132="",1,F132),""))</f>
        <v/>
      </c>
      <c r="K132" s="12">
        <f>IF(A132="","",IF(COUNTIF(DATA!$D$2:$D$500,A132)=0,"CEK SKU tidak ada di DATA",IF(COUNT(C132:E132)&lt;3,"CEK dimensi belum lengkap",IF(OR(C132&lt;=0,D132&lt;=0,E132&lt;=0),"CEK dimensi harus lebih dari 0",IF(COUNTIF($A$2:$A$500,A132)&gt;1,"CEK SKU dobel","OK")))))</f>
        <v/>
      </c>
    </row>
    <row r="133">
      <c r="A133" s="10" t="n"/>
      <c r="B133" s="12">
        <f>IF(A133="","",IFERROR(INDEX(DATA!$E$2:$E$500,MATCH(A133,DATA!$D$2:$D$500,0)),""))</f>
        <v/>
      </c>
      <c r="C133" s="10" t="n"/>
      <c r="D133" s="10" t="n"/>
      <c r="E133" s="10" t="n"/>
      <c r="F133" s="10" t="n"/>
      <c r="G133" s="10" t="n"/>
      <c r="H133" s="10" t="n"/>
      <c r="I133" s="10" t="n"/>
      <c r="J133" s="12">
        <f>IF(OR(A133="",COUNT(C133:E133)&lt;3),"",IFERROR(MAX(0,FLOOR(($N$2-$N$3)/E133,1))*MAX(1,MIN(IF(G133="",1,G133),FLOOR($N$4/D133,1)))*IF(F133="",1,F133),""))</f>
        <v/>
      </c>
      <c r="K133" s="12">
        <f>IF(A133="","",IF(COUNTIF(DATA!$D$2:$D$500,A133)=0,"CEK SKU tidak ada di DATA",IF(COUNT(C133:E133)&lt;3,"CEK dimensi belum lengkap",IF(OR(C133&lt;=0,D133&lt;=0,E133&lt;=0),"CEK dimensi harus lebih dari 0",IF(COUNTIF($A$2:$A$500,A133)&gt;1,"CEK SKU dobel","OK")))))</f>
        <v/>
      </c>
    </row>
    <row r="134">
      <c r="A134" s="10" t="n"/>
      <c r="B134" s="12">
        <f>IF(A134="","",IFERROR(INDEX(DATA!$E$2:$E$500,MATCH(A134,DATA!$D$2:$D$500,0)),""))</f>
        <v/>
      </c>
      <c r="C134" s="10" t="n"/>
      <c r="D134" s="10" t="n"/>
      <c r="E134" s="10" t="n"/>
      <c r="F134" s="10" t="n"/>
      <c r="G134" s="10" t="n"/>
      <c r="H134" s="10" t="n"/>
      <c r="I134" s="10" t="n"/>
      <c r="J134" s="12">
        <f>IF(OR(A134="",COUNT(C134:E134)&lt;3),"",IFERROR(MAX(0,FLOOR(($N$2-$N$3)/E134,1))*MAX(1,MIN(IF(G134="",1,G134),FLOOR($N$4/D134,1)))*IF(F134="",1,F134),""))</f>
        <v/>
      </c>
      <c r="K134" s="12">
        <f>IF(A134="","",IF(COUNTIF(DATA!$D$2:$D$500,A134)=0,"CEK SKU tidak ada di DATA",IF(COUNT(C134:E134)&lt;3,"CEK dimensi belum lengkap",IF(OR(C134&lt;=0,D134&lt;=0,E134&lt;=0),"CEK dimensi harus lebih dari 0",IF(COUNTIF($A$2:$A$500,A134)&gt;1,"CEK SKU dobel","OK")))))</f>
        <v/>
      </c>
    </row>
    <row r="135">
      <c r="A135" s="10" t="n"/>
      <c r="B135" s="12">
        <f>IF(A135="","",IFERROR(INDEX(DATA!$E$2:$E$500,MATCH(A135,DATA!$D$2:$D$500,0)),""))</f>
        <v/>
      </c>
      <c r="C135" s="10" t="n"/>
      <c r="D135" s="10" t="n"/>
      <c r="E135" s="10" t="n"/>
      <c r="F135" s="10" t="n"/>
      <c r="G135" s="10" t="n"/>
      <c r="H135" s="10" t="n"/>
      <c r="I135" s="10" t="n"/>
      <c r="J135" s="12">
        <f>IF(OR(A135="",COUNT(C135:E135)&lt;3),"",IFERROR(MAX(0,FLOOR(($N$2-$N$3)/E135,1))*MAX(1,MIN(IF(G135="",1,G135),FLOOR($N$4/D135,1)))*IF(F135="",1,F135),""))</f>
        <v/>
      </c>
      <c r="K135" s="12">
        <f>IF(A135="","",IF(COUNTIF(DATA!$D$2:$D$500,A135)=0,"CEK SKU tidak ada di DATA",IF(COUNT(C135:E135)&lt;3,"CEK dimensi belum lengkap",IF(OR(C135&lt;=0,D135&lt;=0,E135&lt;=0),"CEK dimensi harus lebih dari 0",IF(COUNTIF($A$2:$A$500,A135)&gt;1,"CEK SKU dobel","OK")))))</f>
        <v/>
      </c>
    </row>
    <row r="136">
      <c r="A136" s="10" t="n"/>
      <c r="B136" s="12">
        <f>IF(A136="","",IFERROR(INDEX(DATA!$E$2:$E$500,MATCH(A136,DATA!$D$2:$D$500,0)),""))</f>
        <v/>
      </c>
      <c r="C136" s="10" t="n"/>
      <c r="D136" s="10" t="n"/>
      <c r="E136" s="10" t="n"/>
      <c r="F136" s="10" t="n"/>
      <c r="G136" s="10" t="n"/>
      <c r="H136" s="10" t="n"/>
      <c r="I136" s="10" t="n"/>
      <c r="J136" s="12">
        <f>IF(OR(A136="",COUNT(C136:E136)&lt;3),"",IFERROR(MAX(0,FLOOR(($N$2-$N$3)/E136,1))*MAX(1,MIN(IF(G136="",1,G136),FLOOR($N$4/D136,1)))*IF(F136="",1,F136),""))</f>
        <v/>
      </c>
      <c r="K136" s="12">
        <f>IF(A136="","",IF(COUNTIF(DATA!$D$2:$D$500,A136)=0,"CEK SKU tidak ada di DATA",IF(COUNT(C136:E136)&lt;3,"CEK dimensi belum lengkap",IF(OR(C136&lt;=0,D136&lt;=0,E136&lt;=0),"CEK dimensi harus lebih dari 0",IF(COUNTIF($A$2:$A$500,A136)&gt;1,"CEK SKU dobel","OK")))))</f>
        <v/>
      </c>
    </row>
    <row r="137">
      <c r="A137" s="10" t="n"/>
      <c r="B137" s="12">
        <f>IF(A137="","",IFERROR(INDEX(DATA!$E$2:$E$500,MATCH(A137,DATA!$D$2:$D$500,0)),""))</f>
        <v/>
      </c>
      <c r="C137" s="10" t="n"/>
      <c r="D137" s="10" t="n"/>
      <c r="E137" s="10" t="n"/>
      <c r="F137" s="10" t="n"/>
      <c r="G137" s="10" t="n"/>
      <c r="H137" s="10" t="n"/>
      <c r="I137" s="10" t="n"/>
      <c r="J137" s="12">
        <f>IF(OR(A137="",COUNT(C137:E137)&lt;3),"",IFERROR(MAX(0,FLOOR(($N$2-$N$3)/E137,1))*MAX(1,MIN(IF(G137="",1,G137),FLOOR($N$4/D137,1)))*IF(F137="",1,F137),""))</f>
        <v/>
      </c>
      <c r="K137" s="12">
        <f>IF(A137="","",IF(COUNTIF(DATA!$D$2:$D$500,A137)=0,"CEK SKU tidak ada di DATA",IF(COUNT(C137:E137)&lt;3,"CEK dimensi belum lengkap",IF(OR(C137&lt;=0,D137&lt;=0,E137&lt;=0),"CEK dimensi harus lebih dari 0",IF(COUNTIF($A$2:$A$500,A137)&gt;1,"CEK SKU dobel","OK")))))</f>
        <v/>
      </c>
    </row>
    <row r="138">
      <c r="A138" s="10" t="n"/>
      <c r="B138" s="12">
        <f>IF(A138="","",IFERROR(INDEX(DATA!$E$2:$E$500,MATCH(A138,DATA!$D$2:$D$500,0)),""))</f>
        <v/>
      </c>
      <c r="C138" s="10" t="n"/>
      <c r="D138" s="10" t="n"/>
      <c r="E138" s="10" t="n"/>
      <c r="F138" s="10" t="n"/>
      <c r="G138" s="10" t="n"/>
      <c r="H138" s="10" t="n"/>
      <c r="I138" s="10" t="n"/>
      <c r="J138" s="12">
        <f>IF(OR(A138="",COUNT(C138:E138)&lt;3),"",IFERROR(MAX(0,FLOOR(($N$2-$N$3)/E138,1))*MAX(1,MIN(IF(G138="",1,G138),FLOOR($N$4/D138,1)))*IF(F138="",1,F138),""))</f>
        <v/>
      </c>
      <c r="K138" s="12">
        <f>IF(A138="","",IF(COUNTIF(DATA!$D$2:$D$500,A138)=0,"CEK SKU tidak ada di DATA",IF(COUNT(C138:E138)&lt;3,"CEK dimensi belum lengkap",IF(OR(C138&lt;=0,D138&lt;=0,E138&lt;=0),"CEK dimensi harus lebih dari 0",IF(COUNTIF($A$2:$A$500,A138)&gt;1,"CEK SKU dobel","OK")))))</f>
        <v/>
      </c>
    </row>
    <row r="139">
      <c r="A139" s="10" t="n"/>
      <c r="B139" s="12">
        <f>IF(A139="","",IFERROR(INDEX(DATA!$E$2:$E$500,MATCH(A139,DATA!$D$2:$D$500,0)),""))</f>
        <v/>
      </c>
      <c r="C139" s="10" t="n"/>
      <c r="D139" s="10" t="n"/>
      <c r="E139" s="10" t="n"/>
      <c r="F139" s="10" t="n"/>
      <c r="G139" s="10" t="n"/>
      <c r="H139" s="10" t="n"/>
      <c r="I139" s="10" t="n"/>
      <c r="J139" s="12">
        <f>IF(OR(A139="",COUNT(C139:E139)&lt;3),"",IFERROR(MAX(0,FLOOR(($N$2-$N$3)/E139,1))*MAX(1,MIN(IF(G139="",1,G139),FLOOR($N$4/D139,1)))*IF(F139="",1,F139),""))</f>
        <v/>
      </c>
      <c r="K139" s="12">
        <f>IF(A139="","",IF(COUNTIF(DATA!$D$2:$D$500,A139)=0,"CEK SKU tidak ada di DATA",IF(COUNT(C139:E139)&lt;3,"CEK dimensi belum lengkap",IF(OR(C139&lt;=0,D139&lt;=0,E139&lt;=0),"CEK dimensi harus lebih dari 0",IF(COUNTIF($A$2:$A$500,A139)&gt;1,"CEK SKU dobel","OK")))))</f>
        <v/>
      </c>
    </row>
    <row r="140">
      <c r="A140" s="10" t="n"/>
      <c r="B140" s="12">
        <f>IF(A140="","",IFERROR(INDEX(DATA!$E$2:$E$500,MATCH(A140,DATA!$D$2:$D$500,0)),""))</f>
        <v/>
      </c>
      <c r="C140" s="10" t="n"/>
      <c r="D140" s="10" t="n"/>
      <c r="E140" s="10" t="n"/>
      <c r="F140" s="10" t="n"/>
      <c r="G140" s="10" t="n"/>
      <c r="H140" s="10" t="n"/>
      <c r="I140" s="10" t="n"/>
      <c r="J140" s="12">
        <f>IF(OR(A140="",COUNT(C140:E140)&lt;3),"",IFERROR(MAX(0,FLOOR(($N$2-$N$3)/E140,1))*MAX(1,MIN(IF(G140="",1,G140),FLOOR($N$4/D140,1)))*IF(F140="",1,F140),""))</f>
        <v/>
      </c>
      <c r="K140" s="12">
        <f>IF(A140="","",IF(COUNTIF(DATA!$D$2:$D$500,A140)=0,"CEK SKU tidak ada di DATA",IF(COUNT(C140:E140)&lt;3,"CEK dimensi belum lengkap",IF(OR(C140&lt;=0,D140&lt;=0,E140&lt;=0),"CEK dimensi harus lebih dari 0",IF(COUNTIF($A$2:$A$500,A140)&gt;1,"CEK SKU dobel","OK")))))</f>
        <v/>
      </c>
    </row>
    <row r="141">
      <c r="A141" s="10" t="n"/>
      <c r="B141" s="12">
        <f>IF(A141="","",IFERROR(INDEX(DATA!$E$2:$E$500,MATCH(A141,DATA!$D$2:$D$500,0)),""))</f>
        <v/>
      </c>
      <c r="C141" s="10" t="n"/>
      <c r="D141" s="10" t="n"/>
      <c r="E141" s="10" t="n"/>
      <c r="F141" s="10" t="n"/>
      <c r="G141" s="10" t="n"/>
      <c r="H141" s="10" t="n"/>
      <c r="I141" s="10" t="n"/>
      <c r="J141" s="12">
        <f>IF(OR(A141="",COUNT(C141:E141)&lt;3),"",IFERROR(MAX(0,FLOOR(($N$2-$N$3)/E141,1))*MAX(1,MIN(IF(G141="",1,G141),FLOOR($N$4/D141,1)))*IF(F141="",1,F141),""))</f>
        <v/>
      </c>
      <c r="K141" s="12">
        <f>IF(A141="","",IF(COUNTIF(DATA!$D$2:$D$500,A141)=0,"CEK SKU tidak ada di DATA",IF(COUNT(C141:E141)&lt;3,"CEK dimensi belum lengkap",IF(OR(C141&lt;=0,D141&lt;=0,E141&lt;=0),"CEK dimensi harus lebih dari 0",IF(COUNTIF($A$2:$A$500,A141)&gt;1,"CEK SKU dobel","OK")))))</f>
        <v/>
      </c>
    </row>
    <row r="142">
      <c r="A142" s="10" t="n"/>
      <c r="B142" s="12">
        <f>IF(A142="","",IFERROR(INDEX(DATA!$E$2:$E$500,MATCH(A142,DATA!$D$2:$D$500,0)),""))</f>
        <v/>
      </c>
      <c r="C142" s="10" t="n"/>
      <c r="D142" s="10" t="n"/>
      <c r="E142" s="10" t="n"/>
      <c r="F142" s="10" t="n"/>
      <c r="G142" s="10" t="n"/>
      <c r="H142" s="10" t="n"/>
      <c r="I142" s="10" t="n"/>
      <c r="J142" s="12">
        <f>IF(OR(A142="",COUNT(C142:E142)&lt;3),"",IFERROR(MAX(0,FLOOR(($N$2-$N$3)/E142,1))*MAX(1,MIN(IF(G142="",1,G142),FLOOR($N$4/D142,1)))*IF(F142="",1,F142),""))</f>
        <v/>
      </c>
      <c r="K142" s="12">
        <f>IF(A142="","",IF(COUNTIF(DATA!$D$2:$D$500,A142)=0,"CEK SKU tidak ada di DATA",IF(COUNT(C142:E142)&lt;3,"CEK dimensi belum lengkap",IF(OR(C142&lt;=0,D142&lt;=0,E142&lt;=0),"CEK dimensi harus lebih dari 0",IF(COUNTIF($A$2:$A$500,A142)&gt;1,"CEK SKU dobel","OK")))))</f>
        <v/>
      </c>
    </row>
    <row r="143">
      <c r="A143" s="10" t="n"/>
      <c r="B143" s="12">
        <f>IF(A143="","",IFERROR(INDEX(DATA!$E$2:$E$500,MATCH(A143,DATA!$D$2:$D$500,0)),""))</f>
        <v/>
      </c>
      <c r="C143" s="10" t="n"/>
      <c r="D143" s="10" t="n"/>
      <c r="E143" s="10" t="n"/>
      <c r="F143" s="10" t="n"/>
      <c r="G143" s="10" t="n"/>
      <c r="H143" s="10" t="n"/>
      <c r="I143" s="10" t="n"/>
      <c r="J143" s="12">
        <f>IF(OR(A143="",COUNT(C143:E143)&lt;3),"",IFERROR(MAX(0,FLOOR(($N$2-$N$3)/E143,1))*MAX(1,MIN(IF(G143="",1,G143),FLOOR($N$4/D143,1)))*IF(F143="",1,F143),""))</f>
        <v/>
      </c>
      <c r="K143" s="12">
        <f>IF(A143="","",IF(COUNTIF(DATA!$D$2:$D$500,A143)=0,"CEK SKU tidak ada di DATA",IF(COUNT(C143:E143)&lt;3,"CEK dimensi belum lengkap",IF(OR(C143&lt;=0,D143&lt;=0,E143&lt;=0),"CEK dimensi harus lebih dari 0",IF(COUNTIF($A$2:$A$500,A143)&gt;1,"CEK SKU dobel","OK")))))</f>
        <v/>
      </c>
    </row>
    <row r="144">
      <c r="A144" s="10" t="n"/>
      <c r="B144" s="12">
        <f>IF(A144="","",IFERROR(INDEX(DATA!$E$2:$E$500,MATCH(A144,DATA!$D$2:$D$500,0)),""))</f>
        <v/>
      </c>
      <c r="C144" s="10" t="n"/>
      <c r="D144" s="10" t="n"/>
      <c r="E144" s="10" t="n"/>
      <c r="F144" s="10" t="n"/>
      <c r="G144" s="10" t="n"/>
      <c r="H144" s="10" t="n"/>
      <c r="I144" s="10" t="n"/>
      <c r="J144" s="12">
        <f>IF(OR(A144="",COUNT(C144:E144)&lt;3),"",IFERROR(MAX(0,FLOOR(($N$2-$N$3)/E144,1))*MAX(1,MIN(IF(G144="",1,G144),FLOOR($N$4/D144,1)))*IF(F144="",1,F144),""))</f>
        <v/>
      </c>
      <c r="K144" s="12">
        <f>IF(A144="","",IF(COUNTIF(DATA!$D$2:$D$500,A144)=0,"CEK SKU tidak ada di DATA",IF(COUNT(C144:E144)&lt;3,"CEK dimensi belum lengkap",IF(OR(C144&lt;=0,D144&lt;=0,E144&lt;=0),"CEK dimensi harus lebih dari 0",IF(COUNTIF($A$2:$A$500,A144)&gt;1,"CEK SKU dobel","OK")))))</f>
        <v/>
      </c>
    </row>
    <row r="145">
      <c r="A145" s="10" t="n"/>
      <c r="B145" s="12">
        <f>IF(A145="","",IFERROR(INDEX(DATA!$E$2:$E$500,MATCH(A145,DATA!$D$2:$D$500,0)),""))</f>
        <v/>
      </c>
      <c r="C145" s="10" t="n"/>
      <c r="D145" s="10" t="n"/>
      <c r="E145" s="10" t="n"/>
      <c r="F145" s="10" t="n"/>
      <c r="G145" s="10" t="n"/>
      <c r="H145" s="10" t="n"/>
      <c r="I145" s="10" t="n"/>
      <c r="J145" s="12">
        <f>IF(OR(A145="",COUNT(C145:E145)&lt;3),"",IFERROR(MAX(0,FLOOR(($N$2-$N$3)/E145,1))*MAX(1,MIN(IF(G145="",1,G145),FLOOR($N$4/D145,1)))*IF(F145="",1,F145),""))</f>
        <v/>
      </c>
      <c r="K145" s="12">
        <f>IF(A145="","",IF(COUNTIF(DATA!$D$2:$D$500,A145)=0,"CEK SKU tidak ada di DATA",IF(COUNT(C145:E145)&lt;3,"CEK dimensi belum lengkap",IF(OR(C145&lt;=0,D145&lt;=0,E145&lt;=0),"CEK dimensi harus lebih dari 0",IF(COUNTIF($A$2:$A$500,A145)&gt;1,"CEK SKU dobel","OK")))))</f>
        <v/>
      </c>
    </row>
    <row r="146">
      <c r="A146" s="10" t="n"/>
      <c r="B146" s="12">
        <f>IF(A146="","",IFERROR(INDEX(DATA!$E$2:$E$500,MATCH(A146,DATA!$D$2:$D$500,0)),""))</f>
        <v/>
      </c>
      <c r="C146" s="10" t="n"/>
      <c r="D146" s="10" t="n"/>
      <c r="E146" s="10" t="n"/>
      <c r="F146" s="10" t="n"/>
      <c r="G146" s="10" t="n"/>
      <c r="H146" s="10" t="n"/>
      <c r="I146" s="10" t="n"/>
      <c r="J146" s="12">
        <f>IF(OR(A146="",COUNT(C146:E146)&lt;3),"",IFERROR(MAX(0,FLOOR(($N$2-$N$3)/E146,1))*MAX(1,MIN(IF(G146="",1,G146),FLOOR($N$4/D146,1)))*IF(F146="",1,F146),""))</f>
        <v/>
      </c>
      <c r="K146" s="12">
        <f>IF(A146="","",IF(COUNTIF(DATA!$D$2:$D$500,A146)=0,"CEK SKU tidak ada di DATA",IF(COUNT(C146:E146)&lt;3,"CEK dimensi belum lengkap",IF(OR(C146&lt;=0,D146&lt;=0,E146&lt;=0),"CEK dimensi harus lebih dari 0",IF(COUNTIF($A$2:$A$500,A146)&gt;1,"CEK SKU dobel","OK")))))</f>
        <v/>
      </c>
    </row>
    <row r="147">
      <c r="A147" s="10" t="n"/>
      <c r="B147" s="12">
        <f>IF(A147="","",IFERROR(INDEX(DATA!$E$2:$E$500,MATCH(A147,DATA!$D$2:$D$500,0)),""))</f>
        <v/>
      </c>
      <c r="C147" s="10" t="n"/>
      <c r="D147" s="10" t="n"/>
      <c r="E147" s="10" t="n"/>
      <c r="F147" s="10" t="n"/>
      <c r="G147" s="10" t="n"/>
      <c r="H147" s="10" t="n"/>
      <c r="I147" s="10" t="n"/>
      <c r="J147" s="12">
        <f>IF(OR(A147="",COUNT(C147:E147)&lt;3),"",IFERROR(MAX(0,FLOOR(($N$2-$N$3)/E147,1))*MAX(1,MIN(IF(G147="",1,G147),FLOOR($N$4/D147,1)))*IF(F147="",1,F147),""))</f>
        <v/>
      </c>
      <c r="K147" s="12">
        <f>IF(A147="","",IF(COUNTIF(DATA!$D$2:$D$500,A147)=0,"CEK SKU tidak ada di DATA",IF(COUNT(C147:E147)&lt;3,"CEK dimensi belum lengkap",IF(OR(C147&lt;=0,D147&lt;=0,E147&lt;=0),"CEK dimensi harus lebih dari 0",IF(COUNTIF($A$2:$A$500,A147)&gt;1,"CEK SKU dobel","OK")))))</f>
        <v/>
      </c>
    </row>
    <row r="148">
      <c r="A148" s="10" t="n"/>
      <c r="B148" s="12">
        <f>IF(A148="","",IFERROR(INDEX(DATA!$E$2:$E$500,MATCH(A148,DATA!$D$2:$D$500,0)),""))</f>
        <v/>
      </c>
      <c r="C148" s="10" t="n"/>
      <c r="D148" s="10" t="n"/>
      <c r="E148" s="10" t="n"/>
      <c r="F148" s="10" t="n"/>
      <c r="G148" s="10" t="n"/>
      <c r="H148" s="10" t="n"/>
      <c r="I148" s="10" t="n"/>
      <c r="J148" s="12">
        <f>IF(OR(A148="",COUNT(C148:E148)&lt;3),"",IFERROR(MAX(0,FLOOR(($N$2-$N$3)/E148,1))*MAX(1,MIN(IF(G148="",1,G148),FLOOR($N$4/D148,1)))*IF(F148="",1,F148),""))</f>
        <v/>
      </c>
      <c r="K148" s="12">
        <f>IF(A148="","",IF(COUNTIF(DATA!$D$2:$D$500,A148)=0,"CEK SKU tidak ada di DATA",IF(COUNT(C148:E148)&lt;3,"CEK dimensi belum lengkap",IF(OR(C148&lt;=0,D148&lt;=0,E148&lt;=0),"CEK dimensi harus lebih dari 0",IF(COUNTIF($A$2:$A$500,A148)&gt;1,"CEK SKU dobel","OK")))))</f>
        <v/>
      </c>
    </row>
    <row r="149">
      <c r="A149" s="10" t="n"/>
      <c r="B149" s="12">
        <f>IF(A149="","",IFERROR(INDEX(DATA!$E$2:$E$500,MATCH(A149,DATA!$D$2:$D$500,0)),""))</f>
        <v/>
      </c>
      <c r="C149" s="10" t="n"/>
      <c r="D149" s="10" t="n"/>
      <c r="E149" s="10" t="n"/>
      <c r="F149" s="10" t="n"/>
      <c r="G149" s="10" t="n"/>
      <c r="H149" s="10" t="n"/>
      <c r="I149" s="10" t="n"/>
      <c r="J149" s="12">
        <f>IF(OR(A149="",COUNT(C149:E149)&lt;3),"",IFERROR(MAX(0,FLOOR(($N$2-$N$3)/E149,1))*MAX(1,MIN(IF(G149="",1,G149),FLOOR($N$4/D149,1)))*IF(F149="",1,F149),""))</f>
        <v/>
      </c>
      <c r="K149" s="12">
        <f>IF(A149="","",IF(COUNTIF(DATA!$D$2:$D$500,A149)=0,"CEK SKU tidak ada di DATA",IF(COUNT(C149:E149)&lt;3,"CEK dimensi belum lengkap",IF(OR(C149&lt;=0,D149&lt;=0,E149&lt;=0),"CEK dimensi harus lebih dari 0",IF(COUNTIF($A$2:$A$500,A149)&gt;1,"CEK SKU dobel","OK")))))</f>
        <v/>
      </c>
    </row>
    <row r="150">
      <c r="A150" s="10" t="n"/>
      <c r="B150" s="12">
        <f>IF(A150="","",IFERROR(INDEX(DATA!$E$2:$E$500,MATCH(A150,DATA!$D$2:$D$500,0)),""))</f>
        <v/>
      </c>
      <c r="C150" s="10" t="n"/>
      <c r="D150" s="10" t="n"/>
      <c r="E150" s="10" t="n"/>
      <c r="F150" s="10" t="n"/>
      <c r="G150" s="10" t="n"/>
      <c r="H150" s="10" t="n"/>
      <c r="I150" s="10" t="n"/>
      <c r="J150" s="12">
        <f>IF(OR(A150="",COUNT(C150:E150)&lt;3),"",IFERROR(MAX(0,FLOOR(($N$2-$N$3)/E150,1))*MAX(1,MIN(IF(G150="",1,G150),FLOOR($N$4/D150,1)))*IF(F150="",1,F150),""))</f>
        <v/>
      </c>
      <c r="K150" s="12">
        <f>IF(A150="","",IF(COUNTIF(DATA!$D$2:$D$500,A150)=0,"CEK SKU tidak ada di DATA",IF(COUNT(C150:E150)&lt;3,"CEK dimensi belum lengkap",IF(OR(C150&lt;=0,D150&lt;=0,E150&lt;=0),"CEK dimensi harus lebih dari 0",IF(COUNTIF($A$2:$A$500,A150)&gt;1,"CEK SKU dobel","OK")))))</f>
        <v/>
      </c>
    </row>
    <row r="151">
      <c r="A151" s="10" t="n"/>
      <c r="B151" s="12">
        <f>IF(A151="","",IFERROR(INDEX(DATA!$E$2:$E$500,MATCH(A151,DATA!$D$2:$D$500,0)),""))</f>
        <v/>
      </c>
      <c r="C151" s="10" t="n"/>
      <c r="D151" s="10" t="n"/>
      <c r="E151" s="10" t="n"/>
      <c r="F151" s="10" t="n"/>
      <c r="G151" s="10" t="n"/>
      <c r="H151" s="10" t="n"/>
      <c r="I151" s="10" t="n"/>
      <c r="J151" s="12">
        <f>IF(OR(A151="",COUNT(C151:E151)&lt;3),"",IFERROR(MAX(0,FLOOR(($N$2-$N$3)/E151,1))*MAX(1,MIN(IF(G151="",1,G151),FLOOR($N$4/D151,1)))*IF(F151="",1,F151),""))</f>
        <v/>
      </c>
      <c r="K151" s="12">
        <f>IF(A151="","",IF(COUNTIF(DATA!$D$2:$D$500,A151)=0,"CEK SKU tidak ada di DATA",IF(COUNT(C151:E151)&lt;3,"CEK dimensi belum lengkap",IF(OR(C151&lt;=0,D151&lt;=0,E151&lt;=0),"CEK dimensi harus lebih dari 0",IF(COUNTIF($A$2:$A$500,A151)&gt;1,"CEK SKU dobel","OK")))))</f>
        <v/>
      </c>
    </row>
    <row r="152">
      <c r="A152" s="10" t="n"/>
      <c r="B152" s="12">
        <f>IF(A152="","",IFERROR(INDEX(DATA!$E$2:$E$500,MATCH(A152,DATA!$D$2:$D$500,0)),""))</f>
        <v/>
      </c>
      <c r="C152" s="10" t="n"/>
      <c r="D152" s="10" t="n"/>
      <c r="E152" s="10" t="n"/>
      <c r="F152" s="10" t="n"/>
      <c r="G152" s="10" t="n"/>
      <c r="H152" s="10" t="n"/>
      <c r="I152" s="10" t="n"/>
      <c r="J152" s="12">
        <f>IF(OR(A152="",COUNT(C152:E152)&lt;3),"",IFERROR(MAX(0,FLOOR(($N$2-$N$3)/E152,1))*MAX(1,MIN(IF(G152="",1,G152),FLOOR($N$4/D152,1)))*IF(F152="",1,F152),""))</f>
        <v/>
      </c>
      <c r="K152" s="12">
        <f>IF(A152="","",IF(COUNTIF(DATA!$D$2:$D$500,A152)=0,"CEK SKU tidak ada di DATA",IF(COUNT(C152:E152)&lt;3,"CEK dimensi belum lengkap",IF(OR(C152&lt;=0,D152&lt;=0,E152&lt;=0),"CEK dimensi harus lebih dari 0",IF(COUNTIF($A$2:$A$500,A152)&gt;1,"CEK SKU dobel","OK")))))</f>
        <v/>
      </c>
    </row>
    <row r="153">
      <c r="A153" s="10" t="n"/>
      <c r="B153" s="12">
        <f>IF(A153="","",IFERROR(INDEX(DATA!$E$2:$E$500,MATCH(A153,DATA!$D$2:$D$500,0)),""))</f>
        <v/>
      </c>
      <c r="C153" s="10" t="n"/>
      <c r="D153" s="10" t="n"/>
      <c r="E153" s="10" t="n"/>
      <c r="F153" s="10" t="n"/>
      <c r="G153" s="10" t="n"/>
      <c r="H153" s="10" t="n"/>
      <c r="I153" s="10" t="n"/>
      <c r="J153" s="12">
        <f>IF(OR(A153="",COUNT(C153:E153)&lt;3),"",IFERROR(MAX(0,FLOOR(($N$2-$N$3)/E153,1))*MAX(1,MIN(IF(G153="",1,G153),FLOOR($N$4/D153,1)))*IF(F153="",1,F153),""))</f>
        <v/>
      </c>
      <c r="K153" s="12">
        <f>IF(A153="","",IF(COUNTIF(DATA!$D$2:$D$500,A153)=0,"CEK SKU tidak ada di DATA",IF(COUNT(C153:E153)&lt;3,"CEK dimensi belum lengkap",IF(OR(C153&lt;=0,D153&lt;=0,E153&lt;=0),"CEK dimensi harus lebih dari 0",IF(COUNTIF($A$2:$A$500,A153)&gt;1,"CEK SKU dobel","OK")))))</f>
        <v/>
      </c>
    </row>
    <row r="154">
      <c r="A154" s="10" t="n"/>
      <c r="B154" s="12">
        <f>IF(A154="","",IFERROR(INDEX(DATA!$E$2:$E$500,MATCH(A154,DATA!$D$2:$D$500,0)),""))</f>
        <v/>
      </c>
      <c r="C154" s="10" t="n"/>
      <c r="D154" s="10" t="n"/>
      <c r="E154" s="10" t="n"/>
      <c r="F154" s="10" t="n"/>
      <c r="G154" s="10" t="n"/>
      <c r="H154" s="10" t="n"/>
      <c r="I154" s="10" t="n"/>
      <c r="J154" s="12">
        <f>IF(OR(A154="",COUNT(C154:E154)&lt;3),"",IFERROR(MAX(0,FLOOR(($N$2-$N$3)/E154,1))*MAX(1,MIN(IF(G154="",1,G154),FLOOR($N$4/D154,1)))*IF(F154="",1,F154),""))</f>
        <v/>
      </c>
      <c r="K154" s="12">
        <f>IF(A154="","",IF(COUNTIF(DATA!$D$2:$D$500,A154)=0,"CEK SKU tidak ada di DATA",IF(COUNT(C154:E154)&lt;3,"CEK dimensi belum lengkap",IF(OR(C154&lt;=0,D154&lt;=0,E154&lt;=0),"CEK dimensi harus lebih dari 0",IF(COUNTIF($A$2:$A$500,A154)&gt;1,"CEK SKU dobel","OK")))))</f>
        <v/>
      </c>
    </row>
    <row r="155">
      <c r="A155" s="10" t="n"/>
      <c r="B155" s="12">
        <f>IF(A155="","",IFERROR(INDEX(DATA!$E$2:$E$500,MATCH(A155,DATA!$D$2:$D$500,0)),""))</f>
        <v/>
      </c>
      <c r="C155" s="10" t="n"/>
      <c r="D155" s="10" t="n"/>
      <c r="E155" s="10" t="n"/>
      <c r="F155" s="10" t="n"/>
      <c r="G155" s="10" t="n"/>
      <c r="H155" s="10" t="n"/>
      <c r="I155" s="10" t="n"/>
      <c r="J155" s="12">
        <f>IF(OR(A155="",COUNT(C155:E155)&lt;3),"",IFERROR(MAX(0,FLOOR(($N$2-$N$3)/E155,1))*MAX(1,MIN(IF(G155="",1,G155),FLOOR($N$4/D155,1)))*IF(F155="",1,F155),""))</f>
        <v/>
      </c>
      <c r="K155" s="12">
        <f>IF(A155="","",IF(COUNTIF(DATA!$D$2:$D$500,A155)=0,"CEK SKU tidak ada di DATA",IF(COUNT(C155:E155)&lt;3,"CEK dimensi belum lengkap",IF(OR(C155&lt;=0,D155&lt;=0,E155&lt;=0),"CEK dimensi harus lebih dari 0",IF(COUNTIF($A$2:$A$500,A155)&gt;1,"CEK SKU dobel","OK")))))</f>
        <v/>
      </c>
    </row>
    <row r="156">
      <c r="A156" s="10" t="n"/>
      <c r="B156" s="12">
        <f>IF(A156="","",IFERROR(INDEX(DATA!$E$2:$E$500,MATCH(A156,DATA!$D$2:$D$500,0)),""))</f>
        <v/>
      </c>
      <c r="C156" s="10" t="n"/>
      <c r="D156" s="10" t="n"/>
      <c r="E156" s="10" t="n"/>
      <c r="F156" s="10" t="n"/>
      <c r="G156" s="10" t="n"/>
      <c r="H156" s="10" t="n"/>
      <c r="I156" s="10" t="n"/>
      <c r="J156" s="12">
        <f>IF(OR(A156="",COUNT(C156:E156)&lt;3),"",IFERROR(MAX(0,FLOOR(($N$2-$N$3)/E156,1))*MAX(1,MIN(IF(G156="",1,G156),FLOOR($N$4/D156,1)))*IF(F156="",1,F156),""))</f>
        <v/>
      </c>
      <c r="K156" s="12">
        <f>IF(A156="","",IF(COUNTIF(DATA!$D$2:$D$500,A156)=0,"CEK SKU tidak ada di DATA",IF(COUNT(C156:E156)&lt;3,"CEK dimensi belum lengkap",IF(OR(C156&lt;=0,D156&lt;=0,E156&lt;=0),"CEK dimensi harus lebih dari 0",IF(COUNTIF($A$2:$A$500,A156)&gt;1,"CEK SKU dobel","OK")))))</f>
        <v/>
      </c>
    </row>
    <row r="157">
      <c r="A157" s="10" t="n"/>
      <c r="B157" s="12">
        <f>IF(A157="","",IFERROR(INDEX(DATA!$E$2:$E$500,MATCH(A157,DATA!$D$2:$D$500,0)),""))</f>
        <v/>
      </c>
      <c r="C157" s="10" t="n"/>
      <c r="D157" s="10" t="n"/>
      <c r="E157" s="10" t="n"/>
      <c r="F157" s="10" t="n"/>
      <c r="G157" s="10" t="n"/>
      <c r="H157" s="10" t="n"/>
      <c r="I157" s="10" t="n"/>
      <c r="J157" s="12">
        <f>IF(OR(A157="",COUNT(C157:E157)&lt;3),"",IFERROR(MAX(0,FLOOR(($N$2-$N$3)/E157,1))*MAX(1,MIN(IF(G157="",1,G157),FLOOR($N$4/D157,1)))*IF(F157="",1,F157),""))</f>
        <v/>
      </c>
      <c r="K157" s="12">
        <f>IF(A157="","",IF(COUNTIF(DATA!$D$2:$D$500,A157)=0,"CEK SKU tidak ada di DATA",IF(COUNT(C157:E157)&lt;3,"CEK dimensi belum lengkap",IF(OR(C157&lt;=0,D157&lt;=0,E157&lt;=0),"CEK dimensi harus lebih dari 0",IF(COUNTIF($A$2:$A$500,A157)&gt;1,"CEK SKU dobel","OK")))))</f>
        <v/>
      </c>
    </row>
    <row r="158">
      <c r="A158" s="10" t="n"/>
      <c r="B158" s="12">
        <f>IF(A158="","",IFERROR(INDEX(DATA!$E$2:$E$500,MATCH(A158,DATA!$D$2:$D$500,0)),""))</f>
        <v/>
      </c>
      <c r="C158" s="10" t="n"/>
      <c r="D158" s="10" t="n"/>
      <c r="E158" s="10" t="n"/>
      <c r="F158" s="10" t="n"/>
      <c r="G158" s="10" t="n"/>
      <c r="H158" s="10" t="n"/>
      <c r="I158" s="10" t="n"/>
      <c r="J158" s="12">
        <f>IF(OR(A158="",COUNT(C158:E158)&lt;3),"",IFERROR(MAX(0,FLOOR(($N$2-$N$3)/E158,1))*MAX(1,MIN(IF(G158="",1,G158),FLOOR($N$4/D158,1)))*IF(F158="",1,F158),""))</f>
        <v/>
      </c>
      <c r="K158" s="12">
        <f>IF(A158="","",IF(COUNTIF(DATA!$D$2:$D$500,A158)=0,"CEK SKU tidak ada di DATA",IF(COUNT(C158:E158)&lt;3,"CEK dimensi belum lengkap",IF(OR(C158&lt;=0,D158&lt;=0,E158&lt;=0),"CEK dimensi harus lebih dari 0",IF(COUNTIF($A$2:$A$500,A158)&gt;1,"CEK SKU dobel","OK")))))</f>
        <v/>
      </c>
    </row>
    <row r="159">
      <c r="A159" s="10" t="n"/>
      <c r="B159" s="12">
        <f>IF(A159="","",IFERROR(INDEX(DATA!$E$2:$E$500,MATCH(A159,DATA!$D$2:$D$500,0)),""))</f>
        <v/>
      </c>
      <c r="C159" s="10" t="n"/>
      <c r="D159" s="10" t="n"/>
      <c r="E159" s="10" t="n"/>
      <c r="F159" s="10" t="n"/>
      <c r="G159" s="10" t="n"/>
      <c r="H159" s="10" t="n"/>
      <c r="I159" s="10" t="n"/>
      <c r="J159" s="12">
        <f>IF(OR(A159="",COUNT(C159:E159)&lt;3),"",IFERROR(MAX(0,FLOOR(($N$2-$N$3)/E159,1))*MAX(1,MIN(IF(G159="",1,G159),FLOOR($N$4/D159,1)))*IF(F159="",1,F159),""))</f>
        <v/>
      </c>
      <c r="K159" s="12">
        <f>IF(A159="","",IF(COUNTIF(DATA!$D$2:$D$500,A159)=0,"CEK SKU tidak ada di DATA",IF(COUNT(C159:E159)&lt;3,"CEK dimensi belum lengkap",IF(OR(C159&lt;=0,D159&lt;=0,E159&lt;=0),"CEK dimensi harus lebih dari 0",IF(COUNTIF($A$2:$A$500,A159)&gt;1,"CEK SKU dobel","OK")))))</f>
        <v/>
      </c>
    </row>
    <row r="160">
      <c r="A160" s="10" t="n"/>
      <c r="B160" s="12">
        <f>IF(A160="","",IFERROR(INDEX(DATA!$E$2:$E$500,MATCH(A160,DATA!$D$2:$D$500,0)),""))</f>
        <v/>
      </c>
      <c r="C160" s="10" t="n"/>
      <c r="D160" s="10" t="n"/>
      <c r="E160" s="10" t="n"/>
      <c r="F160" s="10" t="n"/>
      <c r="G160" s="10" t="n"/>
      <c r="H160" s="10" t="n"/>
      <c r="I160" s="10" t="n"/>
      <c r="J160" s="12">
        <f>IF(OR(A160="",COUNT(C160:E160)&lt;3),"",IFERROR(MAX(0,FLOOR(($N$2-$N$3)/E160,1))*MAX(1,MIN(IF(G160="",1,G160),FLOOR($N$4/D160,1)))*IF(F160="",1,F160),""))</f>
        <v/>
      </c>
      <c r="K160" s="12">
        <f>IF(A160="","",IF(COUNTIF(DATA!$D$2:$D$500,A160)=0,"CEK SKU tidak ada di DATA",IF(COUNT(C160:E160)&lt;3,"CEK dimensi belum lengkap",IF(OR(C160&lt;=0,D160&lt;=0,E160&lt;=0),"CEK dimensi harus lebih dari 0",IF(COUNTIF($A$2:$A$500,A160)&gt;1,"CEK SKU dobel","OK")))))</f>
        <v/>
      </c>
    </row>
    <row r="161">
      <c r="A161" s="10" t="n"/>
      <c r="B161" s="12">
        <f>IF(A161="","",IFERROR(INDEX(DATA!$E$2:$E$500,MATCH(A161,DATA!$D$2:$D$500,0)),""))</f>
        <v/>
      </c>
      <c r="C161" s="10" t="n"/>
      <c r="D161" s="10" t="n"/>
      <c r="E161" s="10" t="n"/>
      <c r="F161" s="10" t="n"/>
      <c r="G161" s="10" t="n"/>
      <c r="H161" s="10" t="n"/>
      <c r="I161" s="10" t="n"/>
      <c r="J161" s="12">
        <f>IF(OR(A161="",COUNT(C161:E161)&lt;3),"",IFERROR(MAX(0,FLOOR(($N$2-$N$3)/E161,1))*MAX(1,MIN(IF(G161="",1,G161),FLOOR($N$4/D161,1)))*IF(F161="",1,F161),""))</f>
        <v/>
      </c>
      <c r="K161" s="12">
        <f>IF(A161="","",IF(COUNTIF(DATA!$D$2:$D$500,A161)=0,"CEK SKU tidak ada di DATA",IF(COUNT(C161:E161)&lt;3,"CEK dimensi belum lengkap",IF(OR(C161&lt;=0,D161&lt;=0,E161&lt;=0),"CEK dimensi harus lebih dari 0",IF(COUNTIF($A$2:$A$500,A161)&gt;1,"CEK SKU dobel","OK")))))</f>
        <v/>
      </c>
    </row>
    <row r="162">
      <c r="A162" s="10" t="n"/>
      <c r="B162" s="12">
        <f>IF(A162="","",IFERROR(INDEX(DATA!$E$2:$E$500,MATCH(A162,DATA!$D$2:$D$500,0)),""))</f>
        <v/>
      </c>
      <c r="C162" s="10" t="n"/>
      <c r="D162" s="10" t="n"/>
      <c r="E162" s="10" t="n"/>
      <c r="F162" s="10" t="n"/>
      <c r="G162" s="10" t="n"/>
      <c r="H162" s="10" t="n"/>
      <c r="I162" s="10" t="n"/>
      <c r="J162" s="12">
        <f>IF(OR(A162="",COUNT(C162:E162)&lt;3),"",IFERROR(MAX(0,FLOOR(($N$2-$N$3)/E162,1))*MAX(1,MIN(IF(G162="",1,G162),FLOOR($N$4/D162,1)))*IF(F162="",1,F162),""))</f>
        <v/>
      </c>
      <c r="K162" s="12">
        <f>IF(A162="","",IF(COUNTIF(DATA!$D$2:$D$500,A162)=0,"CEK SKU tidak ada di DATA",IF(COUNT(C162:E162)&lt;3,"CEK dimensi belum lengkap",IF(OR(C162&lt;=0,D162&lt;=0,E162&lt;=0),"CEK dimensi harus lebih dari 0",IF(COUNTIF($A$2:$A$500,A162)&gt;1,"CEK SKU dobel","OK")))))</f>
        <v/>
      </c>
    </row>
    <row r="163">
      <c r="A163" s="10" t="n"/>
      <c r="B163" s="12">
        <f>IF(A163="","",IFERROR(INDEX(DATA!$E$2:$E$500,MATCH(A163,DATA!$D$2:$D$500,0)),""))</f>
        <v/>
      </c>
      <c r="C163" s="10" t="n"/>
      <c r="D163" s="10" t="n"/>
      <c r="E163" s="10" t="n"/>
      <c r="F163" s="10" t="n"/>
      <c r="G163" s="10" t="n"/>
      <c r="H163" s="10" t="n"/>
      <c r="I163" s="10" t="n"/>
      <c r="J163" s="12">
        <f>IF(OR(A163="",COUNT(C163:E163)&lt;3),"",IFERROR(MAX(0,FLOOR(($N$2-$N$3)/E163,1))*MAX(1,MIN(IF(G163="",1,G163),FLOOR($N$4/D163,1)))*IF(F163="",1,F163),""))</f>
        <v/>
      </c>
      <c r="K163" s="12">
        <f>IF(A163="","",IF(COUNTIF(DATA!$D$2:$D$500,A163)=0,"CEK SKU tidak ada di DATA",IF(COUNT(C163:E163)&lt;3,"CEK dimensi belum lengkap",IF(OR(C163&lt;=0,D163&lt;=0,E163&lt;=0),"CEK dimensi harus lebih dari 0",IF(COUNTIF($A$2:$A$500,A163)&gt;1,"CEK SKU dobel","OK")))))</f>
        <v/>
      </c>
    </row>
    <row r="164">
      <c r="A164" s="10" t="n"/>
      <c r="B164" s="12">
        <f>IF(A164="","",IFERROR(INDEX(DATA!$E$2:$E$500,MATCH(A164,DATA!$D$2:$D$500,0)),""))</f>
        <v/>
      </c>
      <c r="C164" s="10" t="n"/>
      <c r="D164" s="10" t="n"/>
      <c r="E164" s="10" t="n"/>
      <c r="F164" s="10" t="n"/>
      <c r="G164" s="10" t="n"/>
      <c r="H164" s="10" t="n"/>
      <c r="I164" s="10" t="n"/>
      <c r="J164" s="12">
        <f>IF(OR(A164="",COUNT(C164:E164)&lt;3),"",IFERROR(MAX(0,FLOOR(($N$2-$N$3)/E164,1))*MAX(1,MIN(IF(G164="",1,G164),FLOOR($N$4/D164,1)))*IF(F164="",1,F164),""))</f>
        <v/>
      </c>
      <c r="K164" s="12">
        <f>IF(A164="","",IF(COUNTIF(DATA!$D$2:$D$500,A164)=0,"CEK SKU tidak ada di DATA",IF(COUNT(C164:E164)&lt;3,"CEK dimensi belum lengkap",IF(OR(C164&lt;=0,D164&lt;=0,E164&lt;=0),"CEK dimensi harus lebih dari 0",IF(COUNTIF($A$2:$A$500,A164)&gt;1,"CEK SKU dobel","OK")))))</f>
        <v/>
      </c>
    </row>
    <row r="165">
      <c r="A165" s="10" t="n"/>
      <c r="B165" s="12">
        <f>IF(A165="","",IFERROR(INDEX(DATA!$E$2:$E$500,MATCH(A165,DATA!$D$2:$D$500,0)),""))</f>
        <v/>
      </c>
      <c r="C165" s="10" t="n"/>
      <c r="D165" s="10" t="n"/>
      <c r="E165" s="10" t="n"/>
      <c r="F165" s="10" t="n"/>
      <c r="G165" s="10" t="n"/>
      <c r="H165" s="10" t="n"/>
      <c r="I165" s="10" t="n"/>
      <c r="J165" s="12">
        <f>IF(OR(A165="",COUNT(C165:E165)&lt;3),"",IFERROR(MAX(0,FLOOR(($N$2-$N$3)/E165,1))*MAX(1,MIN(IF(G165="",1,G165),FLOOR($N$4/D165,1)))*IF(F165="",1,F165),""))</f>
        <v/>
      </c>
      <c r="K165" s="12">
        <f>IF(A165="","",IF(COUNTIF(DATA!$D$2:$D$500,A165)=0,"CEK SKU tidak ada di DATA",IF(COUNT(C165:E165)&lt;3,"CEK dimensi belum lengkap",IF(OR(C165&lt;=0,D165&lt;=0,E165&lt;=0),"CEK dimensi harus lebih dari 0",IF(COUNTIF($A$2:$A$500,A165)&gt;1,"CEK SKU dobel","OK")))))</f>
        <v/>
      </c>
    </row>
    <row r="166">
      <c r="A166" s="10" t="n"/>
      <c r="B166" s="12">
        <f>IF(A166="","",IFERROR(INDEX(DATA!$E$2:$E$500,MATCH(A166,DATA!$D$2:$D$500,0)),""))</f>
        <v/>
      </c>
      <c r="C166" s="10" t="n"/>
      <c r="D166" s="10" t="n"/>
      <c r="E166" s="10" t="n"/>
      <c r="F166" s="10" t="n"/>
      <c r="G166" s="10" t="n"/>
      <c r="H166" s="10" t="n"/>
      <c r="I166" s="10" t="n"/>
      <c r="J166" s="12">
        <f>IF(OR(A166="",COUNT(C166:E166)&lt;3),"",IFERROR(MAX(0,FLOOR(($N$2-$N$3)/E166,1))*MAX(1,MIN(IF(G166="",1,G166),FLOOR($N$4/D166,1)))*IF(F166="",1,F166),""))</f>
        <v/>
      </c>
      <c r="K166" s="12">
        <f>IF(A166="","",IF(COUNTIF(DATA!$D$2:$D$500,A166)=0,"CEK SKU tidak ada di DATA",IF(COUNT(C166:E166)&lt;3,"CEK dimensi belum lengkap",IF(OR(C166&lt;=0,D166&lt;=0,E166&lt;=0),"CEK dimensi harus lebih dari 0",IF(COUNTIF($A$2:$A$500,A166)&gt;1,"CEK SKU dobel","OK")))))</f>
        <v/>
      </c>
    </row>
    <row r="167">
      <c r="A167" s="10" t="n"/>
      <c r="B167" s="12">
        <f>IF(A167="","",IFERROR(INDEX(DATA!$E$2:$E$500,MATCH(A167,DATA!$D$2:$D$500,0)),""))</f>
        <v/>
      </c>
      <c r="C167" s="10" t="n"/>
      <c r="D167" s="10" t="n"/>
      <c r="E167" s="10" t="n"/>
      <c r="F167" s="10" t="n"/>
      <c r="G167" s="10" t="n"/>
      <c r="H167" s="10" t="n"/>
      <c r="I167" s="10" t="n"/>
      <c r="J167" s="12">
        <f>IF(OR(A167="",COUNT(C167:E167)&lt;3),"",IFERROR(MAX(0,FLOOR(($N$2-$N$3)/E167,1))*MAX(1,MIN(IF(G167="",1,G167),FLOOR($N$4/D167,1)))*IF(F167="",1,F167),""))</f>
        <v/>
      </c>
      <c r="K167" s="12">
        <f>IF(A167="","",IF(COUNTIF(DATA!$D$2:$D$500,A167)=0,"CEK SKU tidak ada di DATA",IF(COUNT(C167:E167)&lt;3,"CEK dimensi belum lengkap",IF(OR(C167&lt;=0,D167&lt;=0,E167&lt;=0),"CEK dimensi harus lebih dari 0",IF(COUNTIF($A$2:$A$500,A167)&gt;1,"CEK SKU dobel","OK")))))</f>
        <v/>
      </c>
    </row>
    <row r="168">
      <c r="A168" s="10" t="n"/>
      <c r="B168" s="12">
        <f>IF(A168="","",IFERROR(INDEX(DATA!$E$2:$E$500,MATCH(A168,DATA!$D$2:$D$500,0)),""))</f>
        <v/>
      </c>
      <c r="C168" s="10" t="n"/>
      <c r="D168" s="10" t="n"/>
      <c r="E168" s="10" t="n"/>
      <c r="F168" s="10" t="n"/>
      <c r="G168" s="10" t="n"/>
      <c r="H168" s="10" t="n"/>
      <c r="I168" s="10" t="n"/>
      <c r="J168" s="12">
        <f>IF(OR(A168="",COUNT(C168:E168)&lt;3),"",IFERROR(MAX(0,FLOOR(($N$2-$N$3)/E168,1))*MAX(1,MIN(IF(G168="",1,G168),FLOOR($N$4/D168,1)))*IF(F168="",1,F168),""))</f>
        <v/>
      </c>
      <c r="K168" s="12">
        <f>IF(A168="","",IF(COUNTIF(DATA!$D$2:$D$500,A168)=0,"CEK SKU tidak ada di DATA",IF(COUNT(C168:E168)&lt;3,"CEK dimensi belum lengkap",IF(OR(C168&lt;=0,D168&lt;=0,E168&lt;=0),"CEK dimensi harus lebih dari 0",IF(COUNTIF($A$2:$A$500,A168)&gt;1,"CEK SKU dobel","OK")))))</f>
        <v/>
      </c>
    </row>
    <row r="169">
      <c r="A169" s="10" t="n"/>
      <c r="B169" s="12">
        <f>IF(A169="","",IFERROR(INDEX(DATA!$E$2:$E$500,MATCH(A169,DATA!$D$2:$D$500,0)),""))</f>
        <v/>
      </c>
      <c r="C169" s="10" t="n"/>
      <c r="D169" s="10" t="n"/>
      <c r="E169" s="10" t="n"/>
      <c r="F169" s="10" t="n"/>
      <c r="G169" s="10" t="n"/>
      <c r="H169" s="10" t="n"/>
      <c r="I169" s="10" t="n"/>
      <c r="J169" s="12">
        <f>IF(OR(A169="",COUNT(C169:E169)&lt;3),"",IFERROR(MAX(0,FLOOR(($N$2-$N$3)/E169,1))*MAX(1,MIN(IF(G169="",1,G169),FLOOR($N$4/D169,1)))*IF(F169="",1,F169),""))</f>
        <v/>
      </c>
      <c r="K169" s="12">
        <f>IF(A169="","",IF(COUNTIF(DATA!$D$2:$D$500,A169)=0,"CEK SKU tidak ada di DATA",IF(COUNT(C169:E169)&lt;3,"CEK dimensi belum lengkap",IF(OR(C169&lt;=0,D169&lt;=0,E169&lt;=0),"CEK dimensi harus lebih dari 0",IF(COUNTIF($A$2:$A$500,A169)&gt;1,"CEK SKU dobel","OK")))))</f>
        <v/>
      </c>
    </row>
    <row r="170">
      <c r="A170" s="10" t="n"/>
      <c r="B170" s="12">
        <f>IF(A170="","",IFERROR(INDEX(DATA!$E$2:$E$500,MATCH(A170,DATA!$D$2:$D$500,0)),""))</f>
        <v/>
      </c>
      <c r="C170" s="10" t="n"/>
      <c r="D170" s="10" t="n"/>
      <c r="E170" s="10" t="n"/>
      <c r="F170" s="10" t="n"/>
      <c r="G170" s="10" t="n"/>
      <c r="H170" s="10" t="n"/>
      <c r="I170" s="10" t="n"/>
      <c r="J170" s="12">
        <f>IF(OR(A170="",COUNT(C170:E170)&lt;3),"",IFERROR(MAX(0,FLOOR(($N$2-$N$3)/E170,1))*MAX(1,MIN(IF(G170="",1,G170),FLOOR($N$4/D170,1)))*IF(F170="",1,F170),""))</f>
        <v/>
      </c>
      <c r="K170" s="12">
        <f>IF(A170="","",IF(COUNTIF(DATA!$D$2:$D$500,A170)=0,"CEK SKU tidak ada di DATA",IF(COUNT(C170:E170)&lt;3,"CEK dimensi belum lengkap",IF(OR(C170&lt;=0,D170&lt;=0,E170&lt;=0),"CEK dimensi harus lebih dari 0",IF(COUNTIF($A$2:$A$500,A170)&gt;1,"CEK SKU dobel","OK")))))</f>
        <v/>
      </c>
    </row>
    <row r="171">
      <c r="A171" s="10" t="n"/>
      <c r="B171" s="12">
        <f>IF(A171="","",IFERROR(INDEX(DATA!$E$2:$E$500,MATCH(A171,DATA!$D$2:$D$500,0)),""))</f>
        <v/>
      </c>
      <c r="C171" s="10" t="n"/>
      <c r="D171" s="10" t="n"/>
      <c r="E171" s="10" t="n"/>
      <c r="F171" s="10" t="n"/>
      <c r="G171" s="10" t="n"/>
      <c r="H171" s="10" t="n"/>
      <c r="I171" s="10" t="n"/>
      <c r="J171" s="12">
        <f>IF(OR(A171="",COUNT(C171:E171)&lt;3),"",IFERROR(MAX(0,FLOOR(($N$2-$N$3)/E171,1))*MAX(1,MIN(IF(G171="",1,G171),FLOOR($N$4/D171,1)))*IF(F171="",1,F171),""))</f>
        <v/>
      </c>
      <c r="K171" s="12">
        <f>IF(A171="","",IF(COUNTIF(DATA!$D$2:$D$500,A171)=0,"CEK SKU tidak ada di DATA",IF(COUNT(C171:E171)&lt;3,"CEK dimensi belum lengkap",IF(OR(C171&lt;=0,D171&lt;=0,E171&lt;=0),"CEK dimensi harus lebih dari 0",IF(COUNTIF($A$2:$A$500,A171)&gt;1,"CEK SKU dobel","OK")))))</f>
        <v/>
      </c>
    </row>
    <row r="172">
      <c r="A172" s="10" t="n"/>
      <c r="B172" s="12">
        <f>IF(A172="","",IFERROR(INDEX(DATA!$E$2:$E$500,MATCH(A172,DATA!$D$2:$D$500,0)),""))</f>
        <v/>
      </c>
      <c r="C172" s="10" t="n"/>
      <c r="D172" s="10" t="n"/>
      <c r="E172" s="10" t="n"/>
      <c r="F172" s="10" t="n"/>
      <c r="G172" s="10" t="n"/>
      <c r="H172" s="10" t="n"/>
      <c r="I172" s="10" t="n"/>
      <c r="J172" s="12">
        <f>IF(OR(A172="",COUNT(C172:E172)&lt;3),"",IFERROR(MAX(0,FLOOR(($N$2-$N$3)/E172,1))*MAX(1,MIN(IF(G172="",1,G172),FLOOR($N$4/D172,1)))*IF(F172="",1,F172),""))</f>
        <v/>
      </c>
      <c r="K172" s="12">
        <f>IF(A172="","",IF(COUNTIF(DATA!$D$2:$D$500,A172)=0,"CEK SKU tidak ada di DATA",IF(COUNT(C172:E172)&lt;3,"CEK dimensi belum lengkap",IF(OR(C172&lt;=0,D172&lt;=0,E172&lt;=0),"CEK dimensi harus lebih dari 0",IF(COUNTIF($A$2:$A$500,A172)&gt;1,"CEK SKU dobel","OK")))))</f>
        <v/>
      </c>
    </row>
    <row r="173">
      <c r="A173" s="10" t="n"/>
      <c r="B173" s="12">
        <f>IF(A173="","",IFERROR(INDEX(DATA!$E$2:$E$500,MATCH(A173,DATA!$D$2:$D$500,0)),""))</f>
        <v/>
      </c>
      <c r="C173" s="10" t="n"/>
      <c r="D173" s="10" t="n"/>
      <c r="E173" s="10" t="n"/>
      <c r="F173" s="10" t="n"/>
      <c r="G173" s="10" t="n"/>
      <c r="H173" s="10" t="n"/>
      <c r="I173" s="10" t="n"/>
      <c r="J173" s="12">
        <f>IF(OR(A173="",COUNT(C173:E173)&lt;3),"",IFERROR(MAX(0,FLOOR(($N$2-$N$3)/E173,1))*MAX(1,MIN(IF(G173="",1,G173),FLOOR($N$4/D173,1)))*IF(F173="",1,F173),""))</f>
        <v/>
      </c>
      <c r="K173" s="12">
        <f>IF(A173="","",IF(COUNTIF(DATA!$D$2:$D$500,A173)=0,"CEK SKU tidak ada di DATA",IF(COUNT(C173:E173)&lt;3,"CEK dimensi belum lengkap",IF(OR(C173&lt;=0,D173&lt;=0,E173&lt;=0),"CEK dimensi harus lebih dari 0",IF(COUNTIF($A$2:$A$500,A173)&gt;1,"CEK SKU dobel","OK")))))</f>
        <v/>
      </c>
    </row>
    <row r="174">
      <c r="A174" s="10" t="n"/>
      <c r="B174" s="12">
        <f>IF(A174="","",IFERROR(INDEX(DATA!$E$2:$E$500,MATCH(A174,DATA!$D$2:$D$500,0)),""))</f>
        <v/>
      </c>
      <c r="C174" s="10" t="n"/>
      <c r="D174" s="10" t="n"/>
      <c r="E174" s="10" t="n"/>
      <c r="F174" s="10" t="n"/>
      <c r="G174" s="10" t="n"/>
      <c r="H174" s="10" t="n"/>
      <c r="I174" s="10" t="n"/>
      <c r="J174" s="12">
        <f>IF(OR(A174="",COUNT(C174:E174)&lt;3),"",IFERROR(MAX(0,FLOOR(($N$2-$N$3)/E174,1))*MAX(1,MIN(IF(G174="",1,G174),FLOOR($N$4/D174,1)))*IF(F174="",1,F174),""))</f>
        <v/>
      </c>
      <c r="K174" s="12">
        <f>IF(A174="","",IF(COUNTIF(DATA!$D$2:$D$500,A174)=0,"CEK SKU tidak ada di DATA",IF(COUNT(C174:E174)&lt;3,"CEK dimensi belum lengkap",IF(OR(C174&lt;=0,D174&lt;=0,E174&lt;=0),"CEK dimensi harus lebih dari 0",IF(COUNTIF($A$2:$A$500,A174)&gt;1,"CEK SKU dobel","OK")))))</f>
        <v/>
      </c>
    </row>
    <row r="175">
      <c r="A175" s="10" t="n"/>
      <c r="B175" s="12">
        <f>IF(A175="","",IFERROR(INDEX(DATA!$E$2:$E$500,MATCH(A175,DATA!$D$2:$D$500,0)),""))</f>
        <v/>
      </c>
      <c r="C175" s="10" t="n"/>
      <c r="D175" s="10" t="n"/>
      <c r="E175" s="10" t="n"/>
      <c r="F175" s="10" t="n"/>
      <c r="G175" s="10" t="n"/>
      <c r="H175" s="10" t="n"/>
      <c r="I175" s="10" t="n"/>
      <c r="J175" s="12">
        <f>IF(OR(A175="",COUNT(C175:E175)&lt;3),"",IFERROR(MAX(0,FLOOR(($N$2-$N$3)/E175,1))*MAX(1,MIN(IF(G175="",1,G175),FLOOR($N$4/D175,1)))*IF(F175="",1,F175),""))</f>
        <v/>
      </c>
      <c r="K175" s="12">
        <f>IF(A175="","",IF(COUNTIF(DATA!$D$2:$D$500,A175)=0,"CEK SKU tidak ada di DATA",IF(COUNT(C175:E175)&lt;3,"CEK dimensi belum lengkap",IF(OR(C175&lt;=0,D175&lt;=0,E175&lt;=0),"CEK dimensi harus lebih dari 0",IF(COUNTIF($A$2:$A$500,A175)&gt;1,"CEK SKU dobel","OK")))))</f>
        <v/>
      </c>
    </row>
    <row r="176">
      <c r="A176" s="10" t="n"/>
      <c r="B176" s="12">
        <f>IF(A176="","",IFERROR(INDEX(DATA!$E$2:$E$500,MATCH(A176,DATA!$D$2:$D$500,0)),""))</f>
        <v/>
      </c>
      <c r="C176" s="10" t="n"/>
      <c r="D176" s="10" t="n"/>
      <c r="E176" s="10" t="n"/>
      <c r="F176" s="10" t="n"/>
      <c r="G176" s="10" t="n"/>
      <c r="H176" s="10" t="n"/>
      <c r="I176" s="10" t="n"/>
      <c r="J176" s="12">
        <f>IF(OR(A176="",COUNT(C176:E176)&lt;3),"",IFERROR(MAX(0,FLOOR(($N$2-$N$3)/E176,1))*MAX(1,MIN(IF(G176="",1,G176),FLOOR($N$4/D176,1)))*IF(F176="",1,F176),""))</f>
        <v/>
      </c>
      <c r="K176" s="12">
        <f>IF(A176="","",IF(COUNTIF(DATA!$D$2:$D$500,A176)=0,"CEK SKU tidak ada di DATA",IF(COUNT(C176:E176)&lt;3,"CEK dimensi belum lengkap",IF(OR(C176&lt;=0,D176&lt;=0,E176&lt;=0),"CEK dimensi harus lebih dari 0",IF(COUNTIF($A$2:$A$500,A176)&gt;1,"CEK SKU dobel","OK")))))</f>
        <v/>
      </c>
    </row>
    <row r="177">
      <c r="A177" s="10" t="n"/>
      <c r="B177" s="12">
        <f>IF(A177="","",IFERROR(INDEX(DATA!$E$2:$E$500,MATCH(A177,DATA!$D$2:$D$500,0)),""))</f>
        <v/>
      </c>
      <c r="C177" s="10" t="n"/>
      <c r="D177" s="10" t="n"/>
      <c r="E177" s="10" t="n"/>
      <c r="F177" s="10" t="n"/>
      <c r="G177" s="10" t="n"/>
      <c r="H177" s="10" t="n"/>
      <c r="I177" s="10" t="n"/>
      <c r="J177" s="12">
        <f>IF(OR(A177="",COUNT(C177:E177)&lt;3),"",IFERROR(MAX(0,FLOOR(($N$2-$N$3)/E177,1))*MAX(1,MIN(IF(G177="",1,G177),FLOOR($N$4/D177,1)))*IF(F177="",1,F177),""))</f>
        <v/>
      </c>
      <c r="K177" s="12">
        <f>IF(A177="","",IF(COUNTIF(DATA!$D$2:$D$500,A177)=0,"CEK SKU tidak ada di DATA",IF(COUNT(C177:E177)&lt;3,"CEK dimensi belum lengkap",IF(OR(C177&lt;=0,D177&lt;=0,E177&lt;=0),"CEK dimensi harus lebih dari 0",IF(COUNTIF($A$2:$A$500,A177)&gt;1,"CEK SKU dobel","OK")))))</f>
        <v/>
      </c>
    </row>
    <row r="178">
      <c r="A178" s="10" t="n"/>
      <c r="B178" s="12">
        <f>IF(A178="","",IFERROR(INDEX(DATA!$E$2:$E$500,MATCH(A178,DATA!$D$2:$D$500,0)),""))</f>
        <v/>
      </c>
      <c r="C178" s="10" t="n"/>
      <c r="D178" s="10" t="n"/>
      <c r="E178" s="10" t="n"/>
      <c r="F178" s="10" t="n"/>
      <c r="G178" s="10" t="n"/>
      <c r="H178" s="10" t="n"/>
      <c r="I178" s="10" t="n"/>
      <c r="J178" s="12">
        <f>IF(OR(A178="",COUNT(C178:E178)&lt;3),"",IFERROR(MAX(0,FLOOR(($N$2-$N$3)/E178,1))*MAX(1,MIN(IF(G178="",1,G178),FLOOR($N$4/D178,1)))*IF(F178="",1,F178),""))</f>
        <v/>
      </c>
      <c r="K178" s="12">
        <f>IF(A178="","",IF(COUNTIF(DATA!$D$2:$D$500,A178)=0,"CEK SKU tidak ada di DATA",IF(COUNT(C178:E178)&lt;3,"CEK dimensi belum lengkap",IF(OR(C178&lt;=0,D178&lt;=0,E178&lt;=0),"CEK dimensi harus lebih dari 0",IF(COUNTIF($A$2:$A$500,A178)&gt;1,"CEK SKU dobel","OK")))))</f>
        <v/>
      </c>
    </row>
    <row r="179">
      <c r="A179" s="10" t="n"/>
      <c r="B179" s="12">
        <f>IF(A179="","",IFERROR(INDEX(DATA!$E$2:$E$500,MATCH(A179,DATA!$D$2:$D$500,0)),""))</f>
        <v/>
      </c>
      <c r="C179" s="10" t="n"/>
      <c r="D179" s="10" t="n"/>
      <c r="E179" s="10" t="n"/>
      <c r="F179" s="10" t="n"/>
      <c r="G179" s="10" t="n"/>
      <c r="H179" s="10" t="n"/>
      <c r="I179" s="10" t="n"/>
      <c r="J179" s="12">
        <f>IF(OR(A179="",COUNT(C179:E179)&lt;3),"",IFERROR(MAX(0,FLOOR(($N$2-$N$3)/E179,1))*MAX(1,MIN(IF(G179="",1,G179),FLOOR($N$4/D179,1)))*IF(F179="",1,F179),""))</f>
        <v/>
      </c>
      <c r="K179" s="12">
        <f>IF(A179="","",IF(COUNTIF(DATA!$D$2:$D$500,A179)=0,"CEK SKU tidak ada di DATA",IF(COUNT(C179:E179)&lt;3,"CEK dimensi belum lengkap",IF(OR(C179&lt;=0,D179&lt;=0,E179&lt;=0),"CEK dimensi harus lebih dari 0",IF(COUNTIF($A$2:$A$500,A179)&gt;1,"CEK SKU dobel","OK")))))</f>
        <v/>
      </c>
    </row>
    <row r="180">
      <c r="A180" s="10" t="n"/>
      <c r="B180" s="12">
        <f>IF(A180="","",IFERROR(INDEX(DATA!$E$2:$E$500,MATCH(A180,DATA!$D$2:$D$500,0)),""))</f>
        <v/>
      </c>
      <c r="C180" s="10" t="n"/>
      <c r="D180" s="10" t="n"/>
      <c r="E180" s="10" t="n"/>
      <c r="F180" s="10" t="n"/>
      <c r="G180" s="10" t="n"/>
      <c r="H180" s="10" t="n"/>
      <c r="I180" s="10" t="n"/>
      <c r="J180" s="12">
        <f>IF(OR(A180="",COUNT(C180:E180)&lt;3),"",IFERROR(MAX(0,FLOOR(($N$2-$N$3)/E180,1))*MAX(1,MIN(IF(G180="",1,G180),FLOOR($N$4/D180,1)))*IF(F180="",1,F180),""))</f>
        <v/>
      </c>
      <c r="K180" s="12">
        <f>IF(A180="","",IF(COUNTIF(DATA!$D$2:$D$500,A180)=0,"CEK SKU tidak ada di DATA",IF(COUNT(C180:E180)&lt;3,"CEK dimensi belum lengkap",IF(OR(C180&lt;=0,D180&lt;=0,E180&lt;=0),"CEK dimensi harus lebih dari 0",IF(COUNTIF($A$2:$A$500,A180)&gt;1,"CEK SKU dobel","OK")))))</f>
        <v/>
      </c>
    </row>
    <row r="181">
      <c r="A181" s="10" t="n"/>
      <c r="B181" s="12">
        <f>IF(A181="","",IFERROR(INDEX(DATA!$E$2:$E$500,MATCH(A181,DATA!$D$2:$D$500,0)),""))</f>
        <v/>
      </c>
      <c r="C181" s="10" t="n"/>
      <c r="D181" s="10" t="n"/>
      <c r="E181" s="10" t="n"/>
      <c r="F181" s="10" t="n"/>
      <c r="G181" s="10" t="n"/>
      <c r="H181" s="10" t="n"/>
      <c r="I181" s="10" t="n"/>
      <c r="J181" s="12">
        <f>IF(OR(A181="",COUNT(C181:E181)&lt;3),"",IFERROR(MAX(0,FLOOR(($N$2-$N$3)/E181,1))*MAX(1,MIN(IF(G181="",1,G181),FLOOR($N$4/D181,1)))*IF(F181="",1,F181),""))</f>
        <v/>
      </c>
      <c r="K181" s="12">
        <f>IF(A181="","",IF(COUNTIF(DATA!$D$2:$D$500,A181)=0,"CEK SKU tidak ada di DATA",IF(COUNT(C181:E181)&lt;3,"CEK dimensi belum lengkap",IF(OR(C181&lt;=0,D181&lt;=0,E181&lt;=0),"CEK dimensi harus lebih dari 0",IF(COUNTIF($A$2:$A$500,A181)&gt;1,"CEK SKU dobel","OK")))))</f>
        <v/>
      </c>
    </row>
    <row r="182">
      <c r="A182" s="10" t="n"/>
      <c r="B182" s="12">
        <f>IF(A182="","",IFERROR(INDEX(DATA!$E$2:$E$500,MATCH(A182,DATA!$D$2:$D$500,0)),""))</f>
        <v/>
      </c>
      <c r="C182" s="10" t="n"/>
      <c r="D182" s="10" t="n"/>
      <c r="E182" s="10" t="n"/>
      <c r="F182" s="10" t="n"/>
      <c r="G182" s="10" t="n"/>
      <c r="H182" s="10" t="n"/>
      <c r="I182" s="10" t="n"/>
      <c r="J182" s="12">
        <f>IF(OR(A182="",COUNT(C182:E182)&lt;3),"",IFERROR(MAX(0,FLOOR(($N$2-$N$3)/E182,1))*MAX(1,MIN(IF(G182="",1,G182),FLOOR($N$4/D182,1)))*IF(F182="",1,F182),""))</f>
        <v/>
      </c>
      <c r="K182" s="12">
        <f>IF(A182="","",IF(COUNTIF(DATA!$D$2:$D$500,A182)=0,"CEK SKU tidak ada di DATA",IF(COUNT(C182:E182)&lt;3,"CEK dimensi belum lengkap",IF(OR(C182&lt;=0,D182&lt;=0,E182&lt;=0),"CEK dimensi harus lebih dari 0",IF(COUNTIF($A$2:$A$500,A182)&gt;1,"CEK SKU dobel","OK")))))</f>
        <v/>
      </c>
    </row>
    <row r="183">
      <c r="A183" s="10" t="n"/>
      <c r="B183" s="12">
        <f>IF(A183="","",IFERROR(INDEX(DATA!$E$2:$E$500,MATCH(A183,DATA!$D$2:$D$500,0)),""))</f>
        <v/>
      </c>
      <c r="C183" s="10" t="n"/>
      <c r="D183" s="10" t="n"/>
      <c r="E183" s="10" t="n"/>
      <c r="F183" s="10" t="n"/>
      <c r="G183" s="10" t="n"/>
      <c r="H183" s="10" t="n"/>
      <c r="I183" s="10" t="n"/>
      <c r="J183" s="12">
        <f>IF(OR(A183="",COUNT(C183:E183)&lt;3),"",IFERROR(MAX(0,FLOOR(($N$2-$N$3)/E183,1))*MAX(1,MIN(IF(G183="",1,G183),FLOOR($N$4/D183,1)))*IF(F183="",1,F183),""))</f>
        <v/>
      </c>
      <c r="K183" s="12">
        <f>IF(A183="","",IF(COUNTIF(DATA!$D$2:$D$500,A183)=0,"CEK SKU tidak ada di DATA",IF(COUNT(C183:E183)&lt;3,"CEK dimensi belum lengkap",IF(OR(C183&lt;=0,D183&lt;=0,E183&lt;=0),"CEK dimensi harus lebih dari 0",IF(COUNTIF($A$2:$A$500,A183)&gt;1,"CEK SKU dobel","OK")))))</f>
        <v/>
      </c>
    </row>
    <row r="184">
      <c r="A184" s="10" t="n"/>
      <c r="B184" s="12">
        <f>IF(A184="","",IFERROR(INDEX(DATA!$E$2:$E$500,MATCH(A184,DATA!$D$2:$D$500,0)),""))</f>
        <v/>
      </c>
      <c r="C184" s="10" t="n"/>
      <c r="D184" s="10" t="n"/>
      <c r="E184" s="10" t="n"/>
      <c r="F184" s="10" t="n"/>
      <c r="G184" s="10" t="n"/>
      <c r="H184" s="10" t="n"/>
      <c r="I184" s="10" t="n"/>
      <c r="J184" s="12">
        <f>IF(OR(A184="",COUNT(C184:E184)&lt;3),"",IFERROR(MAX(0,FLOOR(($N$2-$N$3)/E184,1))*MAX(1,MIN(IF(G184="",1,G184),FLOOR($N$4/D184,1)))*IF(F184="",1,F184),""))</f>
        <v/>
      </c>
      <c r="K184" s="12">
        <f>IF(A184="","",IF(COUNTIF(DATA!$D$2:$D$500,A184)=0,"CEK SKU tidak ada di DATA",IF(COUNT(C184:E184)&lt;3,"CEK dimensi belum lengkap",IF(OR(C184&lt;=0,D184&lt;=0,E184&lt;=0),"CEK dimensi harus lebih dari 0",IF(COUNTIF($A$2:$A$500,A184)&gt;1,"CEK SKU dobel","OK")))))</f>
        <v/>
      </c>
    </row>
    <row r="185">
      <c r="A185" s="10" t="n"/>
      <c r="B185" s="12">
        <f>IF(A185="","",IFERROR(INDEX(DATA!$E$2:$E$500,MATCH(A185,DATA!$D$2:$D$500,0)),""))</f>
        <v/>
      </c>
      <c r="C185" s="10" t="n"/>
      <c r="D185" s="10" t="n"/>
      <c r="E185" s="10" t="n"/>
      <c r="F185" s="10" t="n"/>
      <c r="G185" s="10" t="n"/>
      <c r="H185" s="10" t="n"/>
      <c r="I185" s="10" t="n"/>
      <c r="J185" s="12">
        <f>IF(OR(A185="",COUNT(C185:E185)&lt;3),"",IFERROR(MAX(0,FLOOR(($N$2-$N$3)/E185,1))*MAX(1,MIN(IF(G185="",1,G185),FLOOR($N$4/D185,1)))*IF(F185="",1,F185),""))</f>
        <v/>
      </c>
      <c r="K185" s="12">
        <f>IF(A185="","",IF(COUNTIF(DATA!$D$2:$D$500,A185)=0,"CEK SKU tidak ada di DATA",IF(COUNT(C185:E185)&lt;3,"CEK dimensi belum lengkap",IF(OR(C185&lt;=0,D185&lt;=0,E185&lt;=0),"CEK dimensi harus lebih dari 0",IF(COUNTIF($A$2:$A$500,A185)&gt;1,"CEK SKU dobel","OK")))))</f>
        <v/>
      </c>
    </row>
    <row r="186">
      <c r="A186" s="10" t="n"/>
      <c r="B186" s="12">
        <f>IF(A186="","",IFERROR(INDEX(DATA!$E$2:$E$500,MATCH(A186,DATA!$D$2:$D$500,0)),""))</f>
        <v/>
      </c>
      <c r="C186" s="10" t="n"/>
      <c r="D186" s="10" t="n"/>
      <c r="E186" s="10" t="n"/>
      <c r="F186" s="10" t="n"/>
      <c r="G186" s="10" t="n"/>
      <c r="H186" s="10" t="n"/>
      <c r="I186" s="10" t="n"/>
      <c r="J186" s="12">
        <f>IF(OR(A186="",COUNT(C186:E186)&lt;3),"",IFERROR(MAX(0,FLOOR(($N$2-$N$3)/E186,1))*MAX(1,MIN(IF(G186="",1,G186),FLOOR($N$4/D186,1)))*IF(F186="",1,F186),""))</f>
        <v/>
      </c>
      <c r="K186" s="12">
        <f>IF(A186="","",IF(COUNTIF(DATA!$D$2:$D$500,A186)=0,"CEK SKU tidak ada di DATA",IF(COUNT(C186:E186)&lt;3,"CEK dimensi belum lengkap",IF(OR(C186&lt;=0,D186&lt;=0,E186&lt;=0),"CEK dimensi harus lebih dari 0",IF(COUNTIF($A$2:$A$500,A186)&gt;1,"CEK SKU dobel","OK")))))</f>
        <v/>
      </c>
    </row>
    <row r="187">
      <c r="A187" s="10" t="n"/>
      <c r="B187" s="12">
        <f>IF(A187="","",IFERROR(INDEX(DATA!$E$2:$E$500,MATCH(A187,DATA!$D$2:$D$500,0)),""))</f>
        <v/>
      </c>
      <c r="C187" s="10" t="n"/>
      <c r="D187" s="10" t="n"/>
      <c r="E187" s="10" t="n"/>
      <c r="F187" s="10" t="n"/>
      <c r="G187" s="10" t="n"/>
      <c r="H187" s="10" t="n"/>
      <c r="I187" s="10" t="n"/>
      <c r="J187" s="12">
        <f>IF(OR(A187="",COUNT(C187:E187)&lt;3),"",IFERROR(MAX(0,FLOOR(($N$2-$N$3)/E187,1))*MAX(1,MIN(IF(G187="",1,G187),FLOOR($N$4/D187,1)))*IF(F187="",1,F187),""))</f>
        <v/>
      </c>
      <c r="K187" s="12">
        <f>IF(A187="","",IF(COUNTIF(DATA!$D$2:$D$500,A187)=0,"CEK SKU tidak ada di DATA",IF(COUNT(C187:E187)&lt;3,"CEK dimensi belum lengkap",IF(OR(C187&lt;=0,D187&lt;=0,E187&lt;=0),"CEK dimensi harus lebih dari 0",IF(COUNTIF($A$2:$A$500,A187)&gt;1,"CEK SKU dobel","OK")))))</f>
        <v/>
      </c>
    </row>
    <row r="188">
      <c r="A188" s="10" t="n"/>
      <c r="B188" s="12">
        <f>IF(A188="","",IFERROR(INDEX(DATA!$E$2:$E$500,MATCH(A188,DATA!$D$2:$D$500,0)),""))</f>
        <v/>
      </c>
      <c r="C188" s="10" t="n"/>
      <c r="D188" s="10" t="n"/>
      <c r="E188" s="10" t="n"/>
      <c r="F188" s="10" t="n"/>
      <c r="G188" s="10" t="n"/>
      <c r="H188" s="10" t="n"/>
      <c r="I188" s="10" t="n"/>
      <c r="J188" s="12">
        <f>IF(OR(A188="",COUNT(C188:E188)&lt;3),"",IFERROR(MAX(0,FLOOR(($N$2-$N$3)/E188,1))*MAX(1,MIN(IF(G188="",1,G188),FLOOR($N$4/D188,1)))*IF(F188="",1,F188),""))</f>
        <v/>
      </c>
      <c r="K188" s="12">
        <f>IF(A188="","",IF(COUNTIF(DATA!$D$2:$D$500,A188)=0,"CEK SKU tidak ada di DATA",IF(COUNT(C188:E188)&lt;3,"CEK dimensi belum lengkap",IF(OR(C188&lt;=0,D188&lt;=0,E188&lt;=0),"CEK dimensi harus lebih dari 0",IF(COUNTIF($A$2:$A$500,A188)&gt;1,"CEK SKU dobel","OK")))))</f>
        <v/>
      </c>
    </row>
    <row r="189">
      <c r="A189" s="10" t="n"/>
      <c r="B189" s="12">
        <f>IF(A189="","",IFERROR(INDEX(DATA!$E$2:$E$500,MATCH(A189,DATA!$D$2:$D$500,0)),""))</f>
        <v/>
      </c>
      <c r="C189" s="10" t="n"/>
      <c r="D189" s="10" t="n"/>
      <c r="E189" s="10" t="n"/>
      <c r="F189" s="10" t="n"/>
      <c r="G189" s="10" t="n"/>
      <c r="H189" s="10" t="n"/>
      <c r="I189" s="10" t="n"/>
      <c r="J189" s="12">
        <f>IF(OR(A189="",COUNT(C189:E189)&lt;3),"",IFERROR(MAX(0,FLOOR(($N$2-$N$3)/E189,1))*MAX(1,MIN(IF(G189="",1,G189),FLOOR($N$4/D189,1)))*IF(F189="",1,F189),""))</f>
        <v/>
      </c>
      <c r="K189" s="12">
        <f>IF(A189="","",IF(COUNTIF(DATA!$D$2:$D$500,A189)=0,"CEK SKU tidak ada di DATA",IF(COUNT(C189:E189)&lt;3,"CEK dimensi belum lengkap",IF(OR(C189&lt;=0,D189&lt;=0,E189&lt;=0),"CEK dimensi harus lebih dari 0",IF(COUNTIF($A$2:$A$500,A189)&gt;1,"CEK SKU dobel","OK")))))</f>
        <v/>
      </c>
    </row>
    <row r="190">
      <c r="A190" s="10" t="n"/>
      <c r="B190" s="12">
        <f>IF(A190="","",IFERROR(INDEX(DATA!$E$2:$E$500,MATCH(A190,DATA!$D$2:$D$500,0)),""))</f>
        <v/>
      </c>
      <c r="C190" s="10" t="n"/>
      <c r="D190" s="10" t="n"/>
      <c r="E190" s="10" t="n"/>
      <c r="F190" s="10" t="n"/>
      <c r="G190" s="10" t="n"/>
      <c r="H190" s="10" t="n"/>
      <c r="I190" s="10" t="n"/>
      <c r="J190" s="12">
        <f>IF(OR(A190="",COUNT(C190:E190)&lt;3),"",IFERROR(MAX(0,FLOOR(($N$2-$N$3)/E190,1))*MAX(1,MIN(IF(G190="",1,G190),FLOOR($N$4/D190,1)))*IF(F190="",1,F190),""))</f>
        <v/>
      </c>
      <c r="K190" s="12">
        <f>IF(A190="","",IF(COUNTIF(DATA!$D$2:$D$500,A190)=0,"CEK SKU tidak ada di DATA",IF(COUNT(C190:E190)&lt;3,"CEK dimensi belum lengkap",IF(OR(C190&lt;=0,D190&lt;=0,E190&lt;=0),"CEK dimensi harus lebih dari 0",IF(COUNTIF($A$2:$A$500,A190)&gt;1,"CEK SKU dobel","OK")))))</f>
        <v/>
      </c>
    </row>
    <row r="191">
      <c r="A191" s="10" t="n"/>
      <c r="B191" s="12">
        <f>IF(A191="","",IFERROR(INDEX(DATA!$E$2:$E$500,MATCH(A191,DATA!$D$2:$D$500,0)),""))</f>
        <v/>
      </c>
      <c r="C191" s="10" t="n"/>
      <c r="D191" s="10" t="n"/>
      <c r="E191" s="10" t="n"/>
      <c r="F191" s="10" t="n"/>
      <c r="G191" s="10" t="n"/>
      <c r="H191" s="10" t="n"/>
      <c r="I191" s="10" t="n"/>
      <c r="J191" s="12">
        <f>IF(OR(A191="",COUNT(C191:E191)&lt;3),"",IFERROR(MAX(0,FLOOR(($N$2-$N$3)/E191,1))*MAX(1,MIN(IF(G191="",1,G191),FLOOR($N$4/D191,1)))*IF(F191="",1,F191),""))</f>
        <v/>
      </c>
      <c r="K191" s="12">
        <f>IF(A191="","",IF(COUNTIF(DATA!$D$2:$D$500,A191)=0,"CEK SKU tidak ada di DATA",IF(COUNT(C191:E191)&lt;3,"CEK dimensi belum lengkap",IF(OR(C191&lt;=0,D191&lt;=0,E191&lt;=0),"CEK dimensi harus lebih dari 0",IF(COUNTIF($A$2:$A$500,A191)&gt;1,"CEK SKU dobel","OK")))))</f>
        <v/>
      </c>
    </row>
    <row r="192">
      <c r="A192" s="10" t="n"/>
      <c r="B192" s="12">
        <f>IF(A192="","",IFERROR(INDEX(DATA!$E$2:$E$500,MATCH(A192,DATA!$D$2:$D$500,0)),""))</f>
        <v/>
      </c>
      <c r="C192" s="10" t="n"/>
      <c r="D192" s="10" t="n"/>
      <c r="E192" s="10" t="n"/>
      <c r="F192" s="10" t="n"/>
      <c r="G192" s="10" t="n"/>
      <c r="H192" s="10" t="n"/>
      <c r="I192" s="10" t="n"/>
      <c r="J192" s="12">
        <f>IF(OR(A192="",COUNT(C192:E192)&lt;3),"",IFERROR(MAX(0,FLOOR(($N$2-$N$3)/E192,1))*MAX(1,MIN(IF(G192="",1,G192),FLOOR($N$4/D192,1)))*IF(F192="",1,F192),""))</f>
        <v/>
      </c>
      <c r="K192" s="12">
        <f>IF(A192="","",IF(COUNTIF(DATA!$D$2:$D$500,A192)=0,"CEK SKU tidak ada di DATA",IF(COUNT(C192:E192)&lt;3,"CEK dimensi belum lengkap",IF(OR(C192&lt;=0,D192&lt;=0,E192&lt;=0),"CEK dimensi harus lebih dari 0",IF(COUNTIF($A$2:$A$500,A192)&gt;1,"CEK SKU dobel","OK")))))</f>
        <v/>
      </c>
    </row>
    <row r="193">
      <c r="A193" s="10" t="n"/>
      <c r="B193" s="12">
        <f>IF(A193="","",IFERROR(INDEX(DATA!$E$2:$E$500,MATCH(A193,DATA!$D$2:$D$500,0)),""))</f>
        <v/>
      </c>
      <c r="C193" s="10" t="n"/>
      <c r="D193" s="10" t="n"/>
      <c r="E193" s="10" t="n"/>
      <c r="F193" s="10" t="n"/>
      <c r="G193" s="10" t="n"/>
      <c r="H193" s="10" t="n"/>
      <c r="I193" s="10" t="n"/>
      <c r="J193" s="12">
        <f>IF(OR(A193="",COUNT(C193:E193)&lt;3),"",IFERROR(MAX(0,FLOOR(($N$2-$N$3)/E193,1))*MAX(1,MIN(IF(G193="",1,G193),FLOOR($N$4/D193,1)))*IF(F193="",1,F193),""))</f>
        <v/>
      </c>
      <c r="K193" s="12">
        <f>IF(A193="","",IF(COUNTIF(DATA!$D$2:$D$500,A193)=0,"CEK SKU tidak ada di DATA",IF(COUNT(C193:E193)&lt;3,"CEK dimensi belum lengkap",IF(OR(C193&lt;=0,D193&lt;=0,E193&lt;=0),"CEK dimensi harus lebih dari 0",IF(COUNTIF($A$2:$A$500,A193)&gt;1,"CEK SKU dobel","OK")))))</f>
        <v/>
      </c>
    </row>
    <row r="194">
      <c r="A194" s="10" t="n"/>
      <c r="B194" s="12">
        <f>IF(A194="","",IFERROR(INDEX(DATA!$E$2:$E$500,MATCH(A194,DATA!$D$2:$D$500,0)),""))</f>
        <v/>
      </c>
      <c r="C194" s="10" t="n"/>
      <c r="D194" s="10" t="n"/>
      <c r="E194" s="10" t="n"/>
      <c r="F194" s="10" t="n"/>
      <c r="G194" s="10" t="n"/>
      <c r="H194" s="10" t="n"/>
      <c r="I194" s="10" t="n"/>
      <c r="J194" s="12">
        <f>IF(OR(A194="",COUNT(C194:E194)&lt;3),"",IFERROR(MAX(0,FLOOR(($N$2-$N$3)/E194,1))*MAX(1,MIN(IF(G194="",1,G194),FLOOR($N$4/D194,1)))*IF(F194="",1,F194),""))</f>
        <v/>
      </c>
      <c r="K194" s="12">
        <f>IF(A194="","",IF(COUNTIF(DATA!$D$2:$D$500,A194)=0,"CEK SKU tidak ada di DATA",IF(COUNT(C194:E194)&lt;3,"CEK dimensi belum lengkap",IF(OR(C194&lt;=0,D194&lt;=0,E194&lt;=0),"CEK dimensi harus lebih dari 0",IF(COUNTIF($A$2:$A$500,A194)&gt;1,"CEK SKU dobel","OK")))))</f>
        <v/>
      </c>
    </row>
    <row r="195">
      <c r="A195" s="10" t="n"/>
      <c r="B195" s="12">
        <f>IF(A195="","",IFERROR(INDEX(DATA!$E$2:$E$500,MATCH(A195,DATA!$D$2:$D$500,0)),""))</f>
        <v/>
      </c>
      <c r="C195" s="10" t="n"/>
      <c r="D195" s="10" t="n"/>
      <c r="E195" s="10" t="n"/>
      <c r="F195" s="10" t="n"/>
      <c r="G195" s="10" t="n"/>
      <c r="H195" s="10" t="n"/>
      <c r="I195" s="10" t="n"/>
      <c r="J195" s="12">
        <f>IF(OR(A195="",COUNT(C195:E195)&lt;3),"",IFERROR(MAX(0,FLOOR(($N$2-$N$3)/E195,1))*MAX(1,MIN(IF(G195="",1,G195),FLOOR($N$4/D195,1)))*IF(F195="",1,F195),""))</f>
        <v/>
      </c>
      <c r="K195" s="12">
        <f>IF(A195="","",IF(COUNTIF(DATA!$D$2:$D$500,A195)=0,"CEK SKU tidak ada di DATA",IF(COUNT(C195:E195)&lt;3,"CEK dimensi belum lengkap",IF(OR(C195&lt;=0,D195&lt;=0,E195&lt;=0),"CEK dimensi harus lebih dari 0",IF(COUNTIF($A$2:$A$500,A195)&gt;1,"CEK SKU dobel","OK")))))</f>
        <v/>
      </c>
    </row>
    <row r="196">
      <c r="A196" s="10" t="n"/>
      <c r="B196" s="12">
        <f>IF(A196="","",IFERROR(INDEX(DATA!$E$2:$E$500,MATCH(A196,DATA!$D$2:$D$500,0)),""))</f>
        <v/>
      </c>
      <c r="C196" s="10" t="n"/>
      <c r="D196" s="10" t="n"/>
      <c r="E196" s="10" t="n"/>
      <c r="F196" s="10" t="n"/>
      <c r="G196" s="10" t="n"/>
      <c r="H196" s="10" t="n"/>
      <c r="I196" s="10" t="n"/>
      <c r="J196" s="12">
        <f>IF(OR(A196="",COUNT(C196:E196)&lt;3),"",IFERROR(MAX(0,FLOOR(($N$2-$N$3)/E196,1))*MAX(1,MIN(IF(G196="",1,G196),FLOOR($N$4/D196,1)))*IF(F196="",1,F196),""))</f>
        <v/>
      </c>
      <c r="K196" s="12">
        <f>IF(A196="","",IF(COUNTIF(DATA!$D$2:$D$500,A196)=0,"CEK SKU tidak ada di DATA",IF(COUNT(C196:E196)&lt;3,"CEK dimensi belum lengkap",IF(OR(C196&lt;=0,D196&lt;=0,E196&lt;=0),"CEK dimensi harus lebih dari 0",IF(COUNTIF($A$2:$A$500,A196)&gt;1,"CEK SKU dobel","OK")))))</f>
        <v/>
      </c>
    </row>
    <row r="197">
      <c r="A197" s="10" t="n"/>
      <c r="B197" s="12">
        <f>IF(A197="","",IFERROR(INDEX(DATA!$E$2:$E$500,MATCH(A197,DATA!$D$2:$D$500,0)),""))</f>
        <v/>
      </c>
      <c r="C197" s="10" t="n"/>
      <c r="D197" s="10" t="n"/>
      <c r="E197" s="10" t="n"/>
      <c r="F197" s="10" t="n"/>
      <c r="G197" s="10" t="n"/>
      <c r="H197" s="10" t="n"/>
      <c r="I197" s="10" t="n"/>
      <c r="J197" s="12">
        <f>IF(OR(A197="",COUNT(C197:E197)&lt;3),"",IFERROR(MAX(0,FLOOR(($N$2-$N$3)/E197,1))*MAX(1,MIN(IF(G197="",1,G197),FLOOR($N$4/D197,1)))*IF(F197="",1,F197),""))</f>
        <v/>
      </c>
      <c r="K197" s="12">
        <f>IF(A197="","",IF(COUNTIF(DATA!$D$2:$D$500,A197)=0,"CEK SKU tidak ada di DATA",IF(COUNT(C197:E197)&lt;3,"CEK dimensi belum lengkap",IF(OR(C197&lt;=0,D197&lt;=0,E197&lt;=0),"CEK dimensi harus lebih dari 0",IF(COUNTIF($A$2:$A$500,A197)&gt;1,"CEK SKU dobel","OK")))))</f>
        <v/>
      </c>
    </row>
    <row r="198">
      <c r="A198" s="10" t="n"/>
      <c r="B198" s="12">
        <f>IF(A198="","",IFERROR(INDEX(DATA!$E$2:$E$500,MATCH(A198,DATA!$D$2:$D$500,0)),""))</f>
        <v/>
      </c>
      <c r="C198" s="10" t="n"/>
      <c r="D198" s="10" t="n"/>
      <c r="E198" s="10" t="n"/>
      <c r="F198" s="10" t="n"/>
      <c r="G198" s="10" t="n"/>
      <c r="H198" s="10" t="n"/>
      <c r="I198" s="10" t="n"/>
      <c r="J198" s="12">
        <f>IF(OR(A198="",COUNT(C198:E198)&lt;3),"",IFERROR(MAX(0,FLOOR(($N$2-$N$3)/E198,1))*MAX(1,MIN(IF(G198="",1,G198),FLOOR($N$4/D198,1)))*IF(F198="",1,F198),""))</f>
        <v/>
      </c>
      <c r="K198" s="12">
        <f>IF(A198="","",IF(COUNTIF(DATA!$D$2:$D$500,A198)=0,"CEK SKU tidak ada di DATA",IF(COUNT(C198:E198)&lt;3,"CEK dimensi belum lengkap",IF(OR(C198&lt;=0,D198&lt;=0,E198&lt;=0),"CEK dimensi harus lebih dari 0",IF(COUNTIF($A$2:$A$500,A198)&gt;1,"CEK SKU dobel","OK")))))</f>
        <v/>
      </c>
    </row>
    <row r="199">
      <c r="A199" s="10" t="n"/>
      <c r="B199" s="12">
        <f>IF(A199="","",IFERROR(INDEX(DATA!$E$2:$E$500,MATCH(A199,DATA!$D$2:$D$500,0)),""))</f>
        <v/>
      </c>
      <c r="C199" s="10" t="n"/>
      <c r="D199" s="10" t="n"/>
      <c r="E199" s="10" t="n"/>
      <c r="F199" s="10" t="n"/>
      <c r="G199" s="10" t="n"/>
      <c r="H199" s="10" t="n"/>
      <c r="I199" s="10" t="n"/>
      <c r="J199" s="12">
        <f>IF(OR(A199="",COUNT(C199:E199)&lt;3),"",IFERROR(MAX(0,FLOOR(($N$2-$N$3)/E199,1))*MAX(1,MIN(IF(G199="",1,G199),FLOOR($N$4/D199,1)))*IF(F199="",1,F199),""))</f>
        <v/>
      </c>
      <c r="K199" s="12">
        <f>IF(A199="","",IF(COUNTIF(DATA!$D$2:$D$500,A199)=0,"CEK SKU tidak ada di DATA",IF(COUNT(C199:E199)&lt;3,"CEK dimensi belum lengkap",IF(OR(C199&lt;=0,D199&lt;=0,E199&lt;=0),"CEK dimensi harus lebih dari 0",IF(COUNTIF($A$2:$A$500,A199)&gt;1,"CEK SKU dobel","OK")))))</f>
        <v/>
      </c>
    </row>
    <row r="200">
      <c r="A200" s="10" t="n"/>
      <c r="B200" s="12">
        <f>IF(A200="","",IFERROR(INDEX(DATA!$E$2:$E$500,MATCH(A200,DATA!$D$2:$D$500,0)),""))</f>
        <v/>
      </c>
      <c r="C200" s="10" t="n"/>
      <c r="D200" s="10" t="n"/>
      <c r="E200" s="10" t="n"/>
      <c r="F200" s="10" t="n"/>
      <c r="G200" s="10" t="n"/>
      <c r="H200" s="10" t="n"/>
      <c r="I200" s="10" t="n"/>
      <c r="J200" s="12">
        <f>IF(OR(A200="",COUNT(C200:E200)&lt;3),"",IFERROR(MAX(0,FLOOR(($N$2-$N$3)/E200,1))*MAX(1,MIN(IF(G200="",1,G200),FLOOR($N$4/D200,1)))*IF(F200="",1,F200),""))</f>
        <v/>
      </c>
      <c r="K200" s="12">
        <f>IF(A200="","",IF(COUNTIF(DATA!$D$2:$D$500,A200)=0,"CEK SKU tidak ada di DATA",IF(COUNT(C200:E200)&lt;3,"CEK dimensi belum lengkap",IF(OR(C200&lt;=0,D200&lt;=0,E200&lt;=0),"CEK dimensi harus lebih dari 0",IF(COUNTIF($A$2:$A$500,A200)&gt;1,"CEK SKU dobel","OK")))))</f>
        <v/>
      </c>
    </row>
    <row r="201">
      <c r="A201" s="10" t="n"/>
      <c r="B201" s="12">
        <f>IF(A201="","",IFERROR(INDEX(DATA!$E$2:$E$500,MATCH(A201,DATA!$D$2:$D$500,0)),""))</f>
        <v/>
      </c>
      <c r="C201" s="10" t="n"/>
      <c r="D201" s="10" t="n"/>
      <c r="E201" s="10" t="n"/>
      <c r="F201" s="10" t="n"/>
      <c r="G201" s="10" t="n"/>
      <c r="H201" s="10" t="n"/>
      <c r="I201" s="10" t="n"/>
      <c r="J201" s="12">
        <f>IF(OR(A201="",COUNT(C201:E201)&lt;3),"",IFERROR(MAX(0,FLOOR(($N$2-$N$3)/E201,1))*MAX(1,MIN(IF(G201="",1,G201),FLOOR($N$4/D201,1)))*IF(F201="",1,F201),""))</f>
        <v/>
      </c>
      <c r="K201" s="12">
        <f>IF(A201="","",IF(COUNTIF(DATA!$D$2:$D$500,A201)=0,"CEK SKU tidak ada di DATA",IF(COUNT(C201:E201)&lt;3,"CEK dimensi belum lengkap",IF(OR(C201&lt;=0,D201&lt;=0,E201&lt;=0),"CEK dimensi harus lebih dari 0",IF(COUNTIF($A$2:$A$500,A201)&gt;1,"CEK SKU dobel","OK")))))</f>
        <v/>
      </c>
    </row>
    <row r="202">
      <c r="A202" s="10" t="n"/>
      <c r="B202" s="12">
        <f>IF(A202="","",IFERROR(INDEX(DATA!$E$2:$E$500,MATCH(A202,DATA!$D$2:$D$500,0)),""))</f>
        <v/>
      </c>
      <c r="C202" s="10" t="n"/>
      <c r="D202" s="10" t="n"/>
      <c r="E202" s="10" t="n"/>
      <c r="F202" s="10" t="n"/>
      <c r="G202" s="10" t="n"/>
      <c r="H202" s="10" t="n"/>
      <c r="I202" s="10" t="n"/>
      <c r="J202" s="12">
        <f>IF(OR(A202="",COUNT(C202:E202)&lt;3),"",IFERROR(MAX(0,FLOOR(($N$2-$N$3)/E202,1))*MAX(1,MIN(IF(G202="",1,G202),FLOOR($N$4/D202,1)))*IF(F202="",1,F202),""))</f>
        <v/>
      </c>
      <c r="K202" s="12">
        <f>IF(A202="","",IF(COUNTIF(DATA!$D$2:$D$500,A202)=0,"CEK SKU tidak ada di DATA",IF(COUNT(C202:E202)&lt;3,"CEK dimensi belum lengkap",IF(OR(C202&lt;=0,D202&lt;=0,E202&lt;=0),"CEK dimensi harus lebih dari 0",IF(COUNTIF($A$2:$A$500,A202)&gt;1,"CEK SKU dobel","OK")))))</f>
        <v/>
      </c>
    </row>
    <row r="203">
      <c r="A203" s="10" t="n"/>
      <c r="B203" s="12">
        <f>IF(A203="","",IFERROR(INDEX(DATA!$E$2:$E$500,MATCH(A203,DATA!$D$2:$D$500,0)),""))</f>
        <v/>
      </c>
      <c r="C203" s="10" t="n"/>
      <c r="D203" s="10" t="n"/>
      <c r="E203" s="10" t="n"/>
      <c r="F203" s="10" t="n"/>
      <c r="G203" s="10" t="n"/>
      <c r="H203" s="10" t="n"/>
      <c r="I203" s="10" t="n"/>
      <c r="J203" s="12">
        <f>IF(OR(A203="",COUNT(C203:E203)&lt;3),"",IFERROR(MAX(0,FLOOR(($N$2-$N$3)/E203,1))*MAX(1,MIN(IF(G203="",1,G203),FLOOR($N$4/D203,1)))*IF(F203="",1,F203),""))</f>
        <v/>
      </c>
      <c r="K203" s="12">
        <f>IF(A203="","",IF(COUNTIF(DATA!$D$2:$D$500,A203)=0,"CEK SKU tidak ada di DATA",IF(COUNT(C203:E203)&lt;3,"CEK dimensi belum lengkap",IF(OR(C203&lt;=0,D203&lt;=0,E203&lt;=0),"CEK dimensi harus lebih dari 0",IF(COUNTIF($A$2:$A$500,A203)&gt;1,"CEK SKU dobel","OK")))))</f>
        <v/>
      </c>
    </row>
    <row r="204">
      <c r="A204" s="10" t="n"/>
      <c r="B204" s="12">
        <f>IF(A204="","",IFERROR(INDEX(DATA!$E$2:$E$500,MATCH(A204,DATA!$D$2:$D$500,0)),""))</f>
        <v/>
      </c>
      <c r="C204" s="10" t="n"/>
      <c r="D204" s="10" t="n"/>
      <c r="E204" s="10" t="n"/>
      <c r="F204" s="10" t="n"/>
      <c r="G204" s="10" t="n"/>
      <c r="H204" s="10" t="n"/>
      <c r="I204" s="10" t="n"/>
      <c r="J204" s="12">
        <f>IF(OR(A204="",COUNT(C204:E204)&lt;3),"",IFERROR(MAX(0,FLOOR(($N$2-$N$3)/E204,1))*MAX(1,MIN(IF(G204="",1,G204),FLOOR($N$4/D204,1)))*IF(F204="",1,F204),""))</f>
        <v/>
      </c>
      <c r="K204" s="12">
        <f>IF(A204="","",IF(COUNTIF(DATA!$D$2:$D$500,A204)=0,"CEK SKU tidak ada di DATA",IF(COUNT(C204:E204)&lt;3,"CEK dimensi belum lengkap",IF(OR(C204&lt;=0,D204&lt;=0,E204&lt;=0),"CEK dimensi harus lebih dari 0",IF(COUNTIF($A$2:$A$500,A204)&gt;1,"CEK SKU dobel","OK")))))</f>
        <v/>
      </c>
    </row>
    <row r="205">
      <c r="A205" s="10" t="n"/>
      <c r="B205" s="12">
        <f>IF(A205="","",IFERROR(INDEX(DATA!$E$2:$E$500,MATCH(A205,DATA!$D$2:$D$500,0)),""))</f>
        <v/>
      </c>
      <c r="C205" s="10" t="n"/>
      <c r="D205" s="10" t="n"/>
      <c r="E205" s="10" t="n"/>
      <c r="F205" s="10" t="n"/>
      <c r="G205" s="10" t="n"/>
      <c r="H205" s="10" t="n"/>
      <c r="I205" s="10" t="n"/>
      <c r="J205" s="12">
        <f>IF(OR(A205="",COUNT(C205:E205)&lt;3),"",IFERROR(MAX(0,FLOOR(($N$2-$N$3)/E205,1))*MAX(1,MIN(IF(G205="",1,G205),FLOOR($N$4/D205,1)))*IF(F205="",1,F205),""))</f>
        <v/>
      </c>
      <c r="K205" s="12">
        <f>IF(A205="","",IF(COUNTIF(DATA!$D$2:$D$500,A205)=0,"CEK SKU tidak ada di DATA",IF(COUNT(C205:E205)&lt;3,"CEK dimensi belum lengkap",IF(OR(C205&lt;=0,D205&lt;=0,E205&lt;=0),"CEK dimensi harus lebih dari 0",IF(COUNTIF($A$2:$A$500,A205)&gt;1,"CEK SKU dobel","OK")))))</f>
        <v/>
      </c>
    </row>
    <row r="206">
      <c r="A206" s="10" t="n"/>
      <c r="B206" s="12">
        <f>IF(A206="","",IFERROR(INDEX(DATA!$E$2:$E$500,MATCH(A206,DATA!$D$2:$D$500,0)),""))</f>
        <v/>
      </c>
      <c r="C206" s="10" t="n"/>
      <c r="D206" s="10" t="n"/>
      <c r="E206" s="10" t="n"/>
      <c r="F206" s="10" t="n"/>
      <c r="G206" s="10" t="n"/>
      <c r="H206" s="10" t="n"/>
      <c r="I206" s="10" t="n"/>
      <c r="J206" s="12">
        <f>IF(OR(A206="",COUNT(C206:E206)&lt;3),"",IFERROR(MAX(0,FLOOR(($N$2-$N$3)/E206,1))*MAX(1,MIN(IF(G206="",1,G206),FLOOR($N$4/D206,1)))*IF(F206="",1,F206),""))</f>
        <v/>
      </c>
      <c r="K206" s="12">
        <f>IF(A206="","",IF(COUNTIF(DATA!$D$2:$D$500,A206)=0,"CEK SKU tidak ada di DATA",IF(COUNT(C206:E206)&lt;3,"CEK dimensi belum lengkap",IF(OR(C206&lt;=0,D206&lt;=0,E206&lt;=0),"CEK dimensi harus lebih dari 0",IF(COUNTIF($A$2:$A$500,A206)&gt;1,"CEK SKU dobel","OK")))))</f>
        <v/>
      </c>
    </row>
    <row r="207">
      <c r="A207" s="10" t="n"/>
      <c r="B207" s="12">
        <f>IF(A207="","",IFERROR(INDEX(DATA!$E$2:$E$500,MATCH(A207,DATA!$D$2:$D$500,0)),""))</f>
        <v/>
      </c>
      <c r="C207" s="10" t="n"/>
      <c r="D207" s="10" t="n"/>
      <c r="E207" s="10" t="n"/>
      <c r="F207" s="10" t="n"/>
      <c r="G207" s="10" t="n"/>
      <c r="H207" s="10" t="n"/>
      <c r="I207" s="10" t="n"/>
      <c r="J207" s="12">
        <f>IF(OR(A207="",COUNT(C207:E207)&lt;3),"",IFERROR(MAX(0,FLOOR(($N$2-$N$3)/E207,1))*MAX(1,MIN(IF(G207="",1,G207),FLOOR($N$4/D207,1)))*IF(F207="",1,F207),""))</f>
        <v/>
      </c>
      <c r="K207" s="12">
        <f>IF(A207="","",IF(COUNTIF(DATA!$D$2:$D$500,A207)=0,"CEK SKU tidak ada di DATA",IF(COUNT(C207:E207)&lt;3,"CEK dimensi belum lengkap",IF(OR(C207&lt;=0,D207&lt;=0,E207&lt;=0),"CEK dimensi harus lebih dari 0",IF(COUNTIF($A$2:$A$500,A207)&gt;1,"CEK SKU dobel","OK")))))</f>
        <v/>
      </c>
    </row>
    <row r="208">
      <c r="A208" s="10" t="n"/>
      <c r="B208" s="12">
        <f>IF(A208="","",IFERROR(INDEX(DATA!$E$2:$E$500,MATCH(A208,DATA!$D$2:$D$500,0)),""))</f>
        <v/>
      </c>
      <c r="C208" s="10" t="n"/>
      <c r="D208" s="10" t="n"/>
      <c r="E208" s="10" t="n"/>
      <c r="F208" s="10" t="n"/>
      <c r="G208" s="10" t="n"/>
      <c r="H208" s="10" t="n"/>
      <c r="I208" s="10" t="n"/>
      <c r="J208" s="12">
        <f>IF(OR(A208="",COUNT(C208:E208)&lt;3),"",IFERROR(MAX(0,FLOOR(($N$2-$N$3)/E208,1))*MAX(1,MIN(IF(G208="",1,G208),FLOOR($N$4/D208,1)))*IF(F208="",1,F208),""))</f>
        <v/>
      </c>
      <c r="K208" s="12">
        <f>IF(A208="","",IF(COUNTIF(DATA!$D$2:$D$500,A208)=0,"CEK SKU tidak ada di DATA",IF(COUNT(C208:E208)&lt;3,"CEK dimensi belum lengkap",IF(OR(C208&lt;=0,D208&lt;=0,E208&lt;=0),"CEK dimensi harus lebih dari 0",IF(COUNTIF($A$2:$A$500,A208)&gt;1,"CEK SKU dobel","OK")))))</f>
        <v/>
      </c>
    </row>
    <row r="209">
      <c r="A209" s="10" t="n"/>
      <c r="B209" s="12">
        <f>IF(A209="","",IFERROR(INDEX(DATA!$E$2:$E$500,MATCH(A209,DATA!$D$2:$D$500,0)),""))</f>
        <v/>
      </c>
      <c r="C209" s="10" t="n"/>
      <c r="D209" s="10" t="n"/>
      <c r="E209" s="10" t="n"/>
      <c r="F209" s="10" t="n"/>
      <c r="G209" s="10" t="n"/>
      <c r="H209" s="10" t="n"/>
      <c r="I209" s="10" t="n"/>
      <c r="J209" s="12">
        <f>IF(OR(A209="",COUNT(C209:E209)&lt;3),"",IFERROR(MAX(0,FLOOR(($N$2-$N$3)/E209,1))*MAX(1,MIN(IF(G209="",1,G209),FLOOR($N$4/D209,1)))*IF(F209="",1,F209),""))</f>
        <v/>
      </c>
      <c r="K209" s="12">
        <f>IF(A209="","",IF(COUNTIF(DATA!$D$2:$D$500,A209)=0,"CEK SKU tidak ada di DATA",IF(COUNT(C209:E209)&lt;3,"CEK dimensi belum lengkap",IF(OR(C209&lt;=0,D209&lt;=0,E209&lt;=0),"CEK dimensi harus lebih dari 0",IF(COUNTIF($A$2:$A$500,A209)&gt;1,"CEK SKU dobel","OK")))))</f>
        <v/>
      </c>
    </row>
    <row r="210">
      <c r="A210" s="10" t="n"/>
      <c r="B210" s="12">
        <f>IF(A210="","",IFERROR(INDEX(DATA!$E$2:$E$500,MATCH(A210,DATA!$D$2:$D$500,0)),""))</f>
        <v/>
      </c>
      <c r="C210" s="10" t="n"/>
      <c r="D210" s="10" t="n"/>
      <c r="E210" s="10" t="n"/>
      <c r="F210" s="10" t="n"/>
      <c r="G210" s="10" t="n"/>
      <c r="H210" s="10" t="n"/>
      <c r="I210" s="10" t="n"/>
      <c r="J210" s="12">
        <f>IF(OR(A210="",COUNT(C210:E210)&lt;3),"",IFERROR(MAX(0,FLOOR(($N$2-$N$3)/E210,1))*MAX(1,MIN(IF(G210="",1,G210),FLOOR($N$4/D210,1)))*IF(F210="",1,F210),""))</f>
        <v/>
      </c>
      <c r="K210" s="12">
        <f>IF(A210="","",IF(COUNTIF(DATA!$D$2:$D$500,A210)=0,"CEK SKU tidak ada di DATA",IF(COUNT(C210:E210)&lt;3,"CEK dimensi belum lengkap",IF(OR(C210&lt;=0,D210&lt;=0,E210&lt;=0),"CEK dimensi harus lebih dari 0",IF(COUNTIF($A$2:$A$500,A210)&gt;1,"CEK SKU dobel","OK")))))</f>
        <v/>
      </c>
    </row>
    <row r="211">
      <c r="A211" s="10" t="n"/>
      <c r="B211" s="12">
        <f>IF(A211="","",IFERROR(INDEX(DATA!$E$2:$E$500,MATCH(A211,DATA!$D$2:$D$500,0)),""))</f>
        <v/>
      </c>
      <c r="C211" s="10" t="n"/>
      <c r="D211" s="10" t="n"/>
      <c r="E211" s="10" t="n"/>
      <c r="F211" s="10" t="n"/>
      <c r="G211" s="10" t="n"/>
      <c r="H211" s="10" t="n"/>
      <c r="I211" s="10" t="n"/>
      <c r="J211" s="12">
        <f>IF(OR(A211="",COUNT(C211:E211)&lt;3),"",IFERROR(MAX(0,FLOOR(($N$2-$N$3)/E211,1))*MAX(1,MIN(IF(G211="",1,G211),FLOOR($N$4/D211,1)))*IF(F211="",1,F211),""))</f>
        <v/>
      </c>
      <c r="K211" s="12">
        <f>IF(A211="","",IF(COUNTIF(DATA!$D$2:$D$500,A211)=0,"CEK SKU tidak ada di DATA",IF(COUNT(C211:E211)&lt;3,"CEK dimensi belum lengkap",IF(OR(C211&lt;=0,D211&lt;=0,E211&lt;=0),"CEK dimensi harus lebih dari 0",IF(COUNTIF($A$2:$A$500,A211)&gt;1,"CEK SKU dobel","OK")))))</f>
        <v/>
      </c>
    </row>
    <row r="212">
      <c r="A212" s="10" t="n"/>
      <c r="B212" s="12">
        <f>IF(A212="","",IFERROR(INDEX(DATA!$E$2:$E$500,MATCH(A212,DATA!$D$2:$D$500,0)),""))</f>
        <v/>
      </c>
      <c r="C212" s="10" t="n"/>
      <c r="D212" s="10" t="n"/>
      <c r="E212" s="10" t="n"/>
      <c r="F212" s="10" t="n"/>
      <c r="G212" s="10" t="n"/>
      <c r="H212" s="10" t="n"/>
      <c r="I212" s="10" t="n"/>
      <c r="J212" s="12">
        <f>IF(OR(A212="",COUNT(C212:E212)&lt;3),"",IFERROR(MAX(0,FLOOR(($N$2-$N$3)/E212,1))*MAX(1,MIN(IF(G212="",1,G212),FLOOR($N$4/D212,1)))*IF(F212="",1,F212),""))</f>
        <v/>
      </c>
      <c r="K212" s="12">
        <f>IF(A212="","",IF(COUNTIF(DATA!$D$2:$D$500,A212)=0,"CEK SKU tidak ada di DATA",IF(COUNT(C212:E212)&lt;3,"CEK dimensi belum lengkap",IF(OR(C212&lt;=0,D212&lt;=0,E212&lt;=0),"CEK dimensi harus lebih dari 0",IF(COUNTIF($A$2:$A$500,A212)&gt;1,"CEK SKU dobel","OK")))))</f>
        <v/>
      </c>
    </row>
    <row r="213">
      <c r="A213" s="10" t="n"/>
      <c r="B213" s="12">
        <f>IF(A213="","",IFERROR(INDEX(DATA!$E$2:$E$500,MATCH(A213,DATA!$D$2:$D$500,0)),""))</f>
        <v/>
      </c>
      <c r="C213" s="10" t="n"/>
      <c r="D213" s="10" t="n"/>
      <c r="E213" s="10" t="n"/>
      <c r="F213" s="10" t="n"/>
      <c r="G213" s="10" t="n"/>
      <c r="H213" s="10" t="n"/>
      <c r="I213" s="10" t="n"/>
      <c r="J213" s="12">
        <f>IF(OR(A213="",COUNT(C213:E213)&lt;3),"",IFERROR(MAX(0,FLOOR(($N$2-$N$3)/E213,1))*MAX(1,MIN(IF(G213="",1,G213),FLOOR($N$4/D213,1)))*IF(F213="",1,F213),""))</f>
        <v/>
      </c>
      <c r="K213" s="12">
        <f>IF(A213="","",IF(COUNTIF(DATA!$D$2:$D$500,A213)=0,"CEK SKU tidak ada di DATA",IF(COUNT(C213:E213)&lt;3,"CEK dimensi belum lengkap",IF(OR(C213&lt;=0,D213&lt;=0,E213&lt;=0),"CEK dimensi harus lebih dari 0",IF(COUNTIF($A$2:$A$500,A213)&gt;1,"CEK SKU dobel","OK")))))</f>
        <v/>
      </c>
    </row>
    <row r="214">
      <c r="A214" s="10" t="n"/>
      <c r="B214" s="12">
        <f>IF(A214="","",IFERROR(INDEX(DATA!$E$2:$E$500,MATCH(A214,DATA!$D$2:$D$500,0)),""))</f>
        <v/>
      </c>
      <c r="C214" s="10" t="n"/>
      <c r="D214" s="10" t="n"/>
      <c r="E214" s="10" t="n"/>
      <c r="F214" s="10" t="n"/>
      <c r="G214" s="10" t="n"/>
      <c r="H214" s="10" t="n"/>
      <c r="I214" s="10" t="n"/>
      <c r="J214" s="12">
        <f>IF(OR(A214="",COUNT(C214:E214)&lt;3),"",IFERROR(MAX(0,FLOOR(($N$2-$N$3)/E214,1))*MAX(1,MIN(IF(G214="",1,G214),FLOOR($N$4/D214,1)))*IF(F214="",1,F214),""))</f>
        <v/>
      </c>
      <c r="K214" s="12">
        <f>IF(A214="","",IF(COUNTIF(DATA!$D$2:$D$500,A214)=0,"CEK SKU tidak ada di DATA",IF(COUNT(C214:E214)&lt;3,"CEK dimensi belum lengkap",IF(OR(C214&lt;=0,D214&lt;=0,E214&lt;=0),"CEK dimensi harus lebih dari 0",IF(COUNTIF($A$2:$A$500,A214)&gt;1,"CEK SKU dobel","OK")))))</f>
        <v/>
      </c>
    </row>
    <row r="215">
      <c r="A215" s="10" t="n"/>
      <c r="B215" s="12">
        <f>IF(A215="","",IFERROR(INDEX(DATA!$E$2:$E$500,MATCH(A215,DATA!$D$2:$D$500,0)),""))</f>
        <v/>
      </c>
      <c r="C215" s="10" t="n"/>
      <c r="D215" s="10" t="n"/>
      <c r="E215" s="10" t="n"/>
      <c r="F215" s="10" t="n"/>
      <c r="G215" s="10" t="n"/>
      <c r="H215" s="10" t="n"/>
      <c r="I215" s="10" t="n"/>
      <c r="J215" s="12">
        <f>IF(OR(A215="",COUNT(C215:E215)&lt;3),"",IFERROR(MAX(0,FLOOR(($N$2-$N$3)/E215,1))*MAX(1,MIN(IF(G215="",1,G215),FLOOR($N$4/D215,1)))*IF(F215="",1,F215),""))</f>
        <v/>
      </c>
      <c r="K215" s="12">
        <f>IF(A215="","",IF(COUNTIF(DATA!$D$2:$D$500,A215)=0,"CEK SKU tidak ada di DATA",IF(COUNT(C215:E215)&lt;3,"CEK dimensi belum lengkap",IF(OR(C215&lt;=0,D215&lt;=0,E215&lt;=0),"CEK dimensi harus lebih dari 0",IF(COUNTIF($A$2:$A$500,A215)&gt;1,"CEK SKU dobel","OK")))))</f>
        <v/>
      </c>
    </row>
    <row r="216">
      <c r="A216" s="10" t="n"/>
      <c r="B216" s="12">
        <f>IF(A216="","",IFERROR(INDEX(DATA!$E$2:$E$500,MATCH(A216,DATA!$D$2:$D$500,0)),""))</f>
        <v/>
      </c>
      <c r="C216" s="10" t="n"/>
      <c r="D216" s="10" t="n"/>
      <c r="E216" s="10" t="n"/>
      <c r="F216" s="10" t="n"/>
      <c r="G216" s="10" t="n"/>
      <c r="H216" s="10" t="n"/>
      <c r="I216" s="10" t="n"/>
      <c r="J216" s="12">
        <f>IF(OR(A216="",COUNT(C216:E216)&lt;3),"",IFERROR(MAX(0,FLOOR(($N$2-$N$3)/E216,1))*MAX(1,MIN(IF(G216="",1,G216),FLOOR($N$4/D216,1)))*IF(F216="",1,F216),""))</f>
        <v/>
      </c>
      <c r="K216" s="12">
        <f>IF(A216="","",IF(COUNTIF(DATA!$D$2:$D$500,A216)=0,"CEK SKU tidak ada di DATA",IF(COUNT(C216:E216)&lt;3,"CEK dimensi belum lengkap",IF(OR(C216&lt;=0,D216&lt;=0,E216&lt;=0),"CEK dimensi harus lebih dari 0",IF(COUNTIF($A$2:$A$500,A216)&gt;1,"CEK SKU dobel","OK")))))</f>
        <v/>
      </c>
    </row>
    <row r="217">
      <c r="A217" s="10" t="n"/>
      <c r="B217" s="12">
        <f>IF(A217="","",IFERROR(INDEX(DATA!$E$2:$E$500,MATCH(A217,DATA!$D$2:$D$500,0)),""))</f>
        <v/>
      </c>
      <c r="C217" s="10" t="n"/>
      <c r="D217" s="10" t="n"/>
      <c r="E217" s="10" t="n"/>
      <c r="F217" s="10" t="n"/>
      <c r="G217" s="10" t="n"/>
      <c r="H217" s="10" t="n"/>
      <c r="I217" s="10" t="n"/>
      <c r="J217" s="12">
        <f>IF(OR(A217="",COUNT(C217:E217)&lt;3),"",IFERROR(MAX(0,FLOOR(($N$2-$N$3)/E217,1))*MAX(1,MIN(IF(G217="",1,G217),FLOOR($N$4/D217,1)))*IF(F217="",1,F217),""))</f>
        <v/>
      </c>
      <c r="K217" s="12">
        <f>IF(A217="","",IF(COUNTIF(DATA!$D$2:$D$500,A217)=0,"CEK SKU tidak ada di DATA",IF(COUNT(C217:E217)&lt;3,"CEK dimensi belum lengkap",IF(OR(C217&lt;=0,D217&lt;=0,E217&lt;=0),"CEK dimensi harus lebih dari 0",IF(COUNTIF($A$2:$A$500,A217)&gt;1,"CEK SKU dobel","OK")))))</f>
        <v/>
      </c>
    </row>
    <row r="218">
      <c r="A218" s="10" t="n"/>
      <c r="B218" s="12">
        <f>IF(A218="","",IFERROR(INDEX(DATA!$E$2:$E$500,MATCH(A218,DATA!$D$2:$D$500,0)),""))</f>
        <v/>
      </c>
      <c r="C218" s="10" t="n"/>
      <c r="D218" s="10" t="n"/>
      <c r="E218" s="10" t="n"/>
      <c r="F218" s="10" t="n"/>
      <c r="G218" s="10" t="n"/>
      <c r="H218" s="10" t="n"/>
      <c r="I218" s="10" t="n"/>
      <c r="J218" s="12">
        <f>IF(OR(A218="",COUNT(C218:E218)&lt;3),"",IFERROR(MAX(0,FLOOR(($N$2-$N$3)/E218,1))*MAX(1,MIN(IF(G218="",1,G218),FLOOR($N$4/D218,1)))*IF(F218="",1,F218),""))</f>
        <v/>
      </c>
      <c r="K218" s="12">
        <f>IF(A218="","",IF(COUNTIF(DATA!$D$2:$D$500,A218)=0,"CEK SKU tidak ada di DATA",IF(COUNT(C218:E218)&lt;3,"CEK dimensi belum lengkap",IF(OR(C218&lt;=0,D218&lt;=0,E218&lt;=0),"CEK dimensi harus lebih dari 0",IF(COUNTIF($A$2:$A$500,A218)&gt;1,"CEK SKU dobel","OK")))))</f>
        <v/>
      </c>
    </row>
    <row r="219">
      <c r="A219" s="10" t="n"/>
      <c r="B219" s="12">
        <f>IF(A219="","",IFERROR(INDEX(DATA!$E$2:$E$500,MATCH(A219,DATA!$D$2:$D$500,0)),""))</f>
        <v/>
      </c>
      <c r="C219" s="10" t="n"/>
      <c r="D219" s="10" t="n"/>
      <c r="E219" s="10" t="n"/>
      <c r="F219" s="10" t="n"/>
      <c r="G219" s="10" t="n"/>
      <c r="H219" s="10" t="n"/>
      <c r="I219" s="10" t="n"/>
      <c r="J219" s="12">
        <f>IF(OR(A219="",COUNT(C219:E219)&lt;3),"",IFERROR(MAX(0,FLOOR(($N$2-$N$3)/E219,1))*MAX(1,MIN(IF(G219="",1,G219),FLOOR($N$4/D219,1)))*IF(F219="",1,F219),""))</f>
        <v/>
      </c>
      <c r="K219" s="12">
        <f>IF(A219="","",IF(COUNTIF(DATA!$D$2:$D$500,A219)=0,"CEK SKU tidak ada di DATA",IF(COUNT(C219:E219)&lt;3,"CEK dimensi belum lengkap",IF(OR(C219&lt;=0,D219&lt;=0,E219&lt;=0),"CEK dimensi harus lebih dari 0",IF(COUNTIF($A$2:$A$500,A219)&gt;1,"CEK SKU dobel","OK")))))</f>
        <v/>
      </c>
    </row>
    <row r="220">
      <c r="A220" s="10" t="n"/>
      <c r="B220" s="12">
        <f>IF(A220="","",IFERROR(INDEX(DATA!$E$2:$E$500,MATCH(A220,DATA!$D$2:$D$500,0)),""))</f>
        <v/>
      </c>
      <c r="C220" s="10" t="n"/>
      <c r="D220" s="10" t="n"/>
      <c r="E220" s="10" t="n"/>
      <c r="F220" s="10" t="n"/>
      <c r="G220" s="10" t="n"/>
      <c r="H220" s="10" t="n"/>
      <c r="I220" s="10" t="n"/>
      <c r="J220" s="12">
        <f>IF(OR(A220="",COUNT(C220:E220)&lt;3),"",IFERROR(MAX(0,FLOOR(($N$2-$N$3)/E220,1))*MAX(1,MIN(IF(G220="",1,G220),FLOOR($N$4/D220,1)))*IF(F220="",1,F220),""))</f>
        <v/>
      </c>
      <c r="K220" s="12">
        <f>IF(A220="","",IF(COUNTIF(DATA!$D$2:$D$500,A220)=0,"CEK SKU tidak ada di DATA",IF(COUNT(C220:E220)&lt;3,"CEK dimensi belum lengkap",IF(OR(C220&lt;=0,D220&lt;=0,E220&lt;=0),"CEK dimensi harus lebih dari 0",IF(COUNTIF($A$2:$A$500,A220)&gt;1,"CEK SKU dobel","OK")))))</f>
        <v/>
      </c>
    </row>
    <row r="221">
      <c r="A221" s="10" t="n"/>
      <c r="B221" s="12">
        <f>IF(A221="","",IFERROR(INDEX(DATA!$E$2:$E$500,MATCH(A221,DATA!$D$2:$D$500,0)),""))</f>
        <v/>
      </c>
      <c r="C221" s="10" t="n"/>
      <c r="D221" s="10" t="n"/>
      <c r="E221" s="10" t="n"/>
      <c r="F221" s="10" t="n"/>
      <c r="G221" s="10" t="n"/>
      <c r="H221" s="10" t="n"/>
      <c r="I221" s="10" t="n"/>
      <c r="J221" s="12">
        <f>IF(OR(A221="",COUNT(C221:E221)&lt;3),"",IFERROR(MAX(0,FLOOR(($N$2-$N$3)/E221,1))*MAX(1,MIN(IF(G221="",1,G221),FLOOR($N$4/D221,1)))*IF(F221="",1,F221),""))</f>
        <v/>
      </c>
      <c r="K221" s="12">
        <f>IF(A221="","",IF(COUNTIF(DATA!$D$2:$D$500,A221)=0,"CEK SKU tidak ada di DATA",IF(COUNT(C221:E221)&lt;3,"CEK dimensi belum lengkap",IF(OR(C221&lt;=0,D221&lt;=0,E221&lt;=0),"CEK dimensi harus lebih dari 0",IF(COUNTIF($A$2:$A$500,A221)&gt;1,"CEK SKU dobel","OK")))))</f>
        <v/>
      </c>
    </row>
    <row r="222">
      <c r="A222" s="10" t="n"/>
      <c r="B222" s="12">
        <f>IF(A222="","",IFERROR(INDEX(DATA!$E$2:$E$500,MATCH(A222,DATA!$D$2:$D$500,0)),""))</f>
        <v/>
      </c>
      <c r="C222" s="10" t="n"/>
      <c r="D222" s="10" t="n"/>
      <c r="E222" s="10" t="n"/>
      <c r="F222" s="10" t="n"/>
      <c r="G222" s="10" t="n"/>
      <c r="H222" s="10" t="n"/>
      <c r="I222" s="10" t="n"/>
      <c r="J222" s="12">
        <f>IF(OR(A222="",COUNT(C222:E222)&lt;3),"",IFERROR(MAX(0,FLOOR(($N$2-$N$3)/E222,1))*MAX(1,MIN(IF(G222="",1,G222),FLOOR($N$4/D222,1)))*IF(F222="",1,F222),""))</f>
        <v/>
      </c>
      <c r="K222" s="12">
        <f>IF(A222="","",IF(COUNTIF(DATA!$D$2:$D$500,A222)=0,"CEK SKU tidak ada di DATA",IF(COUNT(C222:E222)&lt;3,"CEK dimensi belum lengkap",IF(OR(C222&lt;=0,D222&lt;=0,E222&lt;=0),"CEK dimensi harus lebih dari 0",IF(COUNTIF($A$2:$A$500,A222)&gt;1,"CEK SKU dobel","OK")))))</f>
        <v/>
      </c>
    </row>
    <row r="223">
      <c r="A223" s="10" t="n"/>
      <c r="B223" s="12">
        <f>IF(A223="","",IFERROR(INDEX(DATA!$E$2:$E$500,MATCH(A223,DATA!$D$2:$D$500,0)),""))</f>
        <v/>
      </c>
      <c r="C223" s="10" t="n"/>
      <c r="D223" s="10" t="n"/>
      <c r="E223" s="10" t="n"/>
      <c r="F223" s="10" t="n"/>
      <c r="G223" s="10" t="n"/>
      <c r="H223" s="10" t="n"/>
      <c r="I223" s="10" t="n"/>
      <c r="J223" s="12">
        <f>IF(OR(A223="",COUNT(C223:E223)&lt;3),"",IFERROR(MAX(0,FLOOR(($N$2-$N$3)/E223,1))*MAX(1,MIN(IF(G223="",1,G223),FLOOR($N$4/D223,1)))*IF(F223="",1,F223),""))</f>
        <v/>
      </c>
      <c r="K223" s="12">
        <f>IF(A223="","",IF(COUNTIF(DATA!$D$2:$D$500,A223)=0,"CEK SKU tidak ada di DATA",IF(COUNT(C223:E223)&lt;3,"CEK dimensi belum lengkap",IF(OR(C223&lt;=0,D223&lt;=0,E223&lt;=0),"CEK dimensi harus lebih dari 0",IF(COUNTIF($A$2:$A$500,A223)&gt;1,"CEK SKU dobel","OK")))))</f>
        <v/>
      </c>
    </row>
    <row r="224">
      <c r="A224" s="10" t="n"/>
      <c r="B224" s="12">
        <f>IF(A224="","",IFERROR(INDEX(DATA!$E$2:$E$500,MATCH(A224,DATA!$D$2:$D$500,0)),""))</f>
        <v/>
      </c>
      <c r="C224" s="10" t="n"/>
      <c r="D224" s="10" t="n"/>
      <c r="E224" s="10" t="n"/>
      <c r="F224" s="10" t="n"/>
      <c r="G224" s="10" t="n"/>
      <c r="H224" s="10" t="n"/>
      <c r="I224" s="10" t="n"/>
      <c r="J224" s="12">
        <f>IF(OR(A224="",COUNT(C224:E224)&lt;3),"",IFERROR(MAX(0,FLOOR(($N$2-$N$3)/E224,1))*MAX(1,MIN(IF(G224="",1,G224),FLOOR($N$4/D224,1)))*IF(F224="",1,F224),""))</f>
        <v/>
      </c>
      <c r="K224" s="12">
        <f>IF(A224="","",IF(COUNTIF(DATA!$D$2:$D$500,A224)=0,"CEK SKU tidak ada di DATA",IF(COUNT(C224:E224)&lt;3,"CEK dimensi belum lengkap",IF(OR(C224&lt;=0,D224&lt;=0,E224&lt;=0),"CEK dimensi harus lebih dari 0",IF(COUNTIF($A$2:$A$500,A224)&gt;1,"CEK SKU dobel","OK")))))</f>
        <v/>
      </c>
    </row>
    <row r="225">
      <c r="A225" s="10" t="n"/>
      <c r="B225" s="12">
        <f>IF(A225="","",IFERROR(INDEX(DATA!$E$2:$E$500,MATCH(A225,DATA!$D$2:$D$500,0)),""))</f>
        <v/>
      </c>
      <c r="C225" s="10" t="n"/>
      <c r="D225" s="10" t="n"/>
      <c r="E225" s="10" t="n"/>
      <c r="F225" s="10" t="n"/>
      <c r="G225" s="10" t="n"/>
      <c r="H225" s="10" t="n"/>
      <c r="I225" s="10" t="n"/>
      <c r="J225" s="12">
        <f>IF(OR(A225="",COUNT(C225:E225)&lt;3),"",IFERROR(MAX(0,FLOOR(($N$2-$N$3)/E225,1))*MAX(1,MIN(IF(G225="",1,G225),FLOOR($N$4/D225,1)))*IF(F225="",1,F225),""))</f>
        <v/>
      </c>
      <c r="K225" s="12">
        <f>IF(A225="","",IF(COUNTIF(DATA!$D$2:$D$500,A225)=0,"CEK SKU tidak ada di DATA",IF(COUNT(C225:E225)&lt;3,"CEK dimensi belum lengkap",IF(OR(C225&lt;=0,D225&lt;=0,E225&lt;=0),"CEK dimensi harus lebih dari 0",IF(COUNTIF($A$2:$A$500,A225)&gt;1,"CEK SKU dobel","OK")))))</f>
        <v/>
      </c>
    </row>
    <row r="226">
      <c r="A226" s="10" t="n"/>
      <c r="B226" s="12">
        <f>IF(A226="","",IFERROR(INDEX(DATA!$E$2:$E$500,MATCH(A226,DATA!$D$2:$D$500,0)),""))</f>
        <v/>
      </c>
      <c r="C226" s="10" t="n"/>
      <c r="D226" s="10" t="n"/>
      <c r="E226" s="10" t="n"/>
      <c r="F226" s="10" t="n"/>
      <c r="G226" s="10" t="n"/>
      <c r="H226" s="10" t="n"/>
      <c r="I226" s="10" t="n"/>
      <c r="J226" s="12">
        <f>IF(OR(A226="",COUNT(C226:E226)&lt;3),"",IFERROR(MAX(0,FLOOR(($N$2-$N$3)/E226,1))*MAX(1,MIN(IF(G226="",1,G226),FLOOR($N$4/D226,1)))*IF(F226="",1,F226),""))</f>
        <v/>
      </c>
      <c r="K226" s="12">
        <f>IF(A226="","",IF(COUNTIF(DATA!$D$2:$D$500,A226)=0,"CEK SKU tidak ada di DATA",IF(COUNT(C226:E226)&lt;3,"CEK dimensi belum lengkap",IF(OR(C226&lt;=0,D226&lt;=0,E226&lt;=0),"CEK dimensi harus lebih dari 0",IF(COUNTIF($A$2:$A$500,A226)&gt;1,"CEK SKU dobel","OK")))))</f>
        <v/>
      </c>
    </row>
    <row r="227">
      <c r="A227" s="10" t="n"/>
      <c r="B227" s="12">
        <f>IF(A227="","",IFERROR(INDEX(DATA!$E$2:$E$500,MATCH(A227,DATA!$D$2:$D$500,0)),""))</f>
        <v/>
      </c>
      <c r="C227" s="10" t="n"/>
      <c r="D227" s="10" t="n"/>
      <c r="E227" s="10" t="n"/>
      <c r="F227" s="10" t="n"/>
      <c r="G227" s="10" t="n"/>
      <c r="H227" s="10" t="n"/>
      <c r="I227" s="10" t="n"/>
      <c r="J227" s="12">
        <f>IF(OR(A227="",COUNT(C227:E227)&lt;3),"",IFERROR(MAX(0,FLOOR(($N$2-$N$3)/E227,1))*MAX(1,MIN(IF(G227="",1,G227),FLOOR($N$4/D227,1)))*IF(F227="",1,F227),""))</f>
        <v/>
      </c>
      <c r="K227" s="12">
        <f>IF(A227="","",IF(COUNTIF(DATA!$D$2:$D$500,A227)=0,"CEK SKU tidak ada di DATA",IF(COUNT(C227:E227)&lt;3,"CEK dimensi belum lengkap",IF(OR(C227&lt;=0,D227&lt;=0,E227&lt;=0),"CEK dimensi harus lebih dari 0",IF(COUNTIF($A$2:$A$500,A227)&gt;1,"CEK SKU dobel","OK")))))</f>
        <v/>
      </c>
    </row>
    <row r="228">
      <c r="A228" s="10" t="n"/>
      <c r="B228" s="12">
        <f>IF(A228="","",IFERROR(INDEX(DATA!$E$2:$E$500,MATCH(A228,DATA!$D$2:$D$500,0)),""))</f>
        <v/>
      </c>
      <c r="C228" s="10" t="n"/>
      <c r="D228" s="10" t="n"/>
      <c r="E228" s="10" t="n"/>
      <c r="F228" s="10" t="n"/>
      <c r="G228" s="10" t="n"/>
      <c r="H228" s="10" t="n"/>
      <c r="I228" s="10" t="n"/>
      <c r="J228" s="12">
        <f>IF(OR(A228="",COUNT(C228:E228)&lt;3),"",IFERROR(MAX(0,FLOOR(($N$2-$N$3)/E228,1))*MAX(1,MIN(IF(G228="",1,G228),FLOOR($N$4/D228,1)))*IF(F228="",1,F228),""))</f>
        <v/>
      </c>
      <c r="K228" s="12">
        <f>IF(A228="","",IF(COUNTIF(DATA!$D$2:$D$500,A228)=0,"CEK SKU tidak ada di DATA",IF(COUNT(C228:E228)&lt;3,"CEK dimensi belum lengkap",IF(OR(C228&lt;=0,D228&lt;=0,E228&lt;=0),"CEK dimensi harus lebih dari 0",IF(COUNTIF($A$2:$A$500,A228)&gt;1,"CEK SKU dobel","OK")))))</f>
        <v/>
      </c>
    </row>
    <row r="229">
      <c r="A229" s="10" t="n"/>
      <c r="B229" s="12">
        <f>IF(A229="","",IFERROR(INDEX(DATA!$E$2:$E$500,MATCH(A229,DATA!$D$2:$D$500,0)),""))</f>
        <v/>
      </c>
      <c r="C229" s="10" t="n"/>
      <c r="D229" s="10" t="n"/>
      <c r="E229" s="10" t="n"/>
      <c r="F229" s="10" t="n"/>
      <c r="G229" s="10" t="n"/>
      <c r="H229" s="10" t="n"/>
      <c r="I229" s="10" t="n"/>
      <c r="J229" s="12">
        <f>IF(OR(A229="",COUNT(C229:E229)&lt;3),"",IFERROR(MAX(0,FLOOR(($N$2-$N$3)/E229,1))*MAX(1,MIN(IF(G229="",1,G229),FLOOR($N$4/D229,1)))*IF(F229="",1,F229),""))</f>
        <v/>
      </c>
      <c r="K229" s="12">
        <f>IF(A229="","",IF(COUNTIF(DATA!$D$2:$D$500,A229)=0,"CEK SKU tidak ada di DATA",IF(COUNT(C229:E229)&lt;3,"CEK dimensi belum lengkap",IF(OR(C229&lt;=0,D229&lt;=0,E229&lt;=0),"CEK dimensi harus lebih dari 0",IF(COUNTIF($A$2:$A$500,A229)&gt;1,"CEK SKU dobel","OK")))))</f>
        <v/>
      </c>
    </row>
    <row r="230">
      <c r="A230" s="10" t="n"/>
      <c r="B230" s="12">
        <f>IF(A230="","",IFERROR(INDEX(DATA!$E$2:$E$500,MATCH(A230,DATA!$D$2:$D$500,0)),""))</f>
        <v/>
      </c>
      <c r="C230" s="10" t="n"/>
      <c r="D230" s="10" t="n"/>
      <c r="E230" s="10" t="n"/>
      <c r="F230" s="10" t="n"/>
      <c r="G230" s="10" t="n"/>
      <c r="H230" s="10" t="n"/>
      <c r="I230" s="10" t="n"/>
      <c r="J230" s="12">
        <f>IF(OR(A230="",COUNT(C230:E230)&lt;3),"",IFERROR(MAX(0,FLOOR(($N$2-$N$3)/E230,1))*MAX(1,MIN(IF(G230="",1,G230),FLOOR($N$4/D230,1)))*IF(F230="",1,F230),""))</f>
        <v/>
      </c>
      <c r="K230" s="12">
        <f>IF(A230="","",IF(COUNTIF(DATA!$D$2:$D$500,A230)=0,"CEK SKU tidak ada di DATA",IF(COUNT(C230:E230)&lt;3,"CEK dimensi belum lengkap",IF(OR(C230&lt;=0,D230&lt;=0,E230&lt;=0),"CEK dimensi harus lebih dari 0",IF(COUNTIF($A$2:$A$500,A230)&gt;1,"CEK SKU dobel","OK")))))</f>
        <v/>
      </c>
    </row>
    <row r="231">
      <c r="A231" s="10" t="n"/>
      <c r="B231" s="12">
        <f>IF(A231="","",IFERROR(INDEX(DATA!$E$2:$E$500,MATCH(A231,DATA!$D$2:$D$500,0)),""))</f>
        <v/>
      </c>
      <c r="C231" s="10" t="n"/>
      <c r="D231" s="10" t="n"/>
      <c r="E231" s="10" t="n"/>
      <c r="F231" s="10" t="n"/>
      <c r="G231" s="10" t="n"/>
      <c r="H231" s="10" t="n"/>
      <c r="I231" s="10" t="n"/>
      <c r="J231" s="12">
        <f>IF(OR(A231="",COUNT(C231:E231)&lt;3),"",IFERROR(MAX(0,FLOOR(($N$2-$N$3)/E231,1))*MAX(1,MIN(IF(G231="",1,G231),FLOOR($N$4/D231,1)))*IF(F231="",1,F231),""))</f>
        <v/>
      </c>
      <c r="K231" s="12">
        <f>IF(A231="","",IF(COUNTIF(DATA!$D$2:$D$500,A231)=0,"CEK SKU tidak ada di DATA",IF(COUNT(C231:E231)&lt;3,"CEK dimensi belum lengkap",IF(OR(C231&lt;=0,D231&lt;=0,E231&lt;=0),"CEK dimensi harus lebih dari 0",IF(COUNTIF($A$2:$A$500,A231)&gt;1,"CEK SKU dobel","OK")))))</f>
        <v/>
      </c>
    </row>
    <row r="232">
      <c r="A232" s="10" t="n"/>
      <c r="B232" s="12">
        <f>IF(A232="","",IFERROR(INDEX(DATA!$E$2:$E$500,MATCH(A232,DATA!$D$2:$D$500,0)),""))</f>
        <v/>
      </c>
      <c r="C232" s="10" t="n"/>
      <c r="D232" s="10" t="n"/>
      <c r="E232" s="10" t="n"/>
      <c r="F232" s="10" t="n"/>
      <c r="G232" s="10" t="n"/>
      <c r="H232" s="10" t="n"/>
      <c r="I232" s="10" t="n"/>
      <c r="J232" s="12">
        <f>IF(OR(A232="",COUNT(C232:E232)&lt;3),"",IFERROR(MAX(0,FLOOR(($N$2-$N$3)/E232,1))*MAX(1,MIN(IF(G232="",1,G232),FLOOR($N$4/D232,1)))*IF(F232="",1,F232),""))</f>
        <v/>
      </c>
      <c r="K232" s="12">
        <f>IF(A232="","",IF(COUNTIF(DATA!$D$2:$D$500,A232)=0,"CEK SKU tidak ada di DATA",IF(COUNT(C232:E232)&lt;3,"CEK dimensi belum lengkap",IF(OR(C232&lt;=0,D232&lt;=0,E232&lt;=0),"CEK dimensi harus lebih dari 0",IF(COUNTIF($A$2:$A$500,A232)&gt;1,"CEK SKU dobel","OK")))))</f>
        <v/>
      </c>
    </row>
    <row r="233">
      <c r="A233" s="10" t="n"/>
      <c r="B233" s="12">
        <f>IF(A233="","",IFERROR(INDEX(DATA!$E$2:$E$500,MATCH(A233,DATA!$D$2:$D$500,0)),""))</f>
        <v/>
      </c>
      <c r="C233" s="10" t="n"/>
      <c r="D233" s="10" t="n"/>
      <c r="E233" s="10" t="n"/>
      <c r="F233" s="10" t="n"/>
      <c r="G233" s="10" t="n"/>
      <c r="H233" s="10" t="n"/>
      <c r="I233" s="10" t="n"/>
      <c r="J233" s="12">
        <f>IF(OR(A233="",COUNT(C233:E233)&lt;3),"",IFERROR(MAX(0,FLOOR(($N$2-$N$3)/E233,1))*MAX(1,MIN(IF(G233="",1,G233),FLOOR($N$4/D233,1)))*IF(F233="",1,F233),""))</f>
        <v/>
      </c>
      <c r="K233" s="12">
        <f>IF(A233="","",IF(COUNTIF(DATA!$D$2:$D$500,A233)=0,"CEK SKU tidak ada di DATA",IF(COUNT(C233:E233)&lt;3,"CEK dimensi belum lengkap",IF(OR(C233&lt;=0,D233&lt;=0,E233&lt;=0),"CEK dimensi harus lebih dari 0",IF(COUNTIF($A$2:$A$500,A233)&gt;1,"CEK SKU dobel","OK")))))</f>
        <v/>
      </c>
    </row>
    <row r="234">
      <c r="A234" s="10" t="n"/>
      <c r="B234" s="12">
        <f>IF(A234="","",IFERROR(INDEX(DATA!$E$2:$E$500,MATCH(A234,DATA!$D$2:$D$500,0)),""))</f>
        <v/>
      </c>
      <c r="C234" s="10" t="n"/>
      <c r="D234" s="10" t="n"/>
      <c r="E234" s="10" t="n"/>
      <c r="F234" s="10" t="n"/>
      <c r="G234" s="10" t="n"/>
      <c r="H234" s="10" t="n"/>
      <c r="I234" s="10" t="n"/>
      <c r="J234" s="12">
        <f>IF(OR(A234="",COUNT(C234:E234)&lt;3),"",IFERROR(MAX(0,FLOOR(($N$2-$N$3)/E234,1))*MAX(1,MIN(IF(G234="",1,G234),FLOOR($N$4/D234,1)))*IF(F234="",1,F234),""))</f>
        <v/>
      </c>
      <c r="K234" s="12">
        <f>IF(A234="","",IF(COUNTIF(DATA!$D$2:$D$500,A234)=0,"CEK SKU tidak ada di DATA",IF(COUNT(C234:E234)&lt;3,"CEK dimensi belum lengkap",IF(OR(C234&lt;=0,D234&lt;=0,E234&lt;=0),"CEK dimensi harus lebih dari 0",IF(COUNTIF($A$2:$A$500,A234)&gt;1,"CEK SKU dobel","OK")))))</f>
        <v/>
      </c>
    </row>
    <row r="235">
      <c r="A235" s="10" t="n"/>
      <c r="B235" s="12">
        <f>IF(A235="","",IFERROR(INDEX(DATA!$E$2:$E$500,MATCH(A235,DATA!$D$2:$D$500,0)),""))</f>
        <v/>
      </c>
      <c r="C235" s="10" t="n"/>
      <c r="D235" s="10" t="n"/>
      <c r="E235" s="10" t="n"/>
      <c r="F235" s="10" t="n"/>
      <c r="G235" s="10" t="n"/>
      <c r="H235" s="10" t="n"/>
      <c r="I235" s="10" t="n"/>
      <c r="J235" s="12">
        <f>IF(OR(A235="",COUNT(C235:E235)&lt;3),"",IFERROR(MAX(0,FLOOR(($N$2-$N$3)/E235,1))*MAX(1,MIN(IF(G235="",1,G235),FLOOR($N$4/D235,1)))*IF(F235="",1,F235),""))</f>
        <v/>
      </c>
      <c r="K235" s="12">
        <f>IF(A235="","",IF(COUNTIF(DATA!$D$2:$D$500,A235)=0,"CEK SKU tidak ada di DATA",IF(COUNT(C235:E235)&lt;3,"CEK dimensi belum lengkap",IF(OR(C235&lt;=0,D235&lt;=0,E235&lt;=0),"CEK dimensi harus lebih dari 0",IF(COUNTIF($A$2:$A$500,A235)&gt;1,"CEK SKU dobel","OK")))))</f>
        <v/>
      </c>
    </row>
    <row r="236">
      <c r="A236" s="10" t="n"/>
      <c r="B236" s="12">
        <f>IF(A236="","",IFERROR(INDEX(DATA!$E$2:$E$500,MATCH(A236,DATA!$D$2:$D$500,0)),""))</f>
        <v/>
      </c>
      <c r="C236" s="10" t="n"/>
      <c r="D236" s="10" t="n"/>
      <c r="E236" s="10" t="n"/>
      <c r="F236" s="10" t="n"/>
      <c r="G236" s="10" t="n"/>
      <c r="H236" s="10" t="n"/>
      <c r="I236" s="10" t="n"/>
      <c r="J236" s="12">
        <f>IF(OR(A236="",COUNT(C236:E236)&lt;3),"",IFERROR(MAX(0,FLOOR(($N$2-$N$3)/E236,1))*MAX(1,MIN(IF(G236="",1,G236),FLOOR($N$4/D236,1)))*IF(F236="",1,F236),""))</f>
        <v/>
      </c>
      <c r="K236" s="12">
        <f>IF(A236="","",IF(COUNTIF(DATA!$D$2:$D$500,A236)=0,"CEK SKU tidak ada di DATA",IF(COUNT(C236:E236)&lt;3,"CEK dimensi belum lengkap",IF(OR(C236&lt;=0,D236&lt;=0,E236&lt;=0),"CEK dimensi harus lebih dari 0",IF(COUNTIF($A$2:$A$500,A236)&gt;1,"CEK SKU dobel","OK")))))</f>
        <v/>
      </c>
    </row>
    <row r="237">
      <c r="A237" s="10" t="n"/>
      <c r="B237" s="12">
        <f>IF(A237="","",IFERROR(INDEX(DATA!$E$2:$E$500,MATCH(A237,DATA!$D$2:$D$500,0)),""))</f>
        <v/>
      </c>
      <c r="C237" s="10" t="n"/>
      <c r="D237" s="10" t="n"/>
      <c r="E237" s="10" t="n"/>
      <c r="F237" s="10" t="n"/>
      <c r="G237" s="10" t="n"/>
      <c r="H237" s="10" t="n"/>
      <c r="I237" s="10" t="n"/>
      <c r="J237" s="12">
        <f>IF(OR(A237="",COUNT(C237:E237)&lt;3),"",IFERROR(MAX(0,FLOOR(($N$2-$N$3)/E237,1))*MAX(1,MIN(IF(G237="",1,G237),FLOOR($N$4/D237,1)))*IF(F237="",1,F237),""))</f>
        <v/>
      </c>
      <c r="K237" s="12">
        <f>IF(A237="","",IF(COUNTIF(DATA!$D$2:$D$500,A237)=0,"CEK SKU tidak ada di DATA",IF(COUNT(C237:E237)&lt;3,"CEK dimensi belum lengkap",IF(OR(C237&lt;=0,D237&lt;=0,E237&lt;=0),"CEK dimensi harus lebih dari 0",IF(COUNTIF($A$2:$A$500,A237)&gt;1,"CEK SKU dobel","OK")))))</f>
        <v/>
      </c>
    </row>
    <row r="238">
      <c r="A238" s="10" t="n"/>
      <c r="B238" s="12">
        <f>IF(A238="","",IFERROR(INDEX(DATA!$E$2:$E$500,MATCH(A238,DATA!$D$2:$D$500,0)),""))</f>
        <v/>
      </c>
      <c r="C238" s="10" t="n"/>
      <c r="D238" s="10" t="n"/>
      <c r="E238" s="10" t="n"/>
      <c r="F238" s="10" t="n"/>
      <c r="G238" s="10" t="n"/>
      <c r="H238" s="10" t="n"/>
      <c r="I238" s="10" t="n"/>
      <c r="J238" s="12">
        <f>IF(OR(A238="",COUNT(C238:E238)&lt;3),"",IFERROR(MAX(0,FLOOR(($N$2-$N$3)/E238,1))*MAX(1,MIN(IF(G238="",1,G238),FLOOR($N$4/D238,1)))*IF(F238="",1,F238),""))</f>
        <v/>
      </c>
      <c r="K238" s="12">
        <f>IF(A238="","",IF(COUNTIF(DATA!$D$2:$D$500,A238)=0,"CEK SKU tidak ada di DATA",IF(COUNT(C238:E238)&lt;3,"CEK dimensi belum lengkap",IF(OR(C238&lt;=0,D238&lt;=0,E238&lt;=0),"CEK dimensi harus lebih dari 0",IF(COUNTIF($A$2:$A$500,A238)&gt;1,"CEK SKU dobel","OK")))))</f>
        <v/>
      </c>
    </row>
    <row r="239">
      <c r="A239" s="10" t="n"/>
      <c r="B239" s="12">
        <f>IF(A239="","",IFERROR(INDEX(DATA!$E$2:$E$500,MATCH(A239,DATA!$D$2:$D$500,0)),""))</f>
        <v/>
      </c>
      <c r="C239" s="10" t="n"/>
      <c r="D239" s="10" t="n"/>
      <c r="E239" s="10" t="n"/>
      <c r="F239" s="10" t="n"/>
      <c r="G239" s="10" t="n"/>
      <c r="H239" s="10" t="n"/>
      <c r="I239" s="10" t="n"/>
      <c r="J239" s="12">
        <f>IF(OR(A239="",COUNT(C239:E239)&lt;3),"",IFERROR(MAX(0,FLOOR(($N$2-$N$3)/E239,1))*MAX(1,MIN(IF(G239="",1,G239),FLOOR($N$4/D239,1)))*IF(F239="",1,F239),""))</f>
        <v/>
      </c>
      <c r="K239" s="12">
        <f>IF(A239="","",IF(COUNTIF(DATA!$D$2:$D$500,A239)=0,"CEK SKU tidak ada di DATA",IF(COUNT(C239:E239)&lt;3,"CEK dimensi belum lengkap",IF(OR(C239&lt;=0,D239&lt;=0,E239&lt;=0),"CEK dimensi harus lebih dari 0",IF(COUNTIF($A$2:$A$500,A239)&gt;1,"CEK SKU dobel","OK")))))</f>
        <v/>
      </c>
    </row>
    <row r="240">
      <c r="A240" s="10" t="n"/>
      <c r="B240" s="12">
        <f>IF(A240="","",IFERROR(INDEX(DATA!$E$2:$E$500,MATCH(A240,DATA!$D$2:$D$500,0)),""))</f>
        <v/>
      </c>
      <c r="C240" s="10" t="n"/>
      <c r="D240" s="10" t="n"/>
      <c r="E240" s="10" t="n"/>
      <c r="F240" s="10" t="n"/>
      <c r="G240" s="10" t="n"/>
      <c r="H240" s="10" t="n"/>
      <c r="I240" s="10" t="n"/>
      <c r="J240" s="12">
        <f>IF(OR(A240="",COUNT(C240:E240)&lt;3),"",IFERROR(MAX(0,FLOOR(($N$2-$N$3)/E240,1))*MAX(1,MIN(IF(G240="",1,G240),FLOOR($N$4/D240,1)))*IF(F240="",1,F240),""))</f>
        <v/>
      </c>
      <c r="K240" s="12">
        <f>IF(A240="","",IF(COUNTIF(DATA!$D$2:$D$500,A240)=0,"CEK SKU tidak ada di DATA",IF(COUNT(C240:E240)&lt;3,"CEK dimensi belum lengkap",IF(OR(C240&lt;=0,D240&lt;=0,E240&lt;=0),"CEK dimensi harus lebih dari 0",IF(COUNTIF($A$2:$A$500,A240)&gt;1,"CEK SKU dobel","OK")))))</f>
        <v/>
      </c>
    </row>
    <row r="241">
      <c r="A241" s="10" t="n"/>
      <c r="B241" s="12">
        <f>IF(A241="","",IFERROR(INDEX(DATA!$E$2:$E$500,MATCH(A241,DATA!$D$2:$D$500,0)),""))</f>
        <v/>
      </c>
      <c r="C241" s="10" t="n"/>
      <c r="D241" s="10" t="n"/>
      <c r="E241" s="10" t="n"/>
      <c r="F241" s="10" t="n"/>
      <c r="G241" s="10" t="n"/>
      <c r="H241" s="10" t="n"/>
      <c r="I241" s="10" t="n"/>
      <c r="J241" s="12">
        <f>IF(OR(A241="",COUNT(C241:E241)&lt;3),"",IFERROR(MAX(0,FLOOR(($N$2-$N$3)/E241,1))*MAX(1,MIN(IF(G241="",1,G241),FLOOR($N$4/D241,1)))*IF(F241="",1,F241),""))</f>
        <v/>
      </c>
      <c r="K241" s="12">
        <f>IF(A241="","",IF(COUNTIF(DATA!$D$2:$D$500,A241)=0,"CEK SKU tidak ada di DATA",IF(COUNT(C241:E241)&lt;3,"CEK dimensi belum lengkap",IF(OR(C241&lt;=0,D241&lt;=0,E241&lt;=0),"CEK dimensi harus lebih dari 0",IF(COUNTIF($A$2:$A$500,A241)&gt;1,"CEK SKU dobel","OK")))))</f>
        <v/>
      </c>
    </row>
    <row r="242">
      <c r="A242" s="10" t="n"/>
      <c r="B242" s="12">
        <f>IF(A242="","",IFERROR(INDEX(DATA!$E$2:$E$500,MATCH(A242,DATA!$D$2:$D$500,0)),""))</f>
        <v/>
      </c>
      <c r="C242" s="10" t="n"/>
      <c r="D242" s="10" t="n"/>
      <c r="E242" s="10" t="n"/>
      <c r="F242" s="10" t="n"/>
      <c r="G242" s="10" t="n"/>
      <c r="H242" s="10" t="n"/>
      <c r="I242" s="10" t="n"/>
      <c r="J242" s="12">
        <f>IF(OR(A242="",COUNT(C242:E242)&lt;3),"",IFERROR(MAX(0,FLOOR(($N$2-$N$3)/E242,1))*MAX(1,MIN(IF(G242="",1,G242),FLOOR($N$4/D242,1)))*IF(F242="",1,F242),""))</f>
        <v/>
      </c>
      <c r="K242" s="12">
        <f>IF(A242="","",IF(COUNTIF(DATA!$D$2:$D$500,A242)=0,"CEK SKU tidak ada di DATA",IF(COUNT(C242:E242)&lt;3,"CEK dimensi belum lengkap",IF(OR(C242&lt;=0,D242&lt;=0,E242&lt;=0),"CEK dimensi harus lebih dari 0",IF(COUNTIF($A$2:$A$500,A242)&gt;1,"CEK SKU dobel","OK")))))</f>
        <v/>
      </c>
    </row>
    <row r="243">
      <c r="A243" s="10" t="n"/>
      <c r="B243" s="12">
        <f>IF(A243="","",IFERROR(INDEX(DATA!$E$2:$E$500,MATCH(A243,DATA!$D$2:$D$500,0)),""))</f>
        <v/>
      </c>
      <c r="C243" s="10" t="n"/>
      <c r="D243" s="10" t="n"/>
      <c r="E243" s="10" t="n"/>
      <c r="F243" s="10" t="n"/>
      <c r="G243" s="10" t="n"/>
      <c r="H243" s="10" t="n"/>
      <c r="I243" s="10" t="n"/>
      <c r="J243" s="12">
        <f>IF(OR(A243="",COUNT(C243:E243)&lt;3),"",IFERROR(MAX(0,FLOOR(($N$2-$N$3)/E243,1))*MAX(1,MIN(IF(G243="",1,G243),FLOOR($N$4/D243,1)))*IF(F243="",1,F243),""))</f>
        <v/>
      </c>
      <c r="K243" s="12">
        <f>IF(A243="","",IF(COUNTIF(DATA!$D$2:$D$500,A243)=0,"CEK SKU tidak ada di DATA",IF(COUNT(C243:E243)&lt;3,"CEK dimensi belum lengkap",IF(OR(C243&lt;=0,D243&lt;=0,E243&lt;=0),"CEK dimensi harus lebih dari 0",IF(COUNTIF($A$2:$A$500,A243)&gt;1,"CEK SKU dobel","OK")))))</f>
        <v/>
      </c>
    </row>
    <row r="244">
      <c r="A244" s="10" t="n"/>
      <c r="B244" s="12">
        <f>IF(A244="","",IFERROR(INDEX(DATA!$E$2:$E$500,MATCH(A244,DATA!$D$2:$D$500,0)),""))</f>
        <v/>
      </c>
      <c r="C244" s="10" t="n"/>
      <c r="D244" s="10" t="n"/>
      <c r="E244" s="10" t="n"/>
      <c r="F244" s="10" t="n"/>
      <c r="G244" s="10" t="n"/>
      <c r="H244" s="10" t="n"/>
      <c r="I244" s="10" t="n"/>
      <c r="J244" s="12">
        <f>IF(OR(A244="",COUNT(C244:E244)&lt;3),"",IFERROR(MAX(0,FLOOR(($N$2-$N$3)/E244,1))*MAX(1,MIN(IF(G244="",1,G244),FLOOR($N$4/D244,1)))*IF(F244="",1,F244),""))</f>
        <v/>
      </c>
      <c r="K244" s="12">
        <f>IF(A244="","",IF(COUNTIF(DATA!$D$2:$D$500,A244)=0,"CEK SKU tidak ada di DATA",IF(COUNT(C244:E244)&lt;3,"CEK dimensi belum lengkap",IF(OR(C244&lt;=0,D244&lt;=0,E244&lt;=0),"CEK dimensi harus lebih dari 0",IF(COUNTIF($A$2:$A$500,A244)&gt;1,"CEK SKU dobel","OK")))))</f>
        <v/>
      </c>
    </row>
    <row r="245">
      <c r="A245" s="10" t="n"/>
      <c r="B245" s="12">
        <f>IF(A245="","",IFERROR(INDEX(DATA!$E$2:$E$500,MATCH(A245,DATA!$D$2:$D$500,0)),""))</f>
        <v/>
      </c>
      <c r="C245" s="10" t="n"/>
      <c r="D245" s="10" t="n"/>
      <c r="E245" s="10" t="n"/>
      <c r="F245" s="10" t="n"/>
      <c r="G245" s="10" t="n"/>
      <c r="H245" s="10" t="n"/>
      <c r="I245" s="10" t="n"/>
      <c r="J245" s="12">
        <f>IF(OR(A245="",COUNT(C245:E245)&lt;3),"",IFERROR(MAX(0,FLOOR(($N$2-$N$3)/E245,1))*MAX(1,MIN(IF(G245="",1,G245),FLOOR($N$4/D245,1)))*IF(F245="",1,F245),""))</f>
        <v/>
      </c>
      <c r="K245" s="12">
        <f>IF(A245="","",IF(COUNTIF(DATA!$D$2:$D$500,A245)=0,"CEK SKU tidak ada di DATA",IF(COUNT(C245:E245)&lt;3,"CEK dimensi belum lengkap",IF(OR(C245&lt;=0,D245&lt;=0,E245&lt;=0),"CEK dimensi harus lebih dari 0",IF(COUNTIF($A$2:$A$500,A245)&gt;1,"CEK SKU dobel","OK")))))</f>
        <v/>
      </c>
    </row>
    <row r="246">
      <c r="A246" s="10" t="n"/>
      <c r="B246" s="12">
        <f>IF(A246="","",IFERROR(INDEX(DATA!$E$2:$E$500,MATCH(A246,DATA!$D$2:$D$500,0)),""))</f>
        <v/>
      </c>
      <c r="C246" s="10" t="n"/>
      <c r="D246" s="10" t="n"/>
      <c r="E246" s="10" t="n"/>
      <c r="F246" s="10" t="n"/>
      <c r="G246" s="10" t="n"/>
      <c r="H246" s="10" t="n"/>
      <c r="I246" s="10" t="n"/>
      <c r="J246" s="12">
        <f>IF(OR(A246="",COUNT(C246:E246)&lt;3),"",IFERROR(MAX(0,FLOOR(($N$2-$N$3)/E246,1))*MAX(1,MIN(IF(G246="",1,G246),FLOOR($N$4/D246,1)))*IF(F246="",1,F246),""))</f>
        <v/>
      </c>
      <c r="K246" s="12">
        <f>IF(A246="","",IF(COUNTIF(DATA!$D$2:$D$500,A246)=0,"CEK SKU tidak ada di DATA",IF(COUNT(C246:E246)&lt;3,"CEK dimensi belum lengkap",IF(OR(C246&lt;=0,D246&lt;=0,E246&lt;=0),"CEK dimensi harus lebih dari 0",IF(COUNTIF($A$2:$A$500,A246)&gt;1,"CEK SKU dobel","OK")))))</f>
        <v/>
      </c>
    </row>
    <row r="247">
      <c r="A247" s="10" t="n"/>
      <c r="B247" s="12">
        <f>IF(A247="","",IFERROR(INDEX(DATA!$E$2:$E$500,MATCH(A247,DATA!$D$2:$D$500,0)),""))</f>
        <v/>
      </c>
      <c r="C247" s="10" t="n"/>
      <c r="D247" s="10" t="n"/>
      <c r="E247" s="10" t="n"/>
      <c r="F247" s="10" t="n"/>
      <c r="G247" s="10" t="n"/>
      <c r="H247" s="10" t="n"/>
      <c r="I247" s="10" t="n"/>
      <c r="J247" s="12">
        <f>IF(OR(A247="",COUNT(C247:E247)&lt;3),"",IFERROR(MAX(0,FLOOR(($N$2-$N$3)/E247,1))*MAX(1,MIN(IF(G247="",1,G247),FLOOR($N$4/D247,1)))*IF(F247="",1,F247),""))</f>
        <v/>
      </c>
      <c r="K247" s="12">
        <f>IF(A247="","",IF(COUNTIF(DATA!$D$2:$D$500,A247)=0,"CEK SKU tidak ada di DATA",IF(COUNT(C247:E247)&lt;3,"CEK dimensi belum lengkap",IF(OR(C247&lt;=0,D247&lt;=0,E247&lt;=0),"CEK dimensi harus lebih dari 0",IF(COUNTIF($A$2:$A$500,A247)&gt;1,"CEK SKU dobel","OK")))))</f>
        <v/>
      </c>
    </row>
    <row r="248">
      <c r="A248" s="10" t="n"/>
      <c r="B248" s="12">
        <f>IF(A248="","",IFERROR(INDEX(DATA!$E$2:$E$500,MATCH(A248,DATA!$D$2:$D$500,0)),""))</f>
        <v/>
      </c>
      <c r="C248" s="10" t="n"/>
      <c r="D248" s="10" t="n"/>
      <c r="E248" s="10" t="n"/>
      <c r="F248" s="10" t="n"/>
      <c r="G248" s="10" t="n"/>
      <c r="H248" s="10" t="n"/>
      <c r="I248" s="10" t="n"/>
      <c r="J248" s="12">
        <f>IF(OR(A248="",COUNT(C248:E248)&lt;3),"",IFERROR(MAX(0,FLOOR(($N$2-$N$3)/E248,1))*MAX(1,MIN(IF(G248="",1,G248),FLOOR($N$4/D248,1)))*IF(F248="",1,F248),""))</f>
        <v/>
      </c>
      <c r="K248" s="12">
        <f>IF(A248="","",IF(COUNTIF(DATA!$D$2:$D$500,A248)=0,"CEK SKU tidak ada di DATA",IF(COUNT(C248:E248)&lt;3,"CEK dimensi belum lengkap",IF(OR(C248&lt;=0,D248&lt;=0,E248&lt;=0),"CEK dimensi harus lebih dari 0",IF(COUNTIF($A$2:$A$500,A248)&gt;1,"CEK SKU dobel","OK")))))</f>
        <v/>
      </c>
    </row>
    <row r="249">
      <c r="A249" s="10" t="n"/>
      <c r="B249" s="12">
        <f>IF(A249="","",IFERROR(INDEX(DATA!$E$2:$E$500,MATCH(A249,DATA!$D$2:$D$500,0)),""))</f>
        <v/>
      </c>
      <c r="C249" s="10" t="n"/>
      <c r="D249" s="10" t="n"/>
      <c r="E249" s="10" t="n"/>
      <c r="F249" s="10" t="n"/>
      <c r="G249" s="10" t="n"/>
      <c r="H249" s="10" t="n"/>
      <c r="I249" s="10" t="n"/>
      <c r="J249" s="12">
        <f>IF(OR(A249="",COUNT(C249:E249)&lt;3),"",IFERROR(MAX(0,FLOOR(($N$2-$N$3)/E249,1))*MAX(1,MIN(IF(G249="",1,G249),FLOOR($N$4/D249,1)))*IF(F249="",1,F249),""))</f>
        <v/>
      </c>
      <c r="K249" s="12">
        <f>IF(A249="","",IF(COUNTIF(DATA!$D$2:$D$500,A249)=0,"CEK SKU tidak ada di DATA",IF(COUNT(C249:E249)&lt;3,"CEK dimensi belum lengkap",IF(OR(C249&lt;=0,D249&lt;=0,E249&lt;=0),"CEK dimensi harus lebih dari 0",IF(COUNTIF($A$2:$A$500,A249)&gt;1,"CEK SKU dobel","OK")))))</f>
        <v/>
      </c>
    </row>
    <row r="250">
      <c r="A250" s="10" t="n"/>
      <c r="B250" s="12">
        <f>IF(A250="","",IFERROR(INDEX(DATA!$E$2:$E$500,MATCH(A250,DATA!$D$2:$D$500,0)),""))</f>
        <v/>
      </c>
      <c r="C250" s="10" t="n"/>
      <c r="D250" s="10" t="n"/>
      <c r="E250" s="10" t="n"/>
      <c r="F250" s="10" t="n"/>
      <c r="G250" s="10" t="n"/>
      <c r="H250" s="10" t="n"/>
      <c r="I250" s="10" t="n"/>
      <c r="J250" s="12">
        <f>IF(OR(A250="",COUNT(C250:E250)&lt;3),"",IFERROR(MAX(0,FLOOR(($N$2-$N$3)/E250,1))*MAX(1,MIN(IF(G250="",1,G250),FLOOR($N$4/D250,1)))*IF(F250="",1,F250),""))</f>
        <v/>
      </c>
      <c r="K250" s="12">
        <f>IF(A250="","",IF(COUNTIF(DATA!$D$2:$D$500,A250)=0,"CEK SKU tidak ada di DATA",IF(COUNT(C250:E250)&lt;3,"CEK dimensi belum lengkap",IF(OR(C250&lt;=0,D250&lt;=0,E250&lt;=0),"CEK dimensi harus lebih dari 0",IF(COUNTIF($A$2:$A$500,A250)&gt;1,"CEK SKU dobel","OK")))))</f>
        <v/>
      </c>
    </row>
    <row r="251">
      <c r="A251" s="10" t="n"/>
      <c r="B251" s="12">
        <f>IF(A251="","",IFERROR(INDEX(DATA!$E$2:$E$500,MATCH(A251,DATA!$D$2:$D$500,0)),""))</f>
        <v/>
      </c>
      <c r="C251" s="10" t="n"/>
      <c r="D251" s="10" t="n"/>
      <c r="E251" s="10" t="n"/>
      <c r="F251" s="10" t="n"/>
      <c r="G251" s="10" t="n"/>
      <c r="H251" s="10" t="n"/>
      <c r="I251" s="10" t="n"/>
      <c r="J251" s="12">
        <f>IF(OR(A251="",COUNT(C251:E251)&lt;3),"",IFERROR(MAX(0,FLOOR(($N$2-$N$3)/E251,1))*MAX(1,MIN(IF(G251="",1,G251),FLOOR($N$4/D251,1)))*IF(F251="",1,F251),""))</f>
        <v/>
      </c>
      <c r="K251" s="12">
        <f>IF(A251="","",IF(COUNTIF(DATA!$D$2:$D$500,A251)=0,"CEK SKU tidak ada di DATA",IF(COUNT(C251:E251)&lt;3,"CEK dimensi belum lengkap",IF(OR(C251&lt;=0,D251&lt;=0,E251&lt;=0),"CEK dimensi harus lebih dari 0",IF(COUNTIF($A$2:$A$500,A251)&gt;1,"CEK SKU dobel","OK")))))</f>
        <v/>
      </c>
    </row>
    <row r="252">
      <c r="A252" s="10" t="n"/>
      <c r="B252" s="12">
        <f>IF(A252="","",IFERROR(INDEX(DATA!$E$2:$E$500,MATCH(A252,DATA!$D$2:$D$500,0)),""))</f>
        <v/>
      </c>
      <c r="C252" s="10" t="n"/>
      <c r="D252" s="10" t="n"/>
      <c r="E252" s="10" t="n"/>
      <c r="F252" s="10" t="n"/>
      <c r="G252" s="10" t="n"/>
      <c r="H252" s="10" t="n"/>
      <c r="I252" s="10" t="n"/>
      <c r="J252" s="12">
        <f>IF(OR(A252="",COUNT(C252:E252)&lt;3),"",IFERROR(MAX(0,FLOOR(($N$2-$N$3)/E252,1))*MAX(1,MIN(IF(G252="",1,G252),FLOOR($N$4/D252,1)))*IF(F252="",1,F252),""))</f>
        <v/>
      </c>
      <c r="K252" s="12">
        <f>IF(A252="","",IF(COUNTIF(DATA!$D$2:$D$500,A252)=0,"CEK SKU tidak ada di DATA",IF(COUNT(C252:E252)&lt;3,"CEK dimensi belum lengkap",IF(OR(C252&lt;=0,D252&lt;=0,E252&lt;=0),"CEK dimensi harus lebih dari 0",IF(COUNTIF($A$2:$A$500,A252)&gt;1,"CEK SKU dobel","OK")))))</f>
        <v/>
      </c>
    </row>
    <row r="253">
      <c r="A253" s="10" t="n"/>
      <c r="B253" s="12">
        <f>IF(A253="","",IFERROR(INDEX(DATA!$E$2:$E$500,MATCH(A253,DATA!$D$2:$D$500,0)),""))</f>
        <v/>
      </c>
      <c r="C253" s="10" t="n"/>
      <c r="D253" s="10" t="n"/>
      <c r="E253" s="10" t="n"/>
      <c r="F253" s="10" t="n"/>
      <c r="G253" s="10" t="n"/>
      <c r="H253" s="10" t="n"/>
      <c r="I253" s="10" t="n"/>
      <c r="J253" s="12">
        <f>IF(OR(A253="",COUNT(C253:E253)&lt;3),"",IFERROR(MAX(0,FLOOR(($N$2-$N$3)/E253,1))*MAX(1,MIN(IF(G253="",1,G253),FLOOR($N$4/D253,1)))*IF(F253="",1,F253),""))</f>
        <v/>
      </c>
      <c r="K253" s="12">
        <f>IF(A253="","",IF(COUNTIF(DATA!$D$2:$D$500,A253)=0,"CEK SKU tidak ada di DATA",IF(COUNT(C253:E253)&lt;3,"CEK dimensi belum lengkap",IF(OR(C253&lt;=0,D253&lt;=0,E253&lt;=0),"CEK dimensi harus lebih dari 0",IF(COUNTIF($A$2:$A$500,A253)&gt;1,"CEK SKU dobel","OK")))))</f>
        <v/>
      </c>
    </row>
    <row r="254">
      <c r="A254" s="10" t="n"/>
      <c r="B254" s="12">
        <f>IF(A254="","",IFERROR(INDEX(DATA!$E$2:$E$500,MATCH(A254,DATA!$D$2:$D$500,0)),""))</f>
        <v/>
      </c>
      <c r="C254" s="10" t="n"/>
      <c r="D254" s="10" t="n"/>
      <c r="E254" s="10" t="n"/>
      <c r="F254" s="10" t="n"/>
      <c r="G254" s="10" t="n"/>
      <c r="H254" s="10" t="n"/>
      <c r="I254" s="10" t="n"/>
      <c r="J254" s="12">
        <f>IF(OR(A254="",COUNT(C254:E254)&lt;3),"",IFERROR(MAX(0,FLOOR(($N$2-$N$3)/E254,1))*MAX(1,MIN(IF(G254="",1,G254),FLOOR($N$4/D254,1)))*IF(F254="",1,F254),""))</f>
        <v/>
      </c>
      <c r="K254" s="12">
        <f>IF(A254="","",IF(COUNTIF(DATA!$D$2:$D$500,A254)=0,"CEK SKU tidak ada di DATA",IF(COUNT(C254:E254)&lt;3,"CEK dimensi belum lengkap",IF(OR(C254&lt;=0,D254&lt;=0,E254&lt;=0),"CEK dimensi harus lebih dari 0",IF(COUNTIF($A$2:$A$500,A254)&gt;1,"CEK SKU dobel","OK")))))</f>
        <v/>
      </c>
    </row>
    <row r="255">
      <c r="A255" s="10" t="n"/>
      <c r="B255" s="12">
        <f>IF(A255="","",IFERROR(INDEX(DATA!$E$2:$E$500,MATCH(A255,DATA!$D$2:$D$500,0)),""))</f>
        <v/>
      </c>
      <c r="C255" s="10" t="n"/>
      <c r="D255" s="10" t="n"/>
      <c r="E255" s="10" t="n"/>
      <c r="F255" s="10" t="n"/>
      <c r="G255" s="10" t="n"/>
      <c r="H255" s="10" t="n"/>
      <c r="I255" s="10" t="n"/>
      <c r="J255" s="12">
        <f>IF(OR(A255="",COUNT(C255:E255)&lt;3),"",IFERROR(MAX(0,FLOOR(($N$2-$N$3)/E255,1))*MAX(1,MIN(IF(G255="",1,G255),FLOOR($N$4/D255,1)))*IF(F255="",1,F255),""))</f>
        <v/>
      </c>
      <c r="K255" s="12">
        <f>IF(A255="","",IF(COUNTIF(DATA!$D$2:$D$500,A255)=0,"CEK SKU tidak ada di DATA",IF(COUNT(C255:E255)&lt;3,"CEK dimensi belum lengkap",IF(OR(C255&lt;=0,D255&lt;=0,E255&lt;=0),"CEK dimensi harus lebih dari 0",IF(COUNTIF($A$2:$A$500,A255)&gt;1,"CEK SKU dobel","OK")))))</f>
        <v/>
      </c>
    </row>
    <row r="256">
      <c r="A256" s="10" t="n"/>
      <c r="B256" s="12">
        <f>IF(A256="","",IFERROR(INDEX(DATA!$E$2:$E$500,MATCH(A256,DATA!$D$2:$D$500,0)),""))</f>
        <v/>
      </c>
      <c r="C256" s="10" t="n"/>
      <c r="D256" s="10" t="n"/>
      <c r="E256" s="10" t="n"/>
      <c r="F256" s="10" t="n"/>
      <c r="G256" s="10" t="n"/>
      <c r="H256" s="10" t="n"/>
      <c r="I256" s="10" t="n"/>
      <c r="J256" s="12">
        <f>IF(OR(A256="",COUNT(C256:E256)&lt;3),"",IFERROR(MAX(0,FLOOR(($N$2-$N$3)/E256,1))*MAX(1,MIN(IF(G256="",1,G256),FLOOR($N$4/D256,1)))*IF(F256="",1,F256),""))</f>
        <v/>
      </c>
      <c r="K256" s="12">
        <f>IF(A256="","",IF(COUNTIF(DATA!$D$2:$D$500,A256)=0,"CEK SKU tidak ada di DATA",IF(COUNT(C256:E256)&lt;3,"CEK dimensi belum lengkap",IF(OR(C256&lt;=0,D256&lt;=0,E256&lt;=0),"CEK dimensi harus lebih dari 0",IF(COUNTIF($A$2:$A$500,A256)&gt;1,"CEK SKU dobel","OK")))))</f>
        <v/>
      </c>
    </row>
    <row r="257">
      <c r="A257" s="10" t="n"/>
      <c r="B257" s="12">
        <f>IF(A257="","",IFERROR(INDEX(DATA!$E$2:$E$500,MATCH(A257,DATA!$D$2:$D$500,0)),""))</f>
        <v/>
      </c>
      <c r="C257" s="10" t="n"/>
      <c r="D257" s="10" t="n"/>
      <c r="E257" s="10" t="n"/>
      <c r="F257" s="10" t="n"/>
      <c r="G257" s="10" t="n"/>
      <c r="H257" s="10" t="n"/>
      <c r="I257" s="10" t="n"/>
      <c r="J257" s="12">
        <f>IF(OR(A257="",COUNT(C257:E257)&lt;3),"",IFERROR(MAX(0,FLOOR(($N$2-$N$3)/E257,1))*MAX(1,MIN(IF(G257="",1,G257),FLOOR($N$4/D257,1)))*IF(F257="",1,F257),""))</f>
        <v/>
      </c>
      <c r="K257" s="12">
        <f>IF(A257="","",IF(COUNTIF(DATA!$D$2:$D$500,A257)=0,"CEK SKU tidak ada di DATA",IF(COUNT(C257:E257)&lt;3,"CEK dimensi belum lengkap",IF(OR(C257&lt;=0,D257&lt;=0,E257&lt;=0),"CEK dimensi harus lebih dari 0",IF(COUNTIF($A$2:$A$500,A257)&gt;1,"CEK SKU dobel","OK")))))</f>
        <v/>
      </c>
    </row>
    <row r="258">
      <c r="A258" s="10" t="n"/>
      <c r="B258" s="12">
        <f>IF(A258="","",IFERROR(INDEX(DATA!$E$2:$E$500,MATCH(A258,DATA!$D$2:$D$500,0)),""))</f>
        <v/>
      </c>
      <c r="C258" s="10" t="n"/>
      <c r="D258" s="10" t="n"/>
      <c r="E258" s="10" t="n"/>
      <c r="F258" s="10" t="n"/>
      <c r="G258" s="10" t="n"/>
      <c r="H258" s="10" t="n"/>
      <c r="I258" s="10" t="n"/>
      <c r="J258" s="12">
        <f>IF(OR(A258="",COUNT(C258:E258)&lt;3),"",IFERROR(MAX(0,FLOOR(($N$2-$N$3)/E258,1))*MAX(1,MIN(IF(G258="",1,G258),FLOOR($N$4/D258,1)))*IF(F258="",1,F258),""))</f>
        <v/>
      </c>
      <c r="K258" s="12">
        <f>IF(A258="","",IF(COUNTIF(DATA!$D$2:$D$500,A258)=0,"CEK SKU tidak ada di DATA",IF(COUNT(C258:E258)&lt;3,"CEK dimensi belum lengkap",IF(OR(C258&lt;=0,D258&lt;=0,E258&lt;=0),"CEK dimensi harus lebih dari 0",IF(COUNTIF($A$2:$A$500,A258)&gt;1,"CEK SKU dobel","OK")))))</f>
        <v/>
      </c>
    </row>
    <row r="259">
      <c r="A259" s="10" t="n"/>
      <c r="B259" s="12">
        <f>IF(A259="","",IFERROR(INDEX(DATA!$E$2:$E$500,MATCH(A259,DATA!$D$2:$D$500,0)),""))</f>
        <v/>
      </c>
      <c r="C259" s="10" t="n"/>
      <c r="D259" s="10" t="n"/>
      <c r="E259" s="10" t="n"/>
      <c r="F259" s="10" t="n"/>
      <c r="G259" s="10" t="n"/>
      <c r="H259" s="10" t="n"/>
      <c r="I259" s="10" t="n"/>
      <c r="J259" s="12">
        <f>IF(OR(A259="",COUNT(C259:E259)&lt;3),"",IFERROR(MAX(0,FLOOR(($N$2-$N$3)/E259,1))*MAX(1,MIN(IF(G259="",1,G259),FLOOR($N$4/D259,1)))*IF(F259="",1,F259),""))</f>
        <v/>
      </c>
      <c r="K259" s="12">
        <f>IF(A259="","",IF(COUNTIF(DATA!$D$2:$D$500,A259)=0,"CEK SKU tidak ada di DATA",IF(COUNT(C259:E259)&lt;3,"CEK dimensi belum lengkap",IF(OR(C259&lt;=0,D259&lt;=0,E259&lt;=0),"CEK dimensi harus lebih dari 0",IF(COUNTIF($A$2:$A$500,A259)&gt;1,"CEK SKU dobel","OK")))))</f>
        <v/>
      </c>
    </row>
    <row r="260">
      <c r="A260" s="10" t="n"/>
      <c r="B260" s="12">
        <f>IF(A260="","",IFERROR(INDEX(DATA!$E$2:$E$500,MATCH(A260,DATA!$D$2:$D$500,0)),""))</f>
        <v/>
      </c>
      <c r="C260" s="10" t="n"/>
      <c r="D260" s="10" t="n"/>
      <c r="E260" s="10" t="n"/>
      <c r="F260" s="10" t="n"/>
      <c r="G260" s="10" t="n"/>
      <c r="H260" s="10" t="n"/>
      <c r="I260" s="10" t="n"/>
      <c r="J260" s="12">
        <f>IF(OR(A260="",COUNT(C260:E260)&lt;3),"",IFERROR(MAX(0,FLOOR(($N$2-$N$3)/E260,1))*MAX(1,MIN(IF(G260="",1,G260),FLOOR($N$4/D260,1)))*IF(F260="",1,F260),""))</f>
        <v/>
      </c>
      <c r="K260" s="12">
        <f>IF(A260="","",IF(COUNTIF(DATA!$D$2:$D$500,A260)=0,"CEK SKU tidak ada di DATA",IF(COUNT(C260:E260)&lt;3,"CEK dimensi belum lengkap",IF(OR(C260&lt;=0,D260&lt;=0,E260&lt;=0),"CEK dimensi harus lebih dari 0",IF(COUNTIF($A$2:$A$500,A260)&gt;1,"CEK SKU dobel","OK")))))</f>
        <v/>
      </c>
    </row>
    <row r="261">
      <c r="A261" s="10" t="n"/>
      <c r="B261" s="12">
        <f>IF(A261="","",IFERROR(INDEX(DATA!$E$2:$E$500,MATCH(A261,DATA!$D$2:$D$500,0)),""))</f>
        <v/>
      </c>
      <c r="C261" s="10" t="n"/>
      <c r="D261" s="10" t="n"/>
      <c r="E261" s="10" t="n"/>
      <c r="F261" s="10" t="n"/>
      <c r="G261" s="10" t="n"/>
      <c r="H261" s="10" t="n"/>
      <c r="I261" s="10" t="n"/>
      <c r="J261" s="12">
        <f>IF(OR(A261="",COUNT(C261:E261)&lt;3),"",IFERROR(MAX(0,FLOOR(($N$2-$N$3)/E261,1))*MAX(1,MIN(IF(G261="",1,G261),FLOOR($N$4/D261,1)))*IF(F261="",1,F261),""))</f>
        <v/>
      </c>
      <c r="K261" s="12">
        <f>IF(A261="","",IF(COUNTIF(DATA!$D$2:$D$500,A261)=0,"CEK SKU tidak ada di DATA",IF(COUNT(C261:E261)&lt;3,"CEK dimensi belum lengkap",IF(OR(C261&lt;=0,D261&lt;=0,E261&lt;=0),"CEK dimensi harus lebih dari 0",IF(COUNTIF($A$2:$A$500,A261)&gt;1,"CEK SKU dobel","OK")))))</f>
        <v/>
      </c>
    </row>
    <row r="262">
      <c r="A262" s="10" t="n"/>
      <c r="B262" s="12">
        <f>IF(A262="","",IFERROR(INDEX(DATA!$E$2:$E$500,MATCH(A262,DATA!$D$2:$D$500,0)),""))</f>
        <v/>
      </c>
      <c r="C262" s="10" t="n"/>
      <c r="D262" s="10" t="n"/>
      <c r="E262" s="10" t="n"/>
      <c r="F262" s="10" t="n"/>
      <c r="G262" s="10" t="n"/>
      <c r="H262" s="10" t="n"/>
      <c r="I262" s="10" t="n"/>
      <c r="J262" s="12">
        <f>IF(OR(A262="",COUNT(C262:E262)&lt;3),"",IFERROR(MAX(0,FLOOR(($N$2-$N$3)/E262,1))*MAX(1,MIN(IF(G262="",1,G262),FLOOR($N$4/D262,1)))*IF(F262="",1,F262),""))</f>
        <v/>
      </c>
      <c r="K262" s="12">
        <f>IF(A262="","",IF(COUNTIF(DATA!$D$2:$D$500,A262)=0,"CEK SKU tidak ada di DATA",IF(COUNT(C262:E262)&lt;3,"CEK dimensi belum lengkap",IF(OR(C262&lt;=0,D262&lt;=0,E262&lt;=0),"CEK dimensi harus lebih dari 0",IF(COUNTIF($A$2:$A$500,A262)&gt;1,"CEK SKU dobel","OK")))))</f>
        <v/>
      </c>
    </row>
    <row r="263">
      <c r="A263" s="10" t="n"/>
      <c r="B263" s="12">
        <f>IF(A263="","",IFERROR(INDEX(DATA!$E$2:$E$500,MATCH(A263,DATA!$D$2:$D$500,0)),""))</f>
        <v/>
      </c>
      <c r="C263" s="10" t="n"/>
      <c r="D263" s="10" t="n"/>
      <c r="E263" s="10" t="n"/>
      <c r="F263" s="10" t="n"/>
      <c r="G263" s="10" t="n"/>
      <c r="H263" s="10" t="n"/>
      <c r="I263" s="10" t="n"/>
      <c r="J263" s="12">
        <f>IF(OR(A263="",COUNT(C263:E263)&lt;3),"",IFERROR(MAX(0,FLOOR(($N$2-$N$3)/E263,1))*MAX(1,MIN(IF(G263="",1,G263),FLOOR($N$4/D263,1)))*IF(F263="",1,F263),""))</f>
        <v/>
      </c>
      <c r="K263" s="12">
        <f>IF(A263="","",IF(COUNTIF(DATA!$D$2:$D$500,A263)=0,"CEK SKU tidak ada di DATA",IF(COUNT(C263:E263)&lt;3,"CEK dimensi belum lengkap",IF(OR(C263&lt;=0,D263&lt;=0,E263&lt;=0),"CEK dimensi harus lebih dari 0",IF(COUNTIF($A$2:$A$500,A263)&gt;1,"CEK SKU dobel","OK")))))</f>
        <v/>
      </c>
    </row>
    <row r="264">
      <c r="A264" s="10" t="n"/>
      <c r="B264" s="12">
        <f>IF(A264="","",IFERROR(INDEX(DATA!$E$2:$E$500,MATCH(A264,DATA!$D$2:$D$500,0)),""))</f>
        <v/>
      </c>
      <c r="C264" s="10" t="n"/>
      <c r="D264" s="10" t="n"/>
      <c r="E264" s="10" t="n"/>
      <c r="F264" s="10" t="n"/>
      <c r="G264" s="10" t="n"/>
      <c r="H264" s="10" t="n"/>
      <c r="I264" s="10" t="n"/>
      <c r="J264" s="12">
        <f>IF(OR(A264="",COUNT(C264:E264)&lt;3),"",IFERROR(MAX(0,FLOOR(($N$2-$N$3)/E264,1))*MAX(1,MIN(IF(G264="",1,G264),FLOOR($N$4/D264,1)))*IF(F264="",1,F264),""))</f>
        <v/>
      </c>
      <c r="K264" s="12">
        <f>IF(A264="","",IF(COUNTIF(DATA!$D$2:$D$500,A264)=0,"CEK SKU tidak ada di DATA",IF(COUNT(C264:E264)&lt;3,"CEK dimensi belum lengkap",IF(OR(C264&lt;=0,D264&lt;=0,E264&lt;=0),"CEK dimensi harus lebih dari 0",IF(COUNTIF($A$2:$A$500,A264)&gt;1,"CEK SKU dobel","OK")))))</f>
        <v/>
      </c>
    </row>
    <row r="265">
      <c r="A265" s="10" t="n"/>
      <c r="B265" s="12">
        <f>IF(A265="","",IFERROR(INDEX(DATA!$E$2:$E$500,MATCH(A265,DATA!$D$2:$D$500,0)),""))</f>
        <v/>
      </c>
      <c r="C265" s="10" t="n"/>
      <c r="D265" s="10" t="n"/>
      <c r="E265" s="10" t="n"/>
      <c r="F265" s="10" t="n"/>
      <c r="G265" s="10" t="n"/>
      <c r="H265" s="10" t="n"/>
      <c r="I265" s="10" t="n"/>
      <c r="J265" s="12">
        <f>IF(OR(A265="",COUNT(C265:E265)&lt;3),"",IFERROR(MAX(0,FLOOR(($N$2-$N$3)/E265,1))*MAX(1,MIN(IF(G265="",1,G265),FLOOR($N$4/D265,1)))*IF(F265="",1,F265),""))</f>
        <v/>
      </c>
      <c r="K265" s="12">
        <f>IF(A265="","",IF(COUNTIF(DATA!$D$2:$D$500,A265)=0,"CEK SKU tidak ada di DATA",IF(COUNT(C265:E265)&lt;3,"CEK dimensi belum lengkap",IF(OR(C265&lt;=0,D265&lt;=0,E265&lt;=0),"CEK dimensi harus lebih dari 0",IF(COUNTIF($A$2:$A$500,A265)&gt;1,"CEK SKU dobel","OK")))))</f>
        <v/>
      </c>
    </row>
    <row r="266">
      <c r="A266" s="10" t="n"/>
      <c r="B266" s="12">
        <f>IF(A266="","",IFERROR(INDEX(DATA!$E$2:$E$500,MATCH(A266,DATA!$D$2:$D$500,0)),""))</f>
        <v/>
      </c>
      <c r="C266" s="10" t="n"/>
      <c r="D266" s="10" t="n"/>
      <c r="E266" s="10" t="n"/>
      <c r="F266" s="10" t="n"/>
      <c r="G266" s="10" t="n"/>
      <c r="H266" s="10" t="n"/>
      <c r="I266" s="10" t="n"/>
      <c r="J266" s="12">
        <f>IF(OR(A266="",COUNT(C266:E266)&lt;3),"",IFERROR(MAX(0,FLOOR(($N$2-$N$3)/E266,1))*MAX(1,MIN(IF(G266="",1,G266),FLOOR($N$4/D266,1)))*IF(F266="",1,F266),""))</f>
        <v/>
      </c>
      <c r="K266" s="12">
        <f>IF(A266="","",IF(COUNTIF(DATA!$D$2:$D$500,A266)=0,"CEK SKU tidak ada di DATA",IF(COUNT(C266:E266)&lt;3,"CEK dimensi belum lengkap",IF(OR(C266&lt;=0,D266&lt;=0,E266&lt;=0),"CEK dimensi harus lebih dari 0",IF(COUNTIF($A$2:$A$500,A266)&gt;1,"CEK SKU dobel","OK")))))</f>
        <v/>
      </c>
    </row>
    <row r="267">
      <c r="A267" s="10" t="n"/>
      <c r="B267" s="12">
        <f>IF(A267="","",IFERROR(INDEX(DATA!$E$2:$E$500,MATCH(A267,DATA!$D$2:$D$500,0)),""))</f>
        <v/>
      </c>
      <c r="C267" s="10" t="n"/>
      <c r="D267" s="10" t="n"/>
      <c r="E267" s="10" t="n"/>
      <c r="F267" s="10" t="n"/>
      <c r="G267" s="10" t="n"/>
      <c r="H267" s="10" t="n"/>
      <c r="I267" s="10" t="n"/>
      <c r="J267" s="12">
        <f>IF(OR(A267="",COUNT(C267:E267)&lt;3),"",IFERROR(MAX(0,FLOOR(($N$2-$N$3)/E267,1))*MAX(1,MIN(IF(G267="",1,G267),FLOOR($N$4/D267,1)))*IF(F267="",1,F267),""))</f>
        <v/>
      </c>
      <c r="K267" s="12">
        <f>IF(A267="","",IF(COUNTIF(DATA!$D$2:$D$500,A267)=0,"CEK SKU tidak ada di DATA",IF(COUNT(C267:E267)&lt;3,"CEK dimensi belum lengkap",IF(OR(C267&lt;=0,D267&lt;=0,E267&lt;=0),"CEK dimensi harus lebih dari 0",IF(COUNTIF($A$2:$A$500,A267)&gt;1,"CEK SKU dobel","OK")))))</f>
        <v/>
      </c>
    </row>
    <row r="268">
      <c r="A268" s="10" t="n"/>
      <c r="B268" s="12">
        <f>IF(A268="","",IFERROR(INDEX(DATA!$E$2:$E$500,MATCH(A268,DATA!$D$2:$D$500,0)),""))</f>
        <v/>
      </c>
      <c r="C268" s="10" t="n"/>
      <c r="D268" s="10" t="n"/>
      <c r="E268" s="10" t="n"/>
      <c r="F268" s="10" t="n"/>
      <c r="G268" s="10" t="n"/>
      <c r="H268" s="10" t="n"/>
      <c r="I268" s="10" t="n"/>
      <c r="J268" s="12">
        <f>IF(OR(A268="",COUNT(C268:E268)&lt;3),"",IFERROR(MAX(0,FLOOR(($N$2-$N$3)/E268,1))*MAX(1,MIN(IF(G268="",1,G268),FLOOR($N$4/D268,1)))*IF(F268="",1,F268),""))</f>
        <v/>
      </c>
      <c r="K268" s="12">
        <f>IF(A268="","",IF(COUNTIF(DATA!$D$2:$D$500,A268)=0,"CEK SKU tidak ada di DATA",IF(COUNT(C268:E268)&lt;3,"CEK dimensi belum lengkap",IF(OR(C268&lt;=0,D268&lt;=0,E268&lt;=0),"CEK dimensi harus lebih dari 0",IF(COUNTIF($A$2:$A$500,A268)&gt;1,"CEK SKU dobel","OK")))))</f>
        <v/>
      </c>
    </row>
    <row r="269">
      <c r="A269" s="10" t="n"/>
      <c r="B269" s="12">
        <f>IF(A269="","",IFERROR(INDEX(DATA!$E$2:$E$500,MATCH(A269,DATA!$D$2:$D$500,0)),""))</f>
        <v/>
      </c>
      <c r="C269" s="10" t="n"/>
      <c r="D269" s="10" t="n"/>
      <c r="E269" s="10" t="n"/>
      <c r="F269" s="10" t="n"/>
      <c r="G269" s="10" t="n"/>
      <c r="H269" s="10" t="n"/>
      <c r="I269" s="10" t="n"/>
      <c r="J269" s="12">
        <f>IF(OR(A269="",COUNT(C269:E269)&lt;3),"",IFERROR(MAX(0,FLOOR(($N$2-$N$3)/E269,1))*MAX(1,MIN(IF(G269="",1,G269),FLOOR($N$4/D269,1)))*IF(F269="",1,F269),""))</f>
        <v/>
      </c>
      <c r="K269" s="12">
        <f>IF(A269="","",IF(COUNTIF(DATA!$D$2:$D$500,A269)=0,"CEK SKU tidak ada di DATA",IF(COUNT(C269:E269)&lt;3,"CEK dimensi belum lengkap",IF(OR(C269&lt;=0,D269&lt;=0,E269&lt;=0),"CEK dimensi harus lebih dari 0",IF(COUNTIF($A$2:$A$500,A269)&gt;1,"CEK SKU dobel","OK")))))</f>
        <v/>
      </c>
    </row>
    <row r="270">
      <c r="A270" s="10" t="n"/>
      <c r="B270" s="12">
        <f>IF(A270="","",IFERROR(INDEX(DATA!$E$2:$E$500,MATCH(A270,DATA!$D$2:$D$500,0)),""))</f>
        <v/>
      </c>
      <c r="C270" s="10" t="n"/>
      <c r="D270" s="10" t="n"/>
      <c r="E270" s="10" t="n"/>
      <c r="F270" s="10" t="n"/>
      <c r="G270" s="10" t="n"/>
      <c r="H270" s="10" t="n"/>
      <c r="I270" s="10" t="n"/>
      <c r="J270" s="12">
        <f>IF(OR(A270="",COUNT(C270:E270)&lt;3),"",IFERROR(MAX(0,FLOOR(($N$2-$N$3)/E270,1))*MAX(1,MIN(IF(G270="",1,G270),FLOOR($N$4/D270,1)))*IF(F270="",1,F270),""))</f>
        <v/>
      </c>
      <c r="K270" s="12">
        <f>IF(A270="","",IF(COUNTIF(DATA!$D$2:$D$500,A270)=0,"CEK SKU tidak ada di DATA",IF(COUNT(C270:E270)&lt;3,"CEK dimensi belum lengkap",IF(OR(C270&lt;=0,D270&lt;=0,E270&lt;=0),"CEK dimensi harus lebih dari 0",IF(COUNTIF($A$2:$A$500,A270)&gt;1,"CEK SKU dobel","OK")))))</f>
        <v/>
      </c>
    </row>
    <row r="271">
      <c r="A271" s="10" t="n"/>
      <c r="B271" s="12">
        <f>IF(A271="","",IFERROR(INDEX(DATA!$E$2:$E$500,MATCH(A271,DATA!$D$2:$D$500,0)),""))</f>
        <v/>
      </c>
      <c r="C271" s="10" t="n"/>
      <c r="D271" s="10" t="n"/>
      <c r="E271" s="10" t="n"/>
      <c r="F271" s="10" t="n"/>
      <c r="G271" s="10" t="n"/>
      <c r="H271" s="10" t="n"/>
      <c r="I271" s="10" t="n"/>
      <c r="J271" s="12">
        <f>IF(OR(A271="",COUNT(C271:E271)&lt;3),"",IFERROR(MAX(0,FLOOR(($N$2-$N$3)/E271,1))*MAX(1,MIN(IF(G271="",1,G271),FLOOR($N$4/D271,1)))*IF(F271="",1,F271),""))</f>
        <v/>
      </c>
      <c r="K271" s="12">
        <f>IF(A271="","",IF(COUNTIF(DATA!$D$2:$D$500,A271)=0,"CEK SKU tidak ada di DATA",IF(COUNT(C271:E271)&lt;3,"CEK dimensi belum lengkap",IF(OR(C271&lt;=0,D271&lt;=0,E271&lt;=0),"CEK dimensi harus lebih dari 0",IF(COUNTIF($A$2:$A$500,A271)&gt;1,"CEK SKU dobel","OK")))))</f>
        <v/>
      </c>
    </row>
    <row r="272">
      <c r="A272" s="10" t="n"/>
      <c r="B272" s="12">
        <f>IF(A272="","",IFERROR(INDEX(DATA!$E$2:$E$500,MATCH(A272,DATA!$D$2:$D$500,0)),""))</f>
        <v/>
      </c>
      <c r="C272" s="10" t="n"/>
      <c r="D272" s="10" t="n"/>
      <c r="E272" s="10" t="n"/>
      <c r="F272" s="10" t="n"/>
      <c r="G272" s="10" t="n"/>
      <c r="H272" s="10" t="n"/>
      <c r="I272" s="10" t="n"/>
      <c r="J272" s="12">
        <f>IF(OR(A272="",COUNT(C272:E272)&lt;3),"",IFERROR(MAX(0,FLOOR(($N$2-$N$3)/E272,1))*MAX(1,MIN(IF(G272="",1,G272),FLOOR($N$4/D272,1)))*IF(F272="",1,F272),""))</f>
        <v/>
      </c>
      <c r="K272" s="12">
        <f>IF(A272="","",IF(COUNTIF(DATA!$D$2:$D$500,A272)=0,"CEK SKU tidak ada di DATA",IF(COUNT(C272:E272)&lt;3,"CEK dimensi belum lengkap",IF(OR(C272&lt;=0,D272&lt;=0,E272&lt;=0),"CEK dimensi harus lebih dari 0",IF(COUNTIF($A$2:$A$500,A272)&gt;1,"CEK SKU dobel","OK")))))</f>
        <v/>
      </c>
    </row>
    <row r="273">
      <c r="A273" s="10" t="n"/>
      <c r="B273" s="12">
        <f>IF(A273="","",IFERROR(INDEX(DATA!$E$2:$E$500,MATCH(A273,DATA!$D$2:$D$500,0)),""))</f>
        <v/>
      </c>
      <c r="C273" s="10" t="n"/>
      <c r="D273" s="10" t="n"/>
      <c r="E273" s="10" t="n"/>
      <c r="F273" s="10" t="n"/>
      <c r="G273" s="10" t="n"/>
      <c r="H273" s="10" t="n"/>
      <c r="I273" s="10" t="n"/>
      <c r="J273" s="12">
        <f>IF(OR(A273="",COUNT(C273:E273)&lt;3),"",IFERROR(MAX(0,FLOOR(($N$2-$N$3)/E273,1))*MAX(1,MIN(IF(G273="",1,G273),FLOOR($N$4/D273,1)))*IF(F273="",1,F273),""))</f>
        <v/>
      </c>
      <c r="K273" s="12">
        <f>IF(A273="","",IF(COUNTIF(DATA!$D$2:$D$500,A273)=0,"CEK SKU tidak ada di DATA",IF(COUNT(C273:E273)&lt;3,"CEK dimensi belum lengkap",IF(OR(C273&lt;=0,D273&lt;=0,E273&lt;=0),"CEK dimensi harus lebih dari 0",IF(COUNTIF($A$2:$A$500,A273)&gt;1,"CEK SKU dobel","OK")))))</f>
        <v/>
      </c>
    </row>
    <row r="274">
      <c r="A274" s="10" t="n"/>
      <c r="B274" s="12">
        <f>IF(A274="","",IFERROR(INDEX(DATA!$E$2:$E$500,MATCH(A274,DATA!$D$2:$D$500,0)),""))</f>
        <v/>
      </c>
      <c r="C274" s="10" t="n"/>
      <c r="D274" s="10" t="n"/>
      <c r="E274" s="10" t="n"/>
      <c r="F274" s="10" t="n"/>
      <c r="G274" s="10" t="n"/>
      <c r="H274" s="10" t="n"/>
      <c r="I274" s="10" t="n"/>
      <c r="J274" s="12">
        <f>IF(OR(A274="",COUNT(C274:E274)&lt;3),"",IFERROR(MAX(0,FLOOR(($N$2-$N$3)/E274,1))*MAX(1,MIN(IF(G274="",1,G274),FLOOR($N$4/D274,1)))*IF(F274="",1,F274),""))</f>
        <v/>
      </c>
      <c r="K274" s="12">
        <f>IF(A274="","",IF(COUNTIF(DATA!$D$2:$D$500,A274)=0,"CEK SKU tidak ada di DATA",IF(COUNT(C274:E274)&lt;3,"CEK dimensi belum lengkap",IF(OR(C274&lt;=0,D274&lt;=0,E274&lt;=0),"CEK dimensi harus lebih dari 0",IF(COUNTIF($A$2:$A$500,A274)&gt;1,"CEK SKU dobel","OK")))))</f>
        <v/>
      </c>
    </row>
    <row r="275">
      <c r="A275" s="10" t="n"/>
      <c r="B275" s="12">
        <f>IF(A275="","",IFERROR(INDEX(DATA!$E$2:$E$500,MATCH(A275,DATA!$D$2:$D$500,0)),""))</f>
        <v/>
      </c>
      <c r="C275" s="10" t="n"/>
      <c r="D275" s="10" t="n"/>
      <c r="E275" s="10" t="n"/>
      <c r="F275" s="10" t="n"/>
      <c r="G275" s="10" t="n"/>
      <c r="H275" s="10" t="n"/>
      <c r="I275" s="10" t="n"/>
      <c r="J275" s="12">
        <f>IF(OR(A275="",COUNT(C275:E275)&lt;3),"",IFERROR(MAX(0,FLOOR(($N$2-$N$3)/E275,1))*MAX(1,MIN(IF(G275="",1,G275),FLOOR($N$4/D275,1)))*IF(F275="",1,F275),""))</f>
        <v/>
      </c>
      <c r="K275" s="12">
        <f>IF(A275="","",IF(COUNTIF(DATA!$D$2:$D$500,A275)=0,"CEK SKU tidak ada di DATA",IF(COUNT(C275:E275)&lt;3,"CEK dimensi belum lengkap",IF(OR(C275&lt;=0,D275&lt;=0,E275&lt;=0),"CEK dimensi harus lebih dari 0",IF(COUNTIF($A$2:$A$500,A275)&gt;1,"CEK SKU dobel","OK")))))</f>
        <v/>
      </c>
    </row>
    <row r="276">
      <c r="A276" s="10" t="n"/>
      <c r="B276" s="12">
        <f>IF(A276="","",IFERROR(INDEX(DATA!$E$2:$E$500,MATCH(A276,DATA!$D$2:$D$500,0)),""))</f>
        <v/>
      </c>
      <c r="C276" s="10" t="n"/>
      <c r="D276" s="10" t="n"/>
      <c r="E276" s="10" t="n"/>
      <c r="F276" s="10" t="n"/>
      <c r="G276" s="10" t="n"/>
      <c r="H276" s="10" t="n"/>
      <c r="I276" s="10" t="n"/>
      <c r="J276" s="12">
        <f>IF(OR(A276="",COUNT(C276:E276)&lt;3),"",IFERROR(MAX(0,FLOOR(($N$2-$N$3)/E276,1))*MAX(1,MIN(IF(G276="",1,G276),FLOOR($N$4/D276,1)))*IF(F276="",1,F276),""))</f>
        <v/>
      </c>
      <c r="K276" s="12">
        <f>IF(A276="","",IF(COUNTIF(DATA!$D$2:$D$500,A276)=0,"CEK SKU tidak ada di DATA",IF(COUNT(C276:E276)&lt;3,"CEK dimensi belum lengkap",IF(OR(C276&lt;=0,D276&lt;=0,E276&lt;=0),"CEK dimensi harus lebih dari 0",IF(COUNTIF($A$2:$A$500,A276)&gt;1,"CEK SKU dobel","OK")))))</f>
        <v/>
      </c>
    </row>
    <row r="277">
      <c r="A277" s="10" t="n"/>
      <c r="B277" s="12">
        <f>IF(A277="","",IFERROR(INDEX(DATA!$E$2:$E$500,MATCH(A277,DATA!$D$2:$D$500,0)),""))</f>
        <v/>
      </c>
      <c r="C277" s="10" t="n"/>
      <c r="D277" s="10" t="n"/>
      <c r="E277" s="10" t="n"/>
      <c r="F277" s="10" t="n"/>
      <c r="G277" s="10" t="n"/>
      <c r="H277" s="10" t="n"/>
      <c r="I277" s="10" t="n"/>
      <c r="J277" s="12">
        <f>IF(OR(A277="",COUNT(C277:E277)&lt;3),"",IFERROR(MAX(0,FLOOR(($N$2-$N$3)/E277,1))*MAX(1,MIN(IF(G277="",1,G277),FLOOR($N$4/D277,1)))*IF(F277="",1,F277),""))</f>
        <v/>
      </c>
      <c r="K277" s="12">
        <f>IF(A277="","",IF(COUNTIF(DATA!$D$2:$D$500,A277)=0,"CEK SKU tidak ada di DATA",IF(COUNT(C277:E277)&lt;3,"CEK dimensi belum lengkap",IF(OR(C277&lt;=0,D277&lt;=0,E277&lt;=0),"CEK dimensi harus lebih dari 0",IF(COUNTIF($A$2:$A$500,A277)&gt;1,"CEK SKU dobel","OK")))))</f>
        <v/>
      </c>
    </row>
    <row r="278">
      <c r="A278" s="10" t="n"/>
      <c r="B278" s="12">
        <f>IF(A278="","",IFERROR(INDEX(DATA!$E$2:$E$500,MATCH(A278,DATA!$D$2:$D$500,0)),""))</f>
        <v/>
      </c>
      <c r="C278" s="10" t="n"/>
      <c r="D278" s="10" t="n"/>
      <c r="E278" s="10" t="n"/>
      <c r="F278" s="10" t="n"/>
      <c r="G278" s="10" t="n"/>
      <c r="H278" s="10" t="n"/>
      <c r="I278" s="10" t="n"/>
      <c r="J278" s="12">
        <f>IF(OR(A278="",COUNT(C278:E278)&lt;3),"",IFERROR(MAX(0,FLOOR(($N$2-$N$3)/E278,1))*MAX(1,MIN(IF(G278="",1,G278),FLOOR($N$4/D278,1)))*IF(F278="",1,F278),""))</f>
        <v/>
      </c>
      <c r="K278" s="12">
        <f>IF(A278="","",IF(COUNTIF(DATA!$D$2:$D$500,A278)=0,"CEK SKU tidak ada di DATA",IF(COUNT(C278:E278)&lt;3,"CEK dimensi belum lengkap",IF(OR(C278&lt;=0,D278&lt;=0,E278&lt;=0),"CEK dimensi harus lebih dari 0",IF(COUNTIF($A$2:$A$500,A278)&gt;1,"CEK SKU dobel","OK")))))</f>
        <v/>
      </c>
    </row>
    <row r="279">
      <c r="A279" s="10" t="n"/>
      <c r="B279" s="12">
        <f>IF(A279="","",IFERROR(INDEX(DATA!$E$2:$E$500,MATCH(A279,DATA!$D$2:$D$500,0)),""))</f>
        <v/>
      </c>
      <c r="C279" s="10" t="n"/>
      <c r="D279" s="10" t="n"/>
      <c r="E279" s="10" t="n"/>
      <c r="F279" s="10" t="n"/>
      <c r="G279" s="10" t="n"/>
      <c r="H279" s="10" t="n"/>
      <c r="I279" s="10" t="n"/>
      <c r="J279" s="12">
        <f>IF(OR(A279="",COUNT(C279:E279)&lt;3),"",IFERROR(MAX(0,FLOOR(($N$2-$N$3)/E279,1))*MAX(1,MIN(IF(G279="",1,G279),FLOOR($N$4/D279,1)))*IF(F279="",1,F279),""))</f>
        <v/>
      </c>
      <c r="K279" s="12">
        <f>IF(A279="","",IF(COUNTIF(DATA!$D$2:$D$500,A279)=0,"CEK SKU tidak ada di DATA",IF(COUNT(C279:E279)&lt;3,"CEK dimensi belum lengkap",IF(OR(C279&lt;=0,D279&lt;=0,E279&lt;=0),"CEK dimensi harus lebih dari 0",IF(COUNTIF($A$2:$A$500,A279)&gt;1,"CEK SKU dobel","OK")))))</f>
        <v/>
      </c>
    </row>
    <row r="280">
      <c r="A280" s="10" t="n"/>
      <c r="B280" s="12">
        <f>IF(A280="","",IFERROR(INDEX(DATA!$E$2:$E$500,MATCH(A280,DATA!$D$2:$D$500,0)),""))</f>
        <v/>
      </c>
      <c r="C280" s="10" t="n"/>
      <c r="D280" s="10" t="n"/>
      <c r="E280" s="10" t="n"/>
      <c r="F280" s="10" t="n"/>
      <c r="G280" s="10" t="n"/>
      <c r="H280" s="10" t="n"/>
      <c r="I280" s="10" t="n"/>
      <c r="J280" s="12">
        <f>IF(OR(A280="",COUNT(C280:E280)&lt;3),"",IFERROR(MAX(0,FLOOR(($N$2-$N$3)/E280,1))*MAX(1,MIN(IF(G280="",1,G280),FLOOR($N$4/D280,1)))*IF(F280="",1,F280),""))</f>
        <v/>
      </c>
      <c r="K280" s="12">
        <f>IF(A280="","",IF(COUNTIF(DATA!$D$2:$D$500,A280)=0,"CEK SKU tidak ada di DATA",IF(COUNT(C280:E280)&lt;3,"CEK dimensi belum lengkap",IF(OR(C280&lt;=0,D280&lt;=0,E280&lt;=0),"CEK dimensi harus lebih dari 0",IF(COUNTIF($A$2:$A$500,A280)&gt;1,"CEK SKU dobel","OK")))))</f>
        <v/>
      </c>
    </row>
    <row r="281">
      <c r="A281" s="10" t="n"/>
      <c r="B281" s="12">
        <f>IF(A281="","",IFERROR(INDEX(DATA!$E$2:$E$500,MATCH(A281,DATA!$D$2:$D$500,0)),""))</f>
        <v/>
      </c>
      <c r="C281" s="10" t="n"/>
      <c r="D281" s="10" t="n"/>
      <c r="E281" s="10" t="n"/>
      <c r="F281" s="10" t="n"/>
      <c r="G281" s="10" t="n"/>
      <c r="H281" s="10" t="n"/>
      <c r="I281" s="10" t="n"/>
      <c r="J281" s="12">
        <f>IF(OR(A281="",COUNT(C281:E281)&lt;3),"",IFERROR(MAX(0,FLOOR(($N$2-$N$3)/E281,1))*MAX(1,MIN(IF(G281="",1,G281),FLOOR($N$4/D281,1)))*IF(F281="",1,F281),""))</f>
        <v/>
      </c>
      <c r="K281" s="12">
        <f>IF(A281="","",IF(COUNTIF(DATA!$D$2:$D$500,A281)=0,"CEK SKU tidak ada di DATA",IF(COUNT(C281:E281)&lt;3,"CEK dimensi belum lengkap",IF(OR(C281&lt;=0,D281&lt;=0,E281&lt;=0),"CEK dimensi harus lebih dari 0",IF(COUNTIF($A$2:$A$500,A281)&gt;1,"CEK SKU dobel","OK")))))</f>
        <v/>
      </c>
    </row>
    <row r="282">
      <c r="A282" s="10" t="n"/>
      <c r="B282" s="12">
        <f>IF(A282="","",IFERROR(INDEX(DATA!$E$2:$E$500,MATCH(A282,DATA!$D$2:$D$500,0)),""))</f>
        <v/>
      </c>
      <c r="C282" s="10" t="n"/>
      <c r="D282" s="10" t="n"/>
      <c r="E282" s="10" t="n"/>
      <c r="F282" s="10" t="n"/>
      <c r="G282" s="10" t="n"/>
      <c r="H282" s="10" t="n"/>
      <c r="I282" s="10" t="n"/>
      <c r="J282" s="12">
        <f>IF(OR(A282="",COUNT(C282:E282)&lt;3),"",IFERROR(MAX(0,FLOOR(($N$2-$N$3)/E282,1))*MAX(1,MIN(IF(G282="",1,G282),FLOOR($N$4/D282,1)))*IF(F282="",1,F282),""))</f>
        <v/>
      </c>
      <c r="K282" s="12">
        <f>IF(A282="","",IF(COUNTIF(DATA!$D$2:$D$500,A282)=0,"CEK SKU tidak ada di DATA",IF(COUNT(C282:E282)&lt;3,"CEK dimensi belum lengkap",IF(OR(C282&lt;=0,D282&lt;=0,E282&lt;=0),"CEK dimensi harus lebih dari 0",IF(COUNTIF($A$2:$A$500,A282)&gt;1,"CEK SKU dobel","OK")))))</f>
        <v/>
      </c>
    </row>
    <row r="283">
      <c r="A283" s="10" t="n"/>
      <c r="B283" s="12">
        <f>IF(A283="","",IFERROR(INDEX(DATA!$E$2:$E$500,MATCH(A283,DATA!$D$2:$D$500,0)),""))</f>
        <v/>
      </c>
      <c r="C283" s="10" t="n"/>
      <c r="D283" s="10" t="n"/>
      <c r="E283" s="10" t="n"/>
      <c r="F283" s="10" t="n"/>
      <c r="G283" s="10" t="n"/>
      <c r="H283" s="10" t="n"/>
      <c r="I283" s="10" t="n"/>
      <c r="J283" s="12">
        <f>IF(OR(A283="",COUNT(C283:E283)&lt;3),"",IFERROR(MAX(0,FLOOR(($N$2-$N$3)/E283,1))*MAX(1,MIN(IF(G283="",1,G283),FLOOR($N$4/D283,1)))*IF(F283="",1,F283),""))</f>
        <v/>
      </c>
      <c r="K283" s="12">
        <f>IF(A283="","",IF(COUNTIF(DATA!$D$2:$D$500,A283)=0,"CEK SKU tidak ada di DATA",IF(COUNT(C283:E283)&lt;3,"CEK dimensi belum lengkap",IF(OR(C283&lt;=0,D283&lt;=0,E283&lt;=0),"CEK dimensi harus lebih dari 0",IF(COUNTIF($A$2:$A$500,A283)&gt;1,"CEK SKU dobel","OK")))))</f>
        <v/>
      </c>
    </row>
    <row r="284">
      <c r="A284" s="10" t="n"/>
      <c r="B284" s="12">
        <f>IF(A284="","",IFERROR(INDEX(DATA!$E$2:$E$500,MATCH(A284,DATA!$D$2:$D$500,0)),""))</f>
        <v/>
      </c>
      <c r="C284" s="10" t="n"/>
      <c r="D284" s="10" t="n"/>
      <c r="E284" s="10" t="n"/>
      <c r="F284" s="10" t="n"/>
      <c r="G284" s="10" t="n"/>
      <c r="H284" s="10" t="n"/>
      <c r="I284" s="10" t="n"/>
      <c r="J284" s="12">
        <f>IF(OR(A284="",COUNT(C284:E284)&lt;3),"",IFERROR(MAX(0,FLOOR(($N$2-$N$3)/E284,1))*MAX(1,MIN(IF(G284="",1,G284),FLOOR($N$4/D284,1)))*IF(F284="",1,F284),""))</f>
        <v/>
      </c>
      <c r="K284" s="12">
        <f>IF(A284="","",IF(COUNTIF(DATA!$D$2:$D$500,A284)=0,"CEK SKU tidak ada di DATA",IF(COUNT(C284:E284)&lt;3,"CEK dimensi belum lengkap",IF(OR(C284&lt;=0,D284&lt;=0,E284&lt;=0),"CEK dimensi harus lebih dari 0",IF(COUNTIF($A$2:$A$500,A284)&gt;1,"CEK SKU dobel","OK")))))</f>
        <v/>
      </c>
    </row>
    <row r="285">
      <c r="A285" s="10" t="n"/>
      <c r="B285" s="12">
        <f>IF(A285="","",IFERROR(INDEX(DATA!$E$2:$E$500,MATCH(A285,DATA!$D$2:$D$500,0)),""))</f>
        <v/>
      </c>
      <c r="C285" s="10" t="n"/>
      <c r="D285" s="10" t="n"/>
      <c r="E285" s="10" t="n"/>
      <c r="F285" s="10" t="n"/>
      <c r="G285" s="10" t="n"/>
      <c r="H285" s="10" t="n"/>
      <c r="I285" s="10" t="n"/>
      <c r="J285" s="12">
        <f>IF(OR(A285="",COUNT(C285:E285)&lt;3),"",IFERROR(MAX(0,FLOOR(($N$2-$N$3)/E285,1))*MAX(1,MIN(IF(G285="",1,G285),FLOOR($N$4/D285,1)))*IF(F285="",1,F285),""))</f>
        <v/>
      </c>
      <c r="K285" s="12">
        <f>IF(A285="","",IF(COUNTIF(DATA!$D$2:$D$500,A285)=0,"CEK SKU tidak ada di DATA",IF(COUNT(C285:E285)&lt;3,"CEK dimensi belum lengkap",IF(OR(C285&lt;=0,D285&lt;=0,E285&lt;=0),"CEK dimensi harus lebih dari 0",IF(COUNTIF($A$2:$A$500,A285)&gt;1,"CEK SKU dobel","OK")))))</f>
        <v/>
      </c>
    </row>
    <row r="286">
      <c r="A286" s="10" t="n"/>
      <c r="B286" s="12">
        <f>IF(A286="","",IFERROR(INDEX(DATA!$E$2:$E$500,MATCH(A286,DATA!$D$2:$D$500,0)),""))</f>
        <v/>
      </c>
      <c r="C286" s="10" t="n"/>
      <c r="D286" s="10" t="n"/>
      <c r="E286" s="10" t="n"/>
      <c r="F286" s="10" t="n"/>
      <c r="G286" s="10" t="n"/>
      <c r="H286" s="10" t="n"/>
      <c r="I286" s="10" t="n"/>
      <c r="J286" s="12">
        <f>IF(OR(A286="",COUNT(C286:E286)&lt;3),"",IFERROR(MAX(0,FLOOR(($N$2-$N$3)/E286,1))*MAX(1,MIN(IF(G286="",1,G286),FLOOR($N$4/D286,1)))*IF(F286="",1,F286),""))</f>
        <v/>
      </c>
      <c r="K286" s="12">
        <f>IF(A286="","",IF(COUNTIF(DATA!$D$2:$D$500,A286)=0,"CEK SKU tidak ada di DATA",IF(COUNT(C286:E286)&lt;3,"CEK dimensi belum lengkap",IF(OR(C286&lt;=0,D286&lt;=0,E286&lt;=0),"CEK dimensi harus lebih dari 0",IF(COUNTIF($A$2:$A$500,A286)&gt;1,"CEK SKU dobel","OK")))))</f>
        <v/>
      </c>
    </row>
    <row r="287">
      <c r="A287" s="10" t="n"/>
      <c r="B287" s="12">
        <f>IF(A287="","",IFERROR(INDEX(DATA!$E$2:$E$500,MATCH(A287,DATA!$D$2:$D$500,0)),""))</f>
        <v/>
      </c>
      <c r="C287" s="10" t="n"/>
      <c r="D287" s="10" t="n"/>
      <c r="E287" s="10" t="n"/>
      <c r="F287" s="10" t="n"/>
      <c r="G287" s="10" t="n"/>
      <c r="H287" s="10" t="n"/>
      <c r="I287" s="10" t="n"/>
      <c r="J287" s="12">
        <f>IF(OR(A287="",COUNT(C287:E287)&lt;3),"",IFERROR(MAX(0,FLOOR(($N$2-$N$3)/E287,1))*MAX(1,MIN(IF(G287="",1,G287),FLOOR($N$4/D287,1)))*IF(F287="",1,F287),""))</f>
        <v/>
      </c>
      <c r="K287" s="12">
        <f>IF(A287="","",IF(COUNTIF(DATA!$D$2:$D$500,A287)=0,"CEK SKU tidak ada di DATA",IF(COUNT(C287:E287)&lt;3,"CEK dimensi belum lengkap",IF(OR(C287&lt;=0,D287&lt;=0,E287&lt;=0),"CEK dimensi harus lebih dari 0",IF(COUNTIF($A$2:$A$500,A287)&gt;1,"CEK SKU dobel","OK")))))</f>
        <v/>
      </c>
    </row>
    <row r="288">
      <c r="A288" s="10" t="n"/>
      <c r="B288" s="12">
        <f>IF(A288="","",IFERROR(INDEX(DATA!$E$2:$E$500,MATCH(A288,DATA!$D$2:$D$500,0)),""))</f>
        <v/>
      </c>
      <c r="C288" s="10" t="n"/>
      <c r="D288" s="10" t="n"/>
      <c r="E288" s="10" t="n"/>
      <c r="F288" s="10" t="n"/>
      <c r="G288" s="10" t="n"/>
      <c r="H288" s="10" t="n"/>
      <c r="I288" s="10" t="n"/>
      <c r="J288" s="12">
        <f>IF(OR(A288="",COUNT(C288:E288)&lt;3),"",IFERROR(MAX(0,FLOOR(($N$2-$N$3)/E288,1))*MAX(1,MIN(IF(G288="",1,G288),FLOOR($N$4/D288,1)))*IF(F288="",1,F288),""))</f>
        <v/>
      </c>
      <c r="K288" s="12">
        <f>IF(A288="","",IF(COUNTIF(DATA!$D$2:$D$500,A288)=0,"CEK SKU tidak ada di DATA",IF(COUNT(C288:E288)&lt;3,"CEK dimensi belum lengkap",IF(OR(C288&lt;=0,D288&lt;=0,E288&lt;=0),"CEK dimensi harus lebih dari 0",IF(COUNTIF($A$2:$A$500,A288)&gt;1,"CEK SKU dobel","OK")))))</f>
        <v/>
      </c>
    </row>
    <row r="289">
      <c r="A289" s="10" t="n"/>
      <c r="B289" s="12">
        <f>IF(A289="","",IFERROR(INDEX(DATA!$E$2:$E$500,MATCH(A289,DATA!$D$2:$D$500,0)),""))</f>
        <v/>
      </c>
      <c r="C289" s="10" t="n"/>
      <c r="D289" s="10" t="n"/>
      <c r="E289" s="10" t="n"/>
      <c r="F289" s="10" t="n"/>
      <c r="G289" s="10" t="n"/>
      <c r="H289" s="10" t="n"/>
      <c r="I289" s="10" t="n"/>
      <c r="J289" s="12">
        <f>IF(OR(A289="",COUNT(C289:E289)&lt;3),"",IFERROR(MAX(0,FLOOR(($N$2-$N$3)/E289,1))*MAX(1,MIN(IF(G289="",1,G289),FLOOR($N$4/D289,1)))*IF(F289="",1,F289),""))</f>
        <v/>
      </c>
      <c r="K289" s="12">
        <f>IF(A289="","",IF(COUNTIF(DATA!$D$2:$D$500,A289)=0,"CEK SKU tidak ada di DATA",IF(COUNT(C289:E289)&lt;3,"CEK dimensi belum lengkap",IF(OR(C289&lt;=0,D289&lt;=0,E289&lt;=0),"CEK dimensi harus lebih dari 0",IF(COUNTIF($A$2:$A$500,A289)&gt;1,"CEK SKU dobel","OK")))))</f>
        <v/>
      </c>
    </row>
    <row r="290">
      <c r="A290" s="10" t="n"/>
      <c r="B290" s="12">
        <f>IF(A290="","",IFERROR(INDEX(DATA!$E$2:$E$500,MATCH(A290,DATA!$D$2:$D$500,0)),""))</f>
        <v/>
      </c>
      <c r="C290" s="10" t="n"/>
      <c r="D290" s="10" t="n"/>
      <c r="E290" s="10" t="n"/>
      <c r="F290" s="10" t="n"/>
      <c r="G290" s="10" t="n"/>
      <c r="H290" s="10" t="n"/>
      <c r="I290" s="10" t="n"/>
      <c r="J290" s="12">
        <f>IF(OR(A290="",COUNT(C290:E290)&lt;3),"",IFERROR(MAX(0,FLOOR(($N$2-$N$3)/E290,1))*MAX(1,MIN(IF(G290="",1,G290),FLOOR($N$4/D290,1)))*IF(F290="",1,F290),""))</f>
        <v/>
      </c>
      <c r="K290" s="12">
        <f>IF(A290="","",IF(COUNTIF(DATA!$D$2:$D$500,A290)=0,"CEK SKU tidak ada di DATA",IF(COUNT(C290:E290)&lt;3,"CEK dimensi belum lengkap",IF(OR(C290&lt;=0,D290&lt;=0,E290&lt;=0),"CEK dimensi harus lebih dari 0",IF(COUNTIF($A$2:$A$500,A290)&gt;1,"CEK SKU dobel","OK")))))</f>
        <v/>
      </c>
    </row>
    <row r="291">
      <c r="A291" s="10" t="n"/>
      <c r="B291" s="12">
        <f>IF(A291="","",IFERROR(INDEX(DATA!$E$2:$E$500,MATCH(A291,DATA!$D$2:$D$500,0)),""))</f>
        <v/>
      </c>
      <c r="C291" s="10" t="n"/>
      <c r="D291" s="10" t="n"/>
      <c r="E291" s="10" t="n"/>
      <c r="F291" s="10" t="n"/>
      <c r="G291" s="10" t="n"/>
      <c r="H291" s="10" t="n"/>
      <c r="I291" s="10" t="n"/>
      <c r="J291" s="12">
        <f>IF(OR(A291="",COUNT(C291:E291)&lt;3),"",IFERROR(MAX(0,FLOOR(($N$2-$N$3)/E291,1))*MAX(1,MIN(IF(G291="",1,G291),FLOOR($N$4/D291,1)))*IF(F291="",1,F291),""))</f>
        <v/>
      </c>
      <c r="K291" s="12">
        <f>IF(A291="","",IF(COUNTIF(DATA!$D$2:$D$500,A291)=0,"CEK SKU tidak ada di DATA",IF(COUNT(C291:E291)&lt;3,"CEK dimensi belum lengkap",IF(OR(C291&lt;=0,D291&lt;=0,E291&lt;=0),"CEK dimensi harus lebih dari 0",IF(COUNTIF($A$2:$A$500,A291)&gt;1,"CEK SKU dobel","OK")))))</f>
        <v/>
      </c>
    </row>
    <row r="292">
      <c r="A292" s="10" t="n"/>
      <c r="B292" s="12">
        <f>IF(A292="","",IFERROR(INDEX(DATA!$E$2:$E$500,MATCH(A292,DATA!$D$2:$D$500,0)),""))</f>
        <v/>
      </c>
      <c r="C292" s="10" t="n"/>
      <c r="D292" s="10" t="n"/>
      <c r="E292" s="10" t="n"/>
      <c r="F292" s="10" t="n"/>
      <c r="G292" s="10" t="n"/>
      <c r="H292" s="10" t="n"/>
      <c r="I292" s="10" t="n"/>
      <c r="J292" s="12">
        <f>IF(OR(A292="",COUNT(C292:E292)&lt;3),"",IFERROR(MAX(0,FLOOR(($N$2-$N$3)/E292,1))*MAX(1,MIN(IF(G292="",1,G292),FLOOR($N$4/D292,1)))*IF(F292="",1,F292),""))</f>
        <v/>
      </c>
      <c r="K292" s="12">
        <f>IF(A292="","",IF(COUNTIF(DATA!$D$2:$D$500,A292)=0,"CEK SKU tidak ada di DATA",IF(COUNT(C292:E292)&lt;3,"CEK dimensi belum lengkap",IF(OR(C292&lt;=0,D292&lt;=0,E292&lt;=0),"CEK dimensi harus lebih dari 0",IF(COUNTIF($A$2:$A$500,A292)&gt;1,"CEK SKU dobel","OK")))))</f>
        <v/>
      </c>
    </row>
    <row r="293">
      <c r="A293" s="10" t="n"/>
      <c r="B293" s="12">
        <f>IF(A293="","",IFERROR(INDEX(DATA!$E$2:$E$500,MATCH(A293,DATA!$D$2:$D$500,0)),""))</f>
        <v/>
      </c>
      <c r="C293" s="10" t="n"/>
      <c r="D293" s="10" t="n"/>
      <c r="E293" s="10" t="n"/>
      <c r="F293" s="10" t="n"/>
      <c r="G293" s="10" t="n"/>
      <c r="H293" s="10" t="n"/>
      <c r="I293" s="10" t="n"/>
      <c r="J293" s="12">
        <f>IF(OR(A293="",COUNT(C293:E293)&lt;3),"",IFERROR(MAX(0,FLOOR(($N$2-$N$3)/E293,1))*MAX(1,MIN(IF(G293="",1,G293),FLOOR($N$4/D293,1)))*IF(F293="",1,F293),""))</f>
        <v/>
      </c>
      <c r="K293" s="12">
        <f>IF(A293="","",IF(COUNTIF(DATA!$D$2:$D$500,A293)=0,"CEK SKU tidak ada di DATA",IF(COUNT(C293:E293)&lt;3,"CEK dimensi belum lengkap",IF(OR(C293&lt;=0,D293&lt;=0,E293&lt;=0),"CEK dimensi harus lebih dari 0",IF(COUNTIF($A$2:$A$500,A293)&gt;1,"CEK SKU dobel","OK")))))</f>
        <v/>
      </c>
    </row>
    <row r="294">
      <c r="A294" s="10" t="n"/>
      <c r="B294" s="12">
        <f>IF(A294="","",IFERROR(INDEX(DATA!$E$2:$E$500,MATCH(A294,DATA!$D$2:$D$500,0)),""))</f>
        <v/>
      </c>
      <c r="C294" s="10" t="n"/>
      <c r="D294" s="10" t="n"/>
      <c r="E294" s="10" t="n"/>
      <c r="F294" s="10" t="n"/>
      <c r="G294" s="10" t="n"/>
      <c r="H294" s="10" t="n"/>
      <c r="I294" s="10" t="n"/>
      <c r="J294" s="12">
        <f>IF(OR(A294="",COUNT(C294:E294)&lt;3),"",IFERROR(MAX(0,FLOOR(($N$2-$N$3)/E294,1))*MAX(1,MIN(IF(G294="",1,G294),FLOOR($N$4/D294,1)))*IF(F294="",1,F294),""))</f>
        <v/>
      </c>
      <c r="K294" s="12">
        <f>IF(A294="","",IF(COUNTIF(DATA!$D$2:$D$500,A294)=0,"CEK SKU tidak ada di DATA",IF(COUNT(C294:E294)&lt;3,"CEK dimensi belum lengkap",IF(OR(C294&lt;=0,D294&lt;=0,E294&lt;=0),"CEK dimensi harus lebih dari 0",IF(COUNTIF($A$2:$A$500,A294)&gt;1,"CEK SKU dobel","OK")))))</f>
        <v/>
      </c>
    </row>
    <row r="295">
      <c r="A295" s="10" t="n"/>
      <c r="B295" s="12">
        <f>IF(A295="","",IFERROR(INDEX(DATA!$E$2:$E$500,MATCH(A295,DATA!$D$2:$D$500,0)),""))</f>
        <v/>
      </c>
      <c r="C295" s="10" t="n"/>
      <c r="D295" s="10" t="n"/>
      <c r="E295" s="10" t="n"/>
      <c r="F295" s="10" t="n"/>
      <c r="G295" s="10" t="n"/>
      <c r="H295" s="10" t="n"/>
      <c r="I295" s="10" t="n"/>
      <c r="J295" s="12">
        <f>IF(OR(A295="",COUNT(C295:E295)&lt;3),"",IFERROR(MAX(0,FLOOR(($N$2-$N$3)/E295,1))*MAX(1,MIN(IF(G295="",1,G295),FLOOR($N$4/D295,1)))*IF(F295="",1,F295),""))</f>
        <v/>
      </c>
      <c r="K295" s="12">
        <f>IF(A295="","",IF(COUNTIF(DATA!$D$2:$D$500,A295)=0,"CEK SKU tidak ada di DATA",IF(COUNT(C295:E295)&lt;3,"CEK dimensi belum lengkap",IF(OR(C295&lt;=0,D295&lt;=0,E295&lt;=0),"CEK dimensi harus lebih dari 0",IF(COUNTIF($A$2:$A$500,A295)&gt;1,"CEK SKU dobel","OK")))))</f>
        <v/>
      </c>
    </row>
    <row r="296">
      <c r="A296" s="10" t="n"/>
      <c r="B296" s="12">
        <f>IF(A296="","",IFERROR(INDEX(DATA!$E$2:$E$500,MATCH(A296,DATA!$D$2:$D$500,0)),""))</f>
        <v/>
      </c>
      <c r="C296" s="10" t="n"/>
      <c r="D296" s="10" t="n"/>
      <c r="E296" s="10" t="n"/>
      <c r="F296" s="10" t="n"/>
      <c r="G296" s="10" t="n"/>
      <c r="H296" s="10" t="n"/>
      <c r="I296" s="10" t="n"/>
      <c r="J296" s="12">
        <f>IF(OR(A296="",COUNT(C296:E296)&lt;3),"",IFERROR(MAX(0,FLOOR(($N$2-$N$3)/E296,1))*MAX(1,MIN(IF(G296="",1,G296),FLOOR($N$4/D296,1)))*IF(F296="",1,F296),""))</f>
        <v/>
      </c>
      <c r="K296" s="12">
        <f>IF(A296="","",IF(COUNTIF(DATA!$D$2:$D$500,A296)=0,"CEK SKU tidak ada di DATA",IF(COUNT(C296:E296)&lt;3,"CEK dimensi belum lengkap",IF(OR(C296&lt;=0,D296&lt;=0,E296&lt;=0),"CEK dimensi harus lebih dari 0",IF(COUNTIF($A$2:$A$500,A296)&gt;1,"CEK SKU dobel","OK")))))</f>
        <v/>
      </c>
    </row>
    <row r="297">
      <c r="A297" s="10" t="n"/>
      <c r="B297" s="12">
        <f>IF(A297="","",IFERROR(INDEX(DATA!$E$2:$E$500,MATCH(A297,DATA!$D$2:$D$500,0)),""))</f>
        <v/>
      </c>
      <c r="C297" s="10" t="n"/>
      <c r="D297" s="10" t="n"/>
      <c r="E297" s="10" t="n"/>
      <c r="F297" s="10" t="n"/>
      <c r="G297" s="10" t="n"/>
      <c r="H297" s="10" t="n"/>
      <c r="I297" s="10" t="n"/>
      <c r="J297" s="12">
        <f>IF(OR(A297="",COUNT(C297:E297)&lt;3),"",IFERROR(MAX(0,FLOOR(($N$2-$N$3)/E297,1))*MAX(1,MIN(IF(G297="",1,G297),FLOOR($N$4/D297,1)))*IF(F297="",1,F297),""))</f>
        <v/>
      </c>
      <c r="K297" s="12">
        <f>IF(A297="","",IF(COUNTIF(DATA!$D$2:$D$500,A297)=0,"CEK SKU tidak ada di DATA",IF(COUNT(C297:E297)&lt;3,"CEK dimensi belum lengkap",IF(OR(C297&lt;=0,D297&lt;=0,E297&lt;=0),"CEK dimensi harus lebih dari 0",IF(COUNTIF($A$2:$A$500,A297)&gt;1,"CEK SKU dobel","OK")))))</f>
        <v/>
      </c>
    </row>
    <row r="298">
      <c r="A298" s="10" t="n"/>
      <c r="B298" s="12">
        <f>IF(A298="","",IFERROR(INDEX(DATA!$E$2:$E$500,MATCH(A298,DATA!$D$2:$D$500,0)),""))</f>
        <v/>
      </c>
      <c r="C298" s="10" t="n"/>
      <c r="D298" s="10" t="n"/>
      <c r="E298" s="10" t="n"/>
      <c r="F298" s="10" t="n"/>
      <c r="G298" s="10" t="n"/>
      <c r="H298" s="10" t="n"/>
      <c r="I298" s="10" t="n"/>
      <c r="J298" s="12">
        <f>IF(OR(A298="",COUNT(C298:E298)&lt;3),"",IFERROR(MAX(0,FLOOR(($N$2-$N$3)/E298,1))*MAX(1,MIN(IF(G298="",1,G298),FLOOR($N$4/D298,1)))*IF(F298="",1,F298),""))</f>
        <v/>
      </c>
      <c r="K298" s="12">
        <f>IF(A298="","",IF(COUNTIF(DATA!$D$2:$D$500,A298)=0,"CEK SKU tidak ada di DATA",IF(COUNT(C298:E298)&lt;3,"CEK dimensi belum lengkap",IF(OR(C298&lt;=0,D298&lt;=0,E298&lt;=0),"CEK dimensi harus lebih dari 0",IF(COUNTIF($A$2:$A$500,A298)&gt;1,"CEK SKU dobel","OK")))))</f>
        <v/>
      </c>
    </row>
    <row r="299">
      <c r="A299" s="10" t="n"/>
      <c r="B299" s="12">
        <f>IF(A299="","",IFERROR(INDEX(DATA!$E$2:$E$500,MATCH(A299,DATA!$D$2:$D$500,0)),""))</f>
        <v/>
      </c>
      <c r="C299" s="10" t="n"/>
      <c r="D299" s="10" t="n"/>
      <c r="E299" s="10" t="n"/>
      <c r="F299" s="10" t="n"/>
      <c r="G299" s="10" t="n"/>
      <c r="H299" s="10" t="n"/>
      <c r="I299" s="10" t="n"/>
      <c r="J299" s="12">
        <f>IF(OR(A299="",COUNT(C299:E299)&lt;3),"",IFERROR(MAX(0,FLOOR(($N$2-$N$3)/E299,1))*MAX(1,MIN(IF(G299="",1,G299),FLOOR($N$4/D299,1)))*IF(F299="",1,F299),""))</f>
        <v/>
      </c>
      <c r="K299" s="12">
        <f>IF(A299="","",IF(COUNTIF(DATA!$D$2:$D$500,A299)=0,"CEK SKU tidak ada di DATA",IF(COUNT(C299:E299)&lt;3,"CEK dimensi belum lengkap",IF(OR(C299&lt;=0,D299&lt;=0,E299&lt;=0),"CEK dimensi harus lebih dari 0",IF(COUNTIF($A$2:$A$500,A299)&gt;1,"CEK SKU dobel","OK")))))</f>
        <v/>
      </c>
    </row>
    <row r="300">
      <c r="A300" s="10" t="n"/>
      <c r="B300" s="12">
        <f>IF(A300="","",IFERROR(INDEX(DATA!$E$2:$E$500,MATCH(A300,DATA!$D$2:$D$500,0)),""))</f>
        <v/>
      </c>
      <c r="C300" s="10" t="n"/>
      <c r="D300" s="10" t="n"/>
      <c r="E300" s="10" t="n"/>
      <c r="F300" s="10" t="n"/>
      <c r="G300" s="10" t="n"/>
      <c r="H300" s="10" t="n"/>
      <c r="I300" s="10" t="n"/>
      <c r="J300" s="12">
        <f>IF(OR(A300="",COUNT(C300:E300)&lt;3),"",IFERROR(MAX(0,FLOOR(($N$2-$N$3)/E300,1))*MAX(1,MIN(IF(G300="",1,G300),FLOOR($N$4/D300,1)))*IF(F300="",1,F300),""))</f>
        <v/>
      </c>
      <c r="K300" s="12">
        <f>IF(A300="","",IF(COUNTIF(DATA!$D$2:$D$500,A300)=0,"CEK SKU tidak ada di DATA",IF(COUNT(C300:E300)&lt;3,"CEK dimensi belum lengkap",IF(OR(C300&lt;=0,D300&lt;=0,E300&lt;=0),"CEK dimensi harus lebih dari 0",IF(COUNTIF($A$2:$A$500,A300)&gt;1,"CEK SKU dobel","OK")))))</f>
        <v/>
      </c>
    </row>
    <row r="301">
      <c r="A301" s="10" t="n"/>
      <c r="B301" s="12">
        <f>IF(A301="","",IFERROR(INDEX(DATA!$E$2:$E$500,MATCH(A301,DATA!$D$2:$D$500,0)),""))</f>
        <v/>
      </c>
      <c r="C301" s="10" t="n"/>
      <c r="D301" s="10" t="n"/>
      <c r="E301" s="10" t="n"/>
      <c r="F301" s="10" t="n"/>
      <c r="G301" s="10" t="n"/>
      <c r="H301" s="10" t="n"/>
      <c r="I301" s="10" t="n"/>
      <c r="J301" s="12">
        <f>IF(OR(A301="",COUNT(C301:E301)&lt;3),"",IFERROR(MAX(0,FLOOR(($N$2-$N$3)/E301,1))*MAX(1,MIN(IF(G301="",1,G301),FLOOR($N$4/D301,1)))*IF(F301="",1,F301),""))</f>
        <v/>
      </c>
      <c r="K301" s="12">
        <f>IF(A301="","",IF(COUNTIF(DATA!$D$2:$D$500,A301)=0,"CEK SKU tidak ada di DATA",IF(COUNT(C301:E301)&lt;3,"CEK dimensi belum lengkap",IF(OR(C301&lt;=0,D301&lt;=0,E301&lt;=0),"CEK dimensi harus lebih dari 0",IF(COUNTIF($A$2:$A$500,A301)&gt;1,"CEK SKU dobel","OK")))))</f>
        <v/>
      </c>
    </row>
    <row r="302">
      <c r="A302" s="10" t="n"/>
      <c r="B302" s="12">
        <f>IF(A302="","",IFERROR(INDEX(DATA!$E$2:$E$500,MATCH(A302,DATA!$D$2:$D$500,0)),""))</f>
        <v/>
      </c>
      <c r="C302" s="10" t="n"/>
      <c r="D302" s="10" t="n"/>
      <c r="E302" s="10" t="n"/>
      <c r="F302" s="10" t="n"/>
      <c r="G302" s="10" t="n"/>
      <c r="H302" s="10" t="n"/>
      <c r="I302" s="10" t="n"/>
      <c r="J302" s="12">
        <f>IF(OR(A302="",COUNT(C302:E302)&lt;3),"",IFERROR(MAX(0,FLOOR(($N$2-$N$3)/E302,1))*MAX(1,MIN(IF(G302="",1,G302),FLOOR($N$4/D302,1)))*IF(F302="",1,F302),""))</f>
        <v/>
      </c>
      <c r="K302" s="12">
        <f>IF(A302="","",IF(COUNTIF(DATA!$D$2:$D$500,A302)=0,"CEK SKU tidak ada di DATA",IF(COUNT(C302:E302)&lt;3,"CEK dimensi belum lengkap",IF(OR(C302&lt;=0,D302&lt;=0,E302&lt;=0),"CEK dimensi harus lebih dari 0",IF(COUNTIF($A$2:$A$500,A302)&gt;1,"CEK SKU dobel","OK")))))</f>
        <v/>
      </c>
    </row>
    <row r="303">
      <c r="A303" s="10" t="n"/>
      <c r="B303" s="12">
        <f>IF(A303="","",IFERROR(INDEX(DATA!$E$2:$E$500,MATCH(A303,DATA!$D$2:$D$500,0)),""))</f>
        <v/>
      </c>
      <c r="C303" s="10" t="n"/>
      <c r="D303" s="10" t="n"/>
      <c r="E303" s="10" t="n"/>
      <c r="F303" s="10" t="n"/>
      <c r="G303" s="10" t="n"/>
      <c r="H303" s="10" t="n"/>
      <c r="I303" s="10" t="n"/>
      <c r="J303" s="12">
        <f>IF(OR(A303="",COUNT(C303:E303)&lt;3),"",IFERROR(MAX(0,FLOOR(($N$2-$N$3)/E303,1))*MAX(1,MIN(IF(G303="",1,G303),FLOOR($N$4/D303,1)))*IF(F303="",1,F303),""))</f>
        <v/>
      </c>
      <c r="K303" s="12">
        <f>IF(A303="","",IF(COUNTIF(DATA!$D$2:$D$500,A303)=0,"CEK SKU tidak ada di DATA",IF(COUNT(C303:E303)&lt;3,"CEK dimensi belum lengkap",IF(OR(C303&lt;=0,D303&lt;=0,E303&lt;=0),"CEK dimensi harus lebih dari 0",IF(COUNTIF($A$2:$A$500,A303)&gt;1,"CEK SKU dobel","OK")))))</f>
        <v/>
      </c>
    </row>
    <row r="304">
      <c r="A304" s="10" t="n"/>
      <c r="B304" s="12">
        <f>IF(A304="","",IFERROR(INDEX(DATA!$E$2:$E$500,MATCH(A304,DATA!$D$2:$D$500,0)),""))</f>
        <v/>
      </c>
      <c r="C304" s="10" t="n"/>
      <c r="D304" s="10" t="n"/>
      <c r="E304" s="10" t="n"/>
      <c r="F304" s="10" t="n"/>
      <c r="G304" s="10" t="n"/>
      <c r="H304" s="10" t="n"/>
      <c r="I304" s="10" t="n"/>
      <c r="J304" s="12">
        <f>IF(OR(A304="",COUNT(C304:E304)&lt;3),"",IFERROR(MAX(0,FLOOR(($N$2-$N$3)/E304,1))*MAX(1,MIN(IF(G304="",1,G304),FLOOR($N$4/D304,1)))*IF(F304="",1,F304),""))</f>
        <v/>
      </c>
      <c r="K304" s="12">
        <f>IF(A304="","",IF(COUNTIF(DATA!$D$2:$D$500,A304)=0,"CEK SKU tidak ada di DATA",IF(COUNT(C304:E304)&lt;3,"CEK dimensi belum lengkap",IF(OR(C304&lt;=0,D304&lt;=0,E304&lt;=0),"CEK dimensi harus lebih dari 0",IF(COUNTIF($A$2:$A$500,A304)&gt;1,"CEK SKU dobel","OK")))))</f>
        <v/>
      </c>
    </row>
    <row r="305">
      <c r="A305" s="10" t="n"/>
      <c r="B305" s="12">
        <f>IF(A305="","",IFERROR(INDEX(DATA!$E$2:$E$500,MATCH(A305,DATA!$D$2:$D$500,0)),""))</f>
        <v/>
      </c>
      <c r="C305" s="10" t="n"/>
      <c r="D305" s="10" t="n"/>
      <c r="E305" s="10" t="n"/>
      <c r="F305" s="10" t="n"/>
      <c r="G305" s="10" t="n"/>
      <c r="H305" s="10" t="n"/>
      <c r="I305" s="10" t="n"/>
      <c r="J305" s="12">
        <f>IF(OR(A305="",COUNT(C305:E305)&lt;3),"",IFERROR(MAX(0,FLOOR(($N$2-$N$3)/E305,1))*MAX(1,MIN(IF(G305="",1,G305),FLOOR($N$4/D305,1)))*IF(F305="",1,F305),""))</f>
        <v/>
      </c>
      <c r="K305" s="12">
        <f>IF(A305="","",IF(COUNTIF(DATA!$D$2:$D$500,A305)=0,"CEK SKU tidak ada di DATA",IF(COUNT(C305:E305)&lt;3,"CEK dimensi belum lengkap",IF(OR(C305&lt;=0,D305&lt;=0,E305&lt;=0),"CEK dimensi harus lebih dari 0",IF(COUNTIF($A$2:$A$500,A305)&gt;1,"CEK SKU dobel","OK")))))</f>
        <v/>
      </c>
    </row>
    <row r="306">
      <c r="A306" s="10" t="n"/>
      <c r="B306" s="12">
        <f>IF(A306="","",IFERROR(INDEX(DATA!$E$2:$E$500,MATCH(A306,DATA!$D$2:$D$500,0)),""))</f>
        <v/>
      </c>
      <c r="C306" s="10" t="n"/>
      <c r="D306" s="10" t="n"/>
      <c r="E306" s="10" t="n"/>
      <c r="F306" s="10" t="n"/>
      <c r="G306" s="10" t="n"/>
      <c r="H306" s="10" t="n"/>
      <c r="I306" s="10" t="n"/>
      <c r="J306" s="12">
        <f>IF(OR(A306="",COUNT(C306:E306)&lt;3),"",IFERROR(MAX(0,FLOOR(($N$2-$N$3)/E306,1))*MAX(1,MIN(IF(G306="",1,G306),FLOOR($N$4/D306,1)))*IF(F306="",1,F306),""))</f>
        <v/>
      </c>
      <c r="K306" s="12">
        <f>IF(A306="","",IF(COUNTIF(DATA!$D$2:$D$500,A306)=0,"CEK SKU tidak ada di DATA",IF(COUNT(C306:E306)&lt;3,"CEK dimensi belum lengkap",IF(OR(C306&lt;=0,D306&lt;=0,E306&lt;=0),"CEK dimensi harus lebih dari 0",IF(COUNTIF($A$2:$A$500,A306)&gt;1,"CEK SKU dobel","OK")))))</f>
        <v/>
      </c>
    </row>
    <row r="307">
      <c r="A307" s="10" t="n"/>
      <c r="B307" s="12">
        <f>IF(A307="","",IFERROR(INDEX(DATA!$E$2:$E$500,MATCH(A307,DATA!$D$2:$D$500,0)),""))</f>
        <v/>
      </c>
      <c r="C307" s="10" t="n"/>
      <c r="D307" s="10" t="n"/>
      <c r="E307" s="10" t="n"/>
      <c r="F307" s="10" t="n"/>
      <c r="G307" s="10" t="n"/>
      <c r="H307" s="10" t="n"/>
      <c r="I307" s="10" t="n"/>
      <c r="J307" s="12">
        <f>IF(OR(A307="",COUNT(C307:E307)&lt;3),"",IFERROR(MAX(0,FLOOR(($N$2-$N$3)/E307,1))*MAX(1,MIN(IF(G307="",1,G307),FLOOR($N$4/D307,1)))*IF(F307="",1,F307),""))</f>
        <v/>
      </c>
      <c r="K307" s="12">
        <f>IF(A307="","",IF(COUNTIF(DATA!$D$2:$D$500,A307)=0,"CEK SKU tidak ada di DATA",IF(COUNT(C307:E307)&lt;3,"CEK dimensi belum lengkap",IF(OR(C307&lt;=0,D307&lt;=0,E307&lt;=0),"CEK dimensi harus lebih dari 0",IF(COUNTIF($A$2:$A$500,A307)&gt;1,"CEK SKU dobel","OK")))))</f>
        <v/>
      </c>
    </row>
    <row r="308">
      <c r="A308" s="10" t="n"/>
      <c r="B308" s="12">
        <f>IF(A308="","",IFERROR(INDEX(DATA!$E$2:$E$500,MATCH(A308,DATA!$D$2:$D$500,0)),""))</f>
        <v/>
      </c>
      <c r="C308" s="10" t="n"/>
      <c r="D308" s="10" t="n"/>
      <c r="E308" s="10" t="n"/>
      <c r="F308" s="10" t="n"/>
      <c r="G308" s="10" t="n"/>
      <c r="H308" s="10" t="n"/>
      <c r="I308" s="10" t="n"/>
      <c r="J308" s="12">
        <f>IF(OR(A308="",COUNT(C308:E308)&lt;3),"",IFERROR(MAX(0,FLOOR(($N$2-$N$3)/E308,1))*MAX(1,MIN(IF(G308="",1,G308),FLOOR($N$4/D308,1)))*IF(F308="",1,F308),""))</f>
        <v/>
      </c>
      <c r="K308" s="12">
        <f>IF(A308="","",IF(COUNTIF(DATA!$D$2:$D$500,A308)=0,"CEK SKU tidak ada di DATA",IF(COUNT(C308:E308)&lt;3,"CEK dimensi belum lengkap",IF(OR(C308&lt;=0,D308&lt;=0,E308&lt;=0),"CEK dimensi harus lebih dari 0",IF(COUNTIF($A$2:$A$500,A308)&gt;1,"CEK SKU dobel","OK")))))</f>
        <v/>
      </c>
    </row>
    <row r="309">
      <c r="A309" s="10" t="n"/>
      <c r="B309" s="12">
        <f>IF(A309="","",IFERROR(INDEX(DATA!$E$2:$E$500,MATCH(A309,DATA!$D$2:$D$500,0)),""))</f>
        <v/>
      </c>
      <c r="C309" s="10" t="n"/>
      <c r="D309" s="10" t="n"/>
      <c r="E309" s="10" t="n"/>
      <c r="F309" s="10" t="n"/>
      <c r="G309" s="10" t="n"/>
      <c r="H309" s="10" t="n"/>
      <c r="I309" s="10" t="n"/>
      <c r="J309" s="12">
        <f>IF(OR(A309="",COUNT(C309:E309)&lt;3),"",IFERROR(MAX(0,FLOOR(($N$2-$N$3)/E309,1))*MAX(1,MIN(IF(G309="",1,G309),FLOOR($N$4/D309,1)))*IF(F309="",1,F309),""))</f>
        <v/>
      </c>
      <c r="K309" s="12">
        <f>IF(A309="","",IF(COUNTIF(DATA!$D$2:$D$500,A309)=0,"CEK SKU tidak ada di DATA",IF(COUNT(C309:E309)&lt;3,"CEK dimensi belum lengkap",IF(OR(C309&lt;=0,D309&lt;=0,E309&lt;=0),"CEK dimensi harus lebih dari 0",IF(COUNTIF($A$2:$A$500,A309)&gt;1,"CEK SKU dobel","OK")))))</f>
        <v/>
      </c>
    </row>
    <row r="310">
      <c r="A310" s="10" t="n"/>
      <c r="B310" s="12">
        <f>IF(A310="","",IFERROR(INDEX(DATA!$E$2:$E$500,MATCH(A310,DATA!$D$2:$D$500,0)),""))</f>
        <v/>
      </c>
      <c r="C310" s="10" t="n"/>
      <c r="D310" s="10" t="n"/>
      <c r="E310" s="10" t="n"/>
      <c r="F310" s="10" t="n"/>
      <c r="G310" s="10" t="n"/>
      <c r="H310" s="10" t="n"/>
      <c r="I310" s="10" t="n"/>
      <c r="J310" s="12">
        <f>IF(OR(A310="",COUNT(C310:E310)&lt;3),"",IFERROR(MAX(0,FLOOR(($N$2-$N$3)/E310,1))*MAX(1,MIN(IF(G310="",1,G310),FLOOR($N$4/D310,1)))*IF(F310="",1,F310),""))</f>
        <v/>
      </c>
      <c r="K310" s="12">
        <f>IF(A310="","",IF(COUNTIF(DATA!$D$2:$D$500,A310)=0,"CEK SKU tidak ada di DATA",IF(COUNT(C310:E310)&lt;3,"CEK dimensi belum lengkap",IF(OR(C310&lt;=0,D310&lt;=0,E310&lt;=0),"CEK dimensi harus lebih dari 0",IF(COUNTIF($A$2:$A$500,A310)&gt;1,"CEK SKU dobel","OK")))))</f>
        <v/>
      </c>
    </row>
    <row r="311">
      <c r="A311" s="10" t="n"/>
      <c r="B311" s="12">
        <f>IF(A311="","",IFERROR(INDEX(DATA!$E$2:$E$500,MATCH(A311,DATA!$D$2:$D$500,0)),""))</f>
        <v/>
      </c>
      <c r="C311" s="10" t="n"/>
      <c r="D311" s="10" t="n"/>
      <c r="E311" s="10" t="n"/>
      <c r="F311" s="10" t="n"/>
      <c r="G311" s="10" t="n"/>
      <c r="H311" s="10" t="n"/>
      <c r="I311" s="10" t="n"/>
      <c r="J311" s="12">
        <f>IF(OR(A311="",COUNT(C311:E311)&lt;3),"",IFERROR(MAX(0,FLOOR(($N$2-$N$3)/E311,1))*MAX(1,MIN(IF(G311="",1,G311),FLOOR($N$4/D311,1)))*IF(F311="",1,F311),""))</f>
        <v/>
      </c>
      <c r="K311" s="12">
        <f>IF(A311="","",IF(COUNTIF(DATA!$D$2:$D$500,A311)=0,"CEK SKU tidak ada di DATA",IF(COUNT(C311:E311)&lt;3,"CEK dimensi belum lengkap",IF(OR(C311&lt;=0,D311&lt;=0,E311&lt;=0),"CEK dimensi harus lebih dari 0",IF(COUNTIF($A$2:$A$500,A311)&gt;1,"CEK SKU dobel","OK")))))</f>
        <v/>
      </c>
    </row>
    <row r="312">
      <c r="A312" s="10" t="n"/>
      <c r="B312" s="12">
        <f>IF(A312="","",IFERROR(INDEX(DATA!$E$2:$E$500,MATCH(A312,DATA!$D$2:$D$500,0)),""))</f>
        <v/>
      </c>
      <c r="C312" s="10" t="n"/>
      <c r="D312" s="10" t="n"/>
      <c r="E312" s="10" t="n"/>
      <c r="F312" s="10" t="n"/>
      <c r="G312" s="10" t="n"/>
      <c r="H312" s="10" t="n"/>
      <c r="I312" s="10" t="n"/>
      <c r="J312" s="12">
        <f>IF(OR(A312="",COUNT(C312:E312)&lt;3),"",IFERROR(MAX(0,FLOOR(($N$2-$N$3)/E312,1))*MAX(1,MIN(IF(G312="",1,G312),FLOOR($N$4/D312,1)))*IF(F312="",1,F312),""))</f>
        <v/>
      </c>
      <c r="K312" s="12">
        <f>IF(A312="","",IF(COUNTIF(DATA!$D$2:$D$500,A312)=0,"CEK SKU tidak ada di DATA",IF(COUNT(C312:E312)&lt;3,"CEK dimensi belum lengkap",IF(OR(C312&lt;=0,D312&lt;=0,E312&lt;=0),"CEK dimensi harus lebih dari 0",IF(COUNTIF($A$2:$A$500,A312)&gt;1,"CEK SKU dobel","OK")))))</f>
        <v/>
      </c>
    </row>
    <row r="313">
      <c r="A313" s="10" t="n"/>
      <c r="B313" s="12">
        <f>IF(A313="","",IFERROR(INDEX(DATA!$E$2:$E$500,MATCH(A313,DATA!$D$2:$D$500,0)),""))</f>
        <v/>
      </c>
      <c r="C313" s="10" t="n"/>
      <c r="D313" s="10" t="n"/>
      <c r="E313" s="10" t="n"/>
      <c r="F313" s="10" t="n"/>
      <c r="G313" s="10" t="n"/>
      <c r="H313" s="10" t="n"/>
      <c r="I313" s="10" t="n"/>
      <c r="J313" s="12">
        <f>IF(OR(A313="",COUNT(C313:E313)&lt;3),"",IFERROR(MAX(0,FLOOR(($N$2-$N$3)/E313,1))*MAX(1,MIN(IF(G313="",1,G313),FLOOR($N$4/D313,1)))*IF(F313="",1,F313),""))</f>
        <v/>
      </c>
      <c r="K313" s="12">
        <f>IF(A313="","",IF(COUNTIF(DATA!$D$2:$D$500,A313)=0,"CEK SKU tidak ada di DATA",IF(COUNT(C313:E313)&lt;3,"CEK dimensi belum lengkap",IF(OR(C313&lt;=0,D313&lt;=0,E313&lt;=0),"CEK dimensi harus lebih dari 0",IF(COUNTIF($A$2:$A$500,A313)&gt;1,"CEK SKU dobel","OK")))))</f>
        <v/>
      </c>
    </row>
    <row r="314">
      <c r="A314" s="10" t="n"/>
      <c r="B314" s="12">
        <f>IF(A314="","",IFERROR(INDEX(DATA!$E$2:$E$500,MATCH(A314,DATA!$D$2:$D$500,0)),""))</f>
        <v/>
      </c>
      <c r="C314" s="10" t="n"/>
      <c r="D314" s="10" t="n"/>
      <c r="E314" s="10" t="n"/>
      <c r="F314" s="10" t="n"/>
      <c r="G314" s="10" t="n"/>
      <c r="H314" s="10" t="n"/>
      <c r="I314" s="10" t="n"/>
      <c r="J314" s="12">
        <f>IF(OR(A314="",COUNT(C314:E314)&lt;3),"",IFERROR(MAX(0,FLOOR(($N$2-$N$3)/E314,1))*MAX(1,MIN(IF(G314="",1,G314),FLOOR($N$4/D314,1)))*IF(F314="",1,F314),""))</f>
        <v/>
      </c>
      <c r="K314" s="12">
        <f>IF(A314="","",IF(COUNTIF(DATA!$D$2:$D$500,A314)=0,"CEK SKU tidak ada di DATA",IF(COUNT(C314:E314)&lt;3,"CEK dimensi belum lengkap",IF(OR(C314&lt;=0,D314&lt;=0,E314&lt;=0),"CEK dimensi harus lebih dari 0",IF(COUNTIF($A$2:$A$500,A314)&gt;1,"CEK SKU dobel","OK")))))</f>
        <v/>
      </c>
    </row>
    <row r="315">
      <c r="A315" s="10" t="n"/>
      <c r="B315" s="12">
        <f>IF(A315="","",IFERROR(INDEX(DATA!$E$2:$E$500,MATCH(A315,DATA!$D$2:$D$500,0)),""))</f>
        <v/>
      </c>
      <c r="C315" s="10" t="n"/>
      <c r="D315" s="10" t="n"/>
      <c r="E315" s="10" t="n"/>
      <c r="F315" s="10" t="n"/>
      <c r="G315" s="10" t="n"/>
      <c r="H315" s="10" t="n"/>
      <c r="I315" s="10" t="n"/>
      <c r="J315" s="12">
        <f>IF(OR(A315="",COUNT(C315:E315)&lt;3),"",IFERROR(MAX(0,FLOOR(($N$2-$N$3)/E315,1))*MAX(1,MIN(IF(G315="",1,G315),FLOOR($N$4/D315,1)))*IF(F315="",1,F315),""))</f>
        <v/>
      </c>
      <c r="K315" s="12">
        <f>IF(A315="","",IF(COUNTIF(DATA!$D$2:$D$500,A315)=0,"CEK SKU tidak ada di DATA",IF(COUNT(C315:E315)&lt;3,"CEK dimensi belum lengkap",IF(OR(C315&lt;=0,D315&lt;=0,E315&lt;=0),"CEK dimensi harus lebih dari 0",IF(COUNTIF($A$2:$A$500,A315)&gt;1,"CEK SKU dobel","OK")))))</f>
        <v/>
      </c>
    </row>
    <row r="316">
      <c r="A316" s="10" t="n"/>
      <c r="B316" s="12">
        <f>IF(A316="","",IFERROR(INDEX(DATA!$E$2:$E$500,MATCH(A316,DATA!$D$2:$D$500,0)),""))</f>
        <v/>
      </c>
      <c r="C316" s="10" t="n"/>
      <c r="D316" s="10" t="n"/>
      <c r="E316" s="10" t="n"/>
      <c r="F316" s="10" t="n"/>
      <c r="G316" s="10" t="n"/>
      <c r="H316" s="10" t="n"/>
      <c r="I316" s="10" t="n"/>
      <c r="J316" s="12">
        <f>IF(OR(A316="",COUNT(C316:E316)&lt;3),"",IFERROR(MAX(0,FLOOR(($N$2-$N$3)/E316,1))*MAX(1,MIN(IF(G316="",1,G316),FLOOR($N$4/D316,1)))*IF(F316="",1,F316),""))</f>
        <v/>
      </c>
      <c r="K316" s="12">
        <f>IF(A316="","",IF(COUNTIF(DATA!$D$2:$D$500,A316)=0,"CEK SKU tidak ada di DATA",IF(COUNT(C316:E316)&lt;3,"CEK dimensi belum lengkap",IF(OR(C316&lt;=0,D316&lt;=0,E316&lt;=0),"CEK dimensi harus lebih dari 0",IF(COUNTIF($A$2:$A$500,A316)&gt;1,"CEK SKU dobel","OK")))))</f>
        <v/>
      </c>
    </row>
    <row r="317">
      <c r="A317" s="10" t="n"/>
      <c r="B317" s="12">
        <f>IF(A317="","",IFERROR(INDEX(DATA!$E$2:$E$500,MATCH(A317,DATA!$D$2:$D$500,0)),""))</f>
        <v/>
      </c>
      <c r="C317" s="10" t="n"/>
      <c r="D317" s="10" t="n"/>
      <c r="E317" s="10" t="n"/>
      <c r="F317" s="10" t="n"/>
      <c r="G317" s="10" t="n"/>
      <c r="H317" s="10" t="n"/>
      <c r="I317" s="10" t="n"/>
      <c r="J317" s="12">
        <f>IF(OR(A317="",COUNT(C317:E317)&lt;3),"",IFERROR(MAX(0,FLOOR(($N$2-$N$3)/E317,1))*MAX(1,MIN(IF(G317="",1,G317),FLOOR($N$4/D317,1)))*IF(F317="",1,F317),""))</f>
        <v/>
      </c>
      <c r="K317" s="12">
        <f>IF(A317="","",IF(COUNTIF(DATA!$D$2:$D$500,A317)=0,"CEK SKU tidak ada di DATA",IF(COUNT(C317:E317)&lt;3,"CEK dimensi belum lengkap",IF(OR(C317&lt;=0,D317&lt;=0,E317&lt;=0),"CEK dimensi harus lebih dari 0",IF(COUNTIF($A$2:$A$500,A317)&gt;1,"CEK SKU dobel","OK")))))</f>
        <v/>
      </c>
    </row>
    <row r="318">
      <c r="A318" s="10" t="n"/>
      <c r="B318" s="12">
        <f>IF(A318="","",IFERROR(INDEX(DATA!$E$2:$E$500,MATCH(A318,DATA!$D$2:$D$500,0)),""))</f>
        <v/>
      </c>
      <c r="C318" s="10" t="n"/>
      <c r="D318" s="10" t="n"/>
      <c r="E318" s="10" t="n"/>
      <c r="F318" s="10" t="n"/>
      <c r="G318" s="10" t="n"/>
      <c r="H318" s="10" t="n"/>
      <c r="I318" s="10" t="n"/>
      <c r="J318" s="12">
        <f>IF(OR(A318="",COUNT(C318:E318)&lt;3),"",IFERROR(MAX(0,FLOOR(($N$2-$N$3)/E318,1))*MAX(1,MIN(IF(G318="",1,G318),FLOOR($N$4/D318,1)))*IF(F318="",1,F318),""))</f>
        <v/>
      </c>
      <c r="K318" s="12">
        <f>IF(A318="","",IF(COUNTIF(DATA!$D$2:$D$500,A318)=0,"CEK SKU tidak ada di DATA",IF(COUNT(C318:E318)&lt;3,"CEK dimensi belum lengkap",IF(OR(C318&lt;=0,D318&lt;=0,E318&lt;=0),"CEK dimensi harus lebih dari 0",IF(COUNTIF($A$2:$A$500,A318)&gt;1,"CEK SKU dobel","OK")))))</f>
        <v/>
      </c>
    </row>
    <row r="319">
      <c r="A319" s="10" t="n"/>
      <c r="B319" s="12">
        <f>IF(A319="","",IFERROR(INDEX(DATA!$E$2:$E$500,MATCH(A319,DATA!$D$2:$D$500,0)),""))</f>
        <v/>
      </c>
      <c r="C319" s="10" t="n"/>
      <c r="D319" s="10" t="n"/>
      <c r="E319" s="10" t="n"/>
      <c r="F319" s="10" t="n"/>
      <c r="G319" s="10" t="n"/>
      <c r="H319" s="10" t="n"/>
      <c r="I319" s="10" t="n"/>
      <c r="J319" s="12">
        <f>IF(OR(A319="",COUNT(C319:E319)&lt;3),"",IFERROR(MAX(0,FLOOR(($N$2-$N$3)/E319,1))*MAX(1,MIN(IF(G319="",1,G319),FLOOR($N$4/D319,1)))*IF(F319="",1,F319),""))</f>
        <v/>
      </c>
      <c r="K319" s="12">
        <f>IF(A319="","",IF(COUNTIF(DATA!$D$2:$D$500,A319)=0,"CEK SKU tidak ada di DATA",IF(COUNT(C319:E319)&lt;3,"CEK dimensi belum lengkap",IF(OR(C319&lt;=0,D319&lt;=0,E319&lt;=0),"CEK dimensi harus lebih dari 0",IF(COUNTIF($A$2:$A$500,A319)&gt;1,"CEK SKU dobel","OK")))))</f>
        <v/>
      </c>
    </row>
    <row r="320">
      <c r="A320" s="10" t="n"/>
      <c r="B320" s="12">
        <f>IF(A320="","",IFERROR(INDEX(DATA!$E$2:$E$500,MATCH(A320,DATA!$D$2:$D$500,0)),""))</f>
        <v/>
      </c>
      <c r="C320" s="10" t="n"/>
      <c r="D320" s="10" t="n"/>
      <c r="E320" s="10" t="n"/>
      <c r="F320" s="10" t="n"/>
      <c r="G320" s="10" t="n"/>
      <c r="H320" s="10" t="n"/>
      <c r="I320" s="10" t="n"/>
      <c r="J320" s="12">
        <f>IF(OR(A320="",COUNT(C320:E320)&lt;3),"",IFERROR(MAX(0,FLOOR(($N$2-$N$3)/E320,1))*MAX(1,MIN(IF(G320="",1,G320),FLOOR($N$4/D320,1)))*IF(F320="",1,F320),""))</f>
        <v/>
      </c>
      <c r="K320" s="12">
        <f>IF(A320="","",IF(COUNTIF(DATA!$D$2:$D$500,A320)=0,"CEK SKU tidak ada di DATA",IF(COUNT(C320:E320)&lt;3,"CEK dimensi belum lengkap",IF(OR(C320&lt;=0,D320&lt;=0,E320&lt;=0),"CEK dimensi harus lebih dari 0",IF(COUNTIF($A$2:$A$500,A320)&gt;1,"CEK SKU dobel","OK")))))</f>
        <v/>
      </c>
    </row>
    <row r="321">
      <c r="A321" s="10" t="n"/>
      <c r="B321" s="12">
        <f>IF(A321="","",IFERROR(INDEX(DATA!$E$2:$E$500,MATCH(A321,DATA!$D$2:$D$500,0)),""))</f>
        <v/>
      </c>
      <c r="C321" s="10" t="n"/>
      <c r="D321" s="10" t="n"/>
      <c r="E321" s="10" t="n"/>
      <c r="F321" s="10" t="n"/>
      <c r="G321" s="10" t="n"/>
      <c r="H321" s="10" t="n"/>
      <c r="I321" s="10" t="n"/>
      <c r="J321" s="12">
        <f>IF(OR(A321="",COUNT(C321:E321)&lt;3),"",IFERROR(MAX(0,FLOOR(($N$2-$N$3)/E321,1))*MAX(1,MIN(IF(G321="",1,G321),FLOOR($N$4/D321,1)))*IF(F321="",1,F321),""))</f>
        <v/>
      </c>
      <c r="K321" s="12">
        <f>IF(A321="","",IF(COUNTIF(DATA!$D$2:$D$500,A321)=0,"CEK SKU tidak ada di DATA",IF(COUNT(C321:E321)&lt;3,"CEK dimensi belum lengkap",IF(OR(C321&lt;=0,D321&lt;=0,E321&lt;=0),"CEK dimensi harus lebih dari 0",IF(COUNTIF($A$2:$A$500,A321)&gt;1,"CEK SKU dobel","OK")))))</f>
        <v/>
      </c>
    </row>
    <row r="322">
      <c r="A322" s="10" t="n"/>
      <c r="B322" s="12">
        <f>IF(A322="","",IFERROR(INDEX(DATA!$E$2:$E$500,MATCH(A322,DATA!$D$2:$D$500,0)),""))</f>
        <v/>
      </c>
      <c r="C322" s="10" t="n"/>
      <c r="D322" s="10" t="n"/>
      <c r="E322" s="10" t="n"/>
      <c r="F322" s="10" t="n"/>
      <c r="G322" s="10" t="n"/>
      <c r="H322" s="10" t="n"/>
      <c r="I322" s="10" t="n"/>
      <c r="J322" s="12">
        <f>IF(OR(A322="",COUNT(C322:E322)&lt;3),"",IFERROR(MAX(0,FLOOR(($N$2-$N$3)/E322,1))*MAX(1,MIN(IF(G322="",1,G322),FLOOR($N$4/D322,1)))*IF(F322="",1,F322),""))</f>
        <v/>
      </c>
      <c r="K322" s="12">
        <f>IF(A322="","",IF(COUNTIF(DATA!$D$2:$D$500,A322)=0,"CEK SKU tidak ada di DATA",IF(COUNT(C322:E322)&lt;3,"CEK dimensi belum lengkap",IF(OR(C322&lt;=0,D322&lt;=0,E322&lt;=0),"CEK dimensi harus lebih dari 0",IF(COUNTIF($A$2:$A$500,A322)&gt;1,"CEK SKU dobel","OK")))))</f>
        <v/>
      </c>
    </row>
    <row r="323">
      <c r="A323" s="10" t="n"/>
      <c r="B323" s="12">
        <f>IF(A323="","",IFERROR(INDEX(DATA!$E$2:$E$500,MATCH(A323,DATA!$D$2:$D$500,0)),""))</f>
        <v/>
      </c>
      <c r="C323" s="10" t="n"/>
      <c r="D323" s="10" t="n"/>
      <c r="E323" s="10" t="n"/>
      <c r="F323" s="10" t="n"/>
      <c r="G323" s="10" t="n"/>
      <c r="H323" s="10" t="n"/>
      <c r="I323" s="10" t="n"/>
      <c r="J323" s="12">
        <f>IF(OR(A323="",COUNT(C323:E323)&lt;3),"",IFERROR(MAX(0,FLOOR(($N$2-$N$3)/E323,1))*MAX(1,MIN(IF(G323="",1,G323),FLOOR($N$4/D323,1)))*IF(F323="",1,F323),""))</f>
        <v/>
      </c>
      <c r="K323" s="12">
        <f>IF(A323="","",IF(COUNTIF(DATA!$D$2:$D$500,A323)=0,"CEK SKU tidak ada di DATA",IF(COUNT(C323:E323)&lt;3,"CEK dimensi belum lengkap",IF(OR(C323&lt;=0,D323&lt;=0,E323&lt;=0),"CEK dimensi harus lebih dari 0",IF(COUNTIF($A$2:$A$500,A323)&gt;1,"CEK SKU dobel","OK")))))</f>
        <v/>
      </c>
    </row>
    <row r="324">
      <c r="A324" s="10" t="n"/>
      <c r="B324" s="12">
        <f>IF(A324="","",IFERROR(INDEX(DATA!$E$2:$E$500,MATCH(A324,DATA!$D$2:$D$500,0)),""))</f>
        <v/>
      </c>
      <c r="C324" s="10" t="n"/>
      <c r="D324" s="10" t="n"/>
      <c r="E324" s="10" t="n"/>
      <c r="F324" s="10" t="n"/>
      <c r="G324" s="10" t="n"/>
      <c r="H324" s="10" t="n"/>
      <c r="I324" s="10" t="n"/>
      <c r="J324" s="12">
        <f>IF(OR(A324="",COUNT(C324:E324)&lt;3),"",IFERROR(MAX(0,FLOOR(($N$2-$N$3)/E324,1))*MAX(1,MIN(IF(G324="",1,G324),FLOOR($N$4/D324,1)))*IF(F324="",1,F324),""))</f>
        <v/>
      </c>
      <c r="K324" s="12">
        <f>IF(A324="","",IF(COUNTIF(DATA!$D$2:$D$500,A324)=0,"CEK SKU tidak ada di DATA",IF(COUNT(C324:E324)&lt;3,"CEK dimensi belum lengkap",IF(OR(C324&lt;=0,D324&lt;=0,E324&lt;=0),"CEK dimensi harus lebih dari 0",IF(COUNTIF($A$2:$A$500,A324)&gt;1,"CEK SKU dobel","OK")))))</f>
        <v/>
      </c>
    </row>
    <row r="325">
      <c r="A325" s="10" t="n"/>
      <c r="B325" s="12">
        <f>IF(A325="","",IFERROR(INDEX(DATA!$E$2:$E$500,MATCH(A325,DATA!$D$2:$D$500,0)),""))</f>
        <v/>
      </c>
      <c r="C325" s="10" t="n"/>
      <c r="D325" s="10" t="n"/>
      <c r="E325" s="10" t="n"/>
      <c r="F325" s="10" t="n"/>
      <c r="G325" s="10" t="n"/>
      <c r="H325" s="10" t="n"/>
      <c r="I325" s="10" t="n"/>
      <c r="J325" s="12">
        <f>IF(OR(A325="",COUNT(C325:E325)&lt;3),"",IFERROR(MAX(0,FLOOR(($N$2-$N$3)/E325,1))*MAX(1,MIN(IF(G325="",1,G325),FLOOR($N$4/D325,1)))*IF(F325="",1,F325),""))</f>
        <v/>
      </c>
      <c r="K325" s="12">
        <f>IF(A325="","",IF(COUNTIF(DATA!$D$2:$D$500,A325)=0,"CEK SKU tidak ada di DATA",IF(COUNT(C325:E325)&lt;3,"CEK dimensi belum lengkap",IF(OR(C325&lt;=0,D325&lt;=0,E325&lt;=0),"CEK dimensi harus lebih dari 0",IF(COUNTIF($A$2:$A$500,A325)&gt;1,"CEK SKU dobel","OK")))))</f>
        <v/>
      </c>
    </row>
    <row r="326">
      <c r="A326" s="10" t="n"/>
      <c r="B326" s="12">
        <f>IF(A326="","",IFERROR(INDEX(DATA!$E$2:$E$500,MATCH(A326,DATA!$D$2:$D$500,0)),""))</f>
        <v/>
      </c>
      <c r="C326" s="10" t="n"/>
      <c r="D326" s="10" t="n"/>
      <c r="E326" s="10" t="n"/>
      <c r="F326" s="10" t="n"/>
      <c r="G326" s="10" t="n"/>
      <c r="H326" s="10" t="n"/>
      <c r="I326" s="10" t="n"/>
      <c r="J326" s="12">
        <f>IF(OR(A326="",COUNT(C326:E326)&lt;3),"",IFERROR(MAX(0,FLOOR(($N$2-$N$3)/E326,1))*MAX(1,MIN(IF(G326="",1,G326),FLOOR($N$4/D326,1)))*IF(F326="",1,F326),""))</f>
        <v/>
      </c>
      <c r="K326" s="12">
        <f>IF(A326="","",IF(COUNTIF(DATA!$D$2:$D$500,A326)=0,"CEK SKU tidak ada di DATA",IF(COUNT(C326:E326)&lt;3,"CEK dimensi belum lengkap",IF(OR(C326&lt;=0,D326&lt;=0,E326&lt;=0),"CEK dimensi harus lebih dari 0",IF(COUNTIF($A$2:$A$500,A326)&gt;1,"CEK SKU dobel","OK")))))</f>
        <v/>
      </c>
    </row>
    <row r="327">
      <c r="A327" s="10" t="n"/>
      <c r="B327" s="12">
        <f>IF(A327="","",IFERROR(INDEX(DATA!$E$2:$E$500,MATCH(A327,DATA!$D$2:$D$500,0)),""))</f>
        <v/>
      </c>
      <c r="C327" s="10" t="n"/>
      <c r="D327" s="10" t="n"/>
      <c r="E327" s="10" t="n"/>
      <c r="F327" s="10" t="n"/>
      <c r="G327" s="10" t="n"/>
      <c r="H327" s="10" t="n"/>
      <c r="I327" s="10" t="n"/>
      <c r="J327" s="12">
        <f>IF(OR(A327="",COUNT(C327:E327)&lt;3),"",IFERROR(MAX(0,FLOOR(($N$2-$N$3)/E327,1))*MAX(1,MIN(IF(G327="",1,G327),FLOOR($N$4/D327,1)))*IF(F327="",1,F327),""))</f>
        <v/>
      </c>
      <c r="K327" s="12">
        <f>IF(A327="","",IF(COUNTIF(DATA!$D$2:$D$500,A327)=0,"CEK SKU tidak ada di DATA",IF(COUNT(C327:E327)&lt;3,"CEK dimensi belum lengkap",IF(OR(C327&lt;=0,D327&lt;=0,E327&lt;=0),"CEK dimensi harus lebih dari 0",IF(COUNTIF($A$2:$A$500,A327)&gt;1,"CEK SKU dobel","OK")))))</f>
        <v/>
      </c>
    </row>
    <row r="328">
      <c r="A328" s="10" t="n"/>
      <c r="B328" s="12">
        <f>IF(A328="","",IFERROR(INDEX(DATA!$E$2:$E$500,MATCH(A328,DATA!$D$2:$D$500,0)),""))</f>
        <v/>
      </c>
      <c r="C328" s="10" t="n"/>
      <c r="D328" s="10" t="n"/>
      <c r="E328" s="10" t="n"/>
      <c r="F328" s="10" t="n"/>
      <c r="G328" s="10" t="n"/>
      <c r="H328" s="10" t="n"/>
      <c r="I328" s="10" t="n"/>
      <c r="J328" s="12">
        <f>IF(OR(A328="",COUNT(C328:E328)&lt;3),"",IFERROR(MAX(0,FLOOR(($N$2-$N$3)/E328,1))*MAX(1,MIN(IF(G328="",1,G328),FLOOR($N$4/D328,1)))*IF(F328="",1,F328),""))</f>
        <v/>
      </c>
      <c r="K328" s="12">
        <f>IF(A328="","",IF(COUNTIF(DATA!$D$2:$D$500,A328)=0,"CEK SKU tidak ada di DATA",IF(COUNT(C328:E328)&lt;3,"CEK dimensi belum lengkap",IF(OR(C328&lt;=0,D328&lt;=0,E328&lt;=0),"CEK dimensi harus lebih dari 0",IF(COUNTIF($A$2:$A$500,A328)&gt;1,"CEK SKU dobel","OK")))))</f>
        <v/>
      </c>
    </row>
    <row r="329">
      <c r="A329" s="10" t="n"/>
      <c r="B329" s="12">
        <f>IF(A329="","",IFERROR(INDEX(DATA!$E$2:$E$500,MATCH(A329,DATA!$D$2:$D$500,0)),""))</f>
        <v/>
      </c>
      <c r="C329" s="10" t="n"/>
      <c r="D329" s="10" t="n"/>
      <c r="E329" s="10" t="n"/>
      <c r="F329" s="10" t="n"/>
      <c r="G329" s="10" t="n"/>
      <c r="H329" s="10" t="n"/>
      <c r="I329" s="10" t="n"/>
      <c r="J329" s="12">
        <f>IF(OR(A329="",COUNT(C329:E329)&lt;3),"",IFERROR(MAX(0,FLOOR(($N$2-$N$3)/E329,1))*MAX(1,MIN(IF(G329="",1,G329),FLOOR($N$4/D329,1)))*IF(F329="",1,F329),""))</f>
        <v/>
      </c>
      <c r="K329" s="12">
        <f>IF(A329="","",IF(COUNTIF(DATA!$D$2:$D$500,A329)=0,"CEK SKU tidak ada di DATA",IF(COUNT(C329:E329)&lt;3,"CEK dimensi belum lengkap",IF(OR(C329&lt;=0,D329&lt;=0,E329&lt;=0),"CEK dimensi harus lebih dari 0",IF(COUNTIF($A$2:$A$500,A329)&gt;1,"CEK SKU dobel","OK")))))</f>
        <v/>
      </c>
    </row>
    <row r="330">
      <c r="A330" s="10" t="n"/>
      <c r="B330" s="12">
        <f>IF(A330="","",IFERROR(INDEX(DATA!$E$2:$E$500,MATCH(A330,DATA!$D$2:$D$500,0)),""))</f>
        <v/>
      </c>
      <c r="C330" s="10" t="n"/>
      <c r="D330" s="10" t="n"/>
      <c r="E330" s="10" t="n"/>
      <c r="F330" s="10" t="n"/>
      <c r="G330" s="10" t="n"/>
      <c r="H330" s="10" t="n"/>
      <c r="I330" s="10" t="n"/>
      <c r="J330" s="12">
        <f>IF(OR(A330="",COUNT(C330:E330)&lt;3),"",IFERROR(MAX(0,FLOOR(($N$2-$N$3)/E330,1))*MAX(1,MIN(IF(G330="",1,G330),FLOOR($N$4/D330,1)))*IF(F330="",1,F330),""))</f>
        <v/>
      </c>
      <c r="K330" s="12">
        <f>IF(A330="","",IF(COUNTIF(DATA!$D$2:$D$500,A330)=0,"CEK SKU tidak ada di DATA",IF(COUNT(C330:E330)&lt;3,"CEK dimensi belum lengkap",IF(OR(C330&lt;=0,D330&lt;=0,E330&lt;=0),"CEK dimensi harus lebih dari 0",IF(COUNTIF($A$2:$A$500,A330)&gt;1,"CEK SKU dobel","OK")))))</f>
        <v/>
      </c>
    </row>
    <row r="331">
      <c r="A331" s="10" t="n"/>
      <c r="B331" s="12">
        <f>IF(A331="","",IFERROR(INDEX(DATA!$E$2:$E$500,MATCH(A331,DATA!$D$2:$D$500,0)),""))</f>
        <v/>
      </c>
      <c r="C331" s="10" t="n"/>
      <c r="D331" s="10" t="n"/>
      <c r="E331" s="10" t="n"/>
      <c r="F331" s="10" t="n"/>
      <c r="G331" s="10" t="n"/>
      <c r="H331" s="10" t="n"/>
      <c r="I331" s="10" t="n"/>
      <c r="J331" s="12">
        <f>IF(OR(A331="",COUNT(C331:E331)&lt;3),"",IFERROR(MAX(0,FLOOR(($N$2-$N$3)/E331,1))*MAX(1,MIN(IF(G331="",1,G331),FLOOR($N$4/D331,1)))*IF(F331="",1,F331),""))</f>
        <v/>
      </c>
      <c r="K331" s="12">
        <f>IF(A331="","",IF(COUNTIF(DATA!$D$2:$D$500,A331)=0,"CEK SKU tidak ada di DATA",IF(COUNT(C331:E331)&lt;3,"CEK dimensi belum lengkap",IF(OR(C331&lt;=0,D331&lt;=0,E331&lt;=0),"CEK dimensi harus lebih dari 0",IF(COUNTIF($A$2:$A$500,A331)&gt;1,"CEK SKU dobel","OK")))))</f>
        <v/>
      </c>
    </row>
    <row r="332">
      <c r="A332" s="10" t="n"/>
      <c r="B332" s="12">
        <f>IF(A332="","",IFERROR(INDEX(DATA!$E$2:$E$500,MATCH(A332,DATA!$D$2:$D$500,0)),""))</f>
        <v/>
      </c>
      <c r="C332" s="10" t="n"/>
      <c r="D332" s="10" t="n"/>
      <c r="E332" s="10" t="n"/>
      <c r="F332" s="10" t="n"/>
      <c r="G332" s="10" t="n"/>
      <c r="H332" s="10" t="n"/>
      <c r="I332" s="10" t="n"/>
      <c r="J332" s="12">
        <f>IF(OR(A332="",COUNT(C332:E332)&lt;3),"",IFERROR(MAX(0,FLOOR(($N$2-$N$3)/E332,1))*MAX(1,MIN(IF(G332="",1,G332),FLOOR($N$4/D332,1)))*IF(F332="",1,F332),""))</f>
        <v/>
      </c>
      <c r="K332" s="12">
        <f>IF(A332="","",IF(COUNTIF(DATA!$D$2:$D$500,A332)=0,"CEK SKU tidak ada di DATA",IF(COUNT(C332:E332)&lt;3,"CEK dimensi belum lengkap",IF(OR(C332&lt;=0,D332&lt;=0,E332&lt;=0),"CEK dimensi harus lebih dari 0",IF(COUNTIF($A$2:$A$500,A332)&gt;1,"CEK SKU dobel","OK")))))</f>
        <v/>
      </c>
    </row>
    <row r="333">
      <c r="A333" s="10" t="n"/>
      <c r="B333" s="12">
        <f>IF(A333="","",IFERROR(INDEX(DATA!$E$2:$E$500,MATCH(A333,DATA!$D$2:$D$500,0)),""))</f>
        <v/>
      </c>
      <c r="C333" s="10" t="n"/>
      <c r="D333" s="10" t="n"/>
      <c r="E333" s="10" t="n"/>
      <c r="F333" s="10" t="n"/>
      <c r="G333" s="10" t="n"/>
      <c r="H333" s="10" t="n"/>
      <c r="I333" s="10" t="n"/>
      <c r="J333" s="12">
        <f>IF(OR(A333="",COUNT(C333:E333)&lt;3),"",IFERROR(MAX(0,FLOOR(($N$2-$N$3)/E333,1))*MAX(1,MIN(IF(G333="",1,G333),FLOOR($N$4/D333,1)))*IF(F333="",1,F333),""))</f>
        <v/>
      </c>
      <c r="K333" s="12">
        <f>IF(A333="","",IF(COUNTIF(DATA!$D$2:$D$500,A333)=0,"CEK SKU tidak ada di DATA",IF(COUNT(C333:E333)&lt;3,"CEK dimensi belum lengkap",IF(OR(C333&lt;=0,D333&lt;=0,E333&lt;=0),"CEK dimensi harus lebih dari 0",IF(COUNTIF($A$2:$A$500,A333)&gt;1,"CEK SKU dobel","OK")))))</f>
        <v/>
      </c>
    </row>
    <row r="334">
      <c r="A334" s="10" t="n"/>
      <c r="B334" s="12">
        <f>IF(A334="","",IFERROR(INDEX(DATA!$E$2:$E$500,MATCH(A334,DATA!$D$2:$D$500,0)),""))</f>
        <v/>
      </c>
      <c r="C334" s="10" t="n"/>
      <c r="D334" s="10" t="n"/>
      <c r="E334" s="10" t="n"/>
      <c r="F334" s="10" t="n"/>
      <c r="G334" s="10" t="n"/>
      <c r="H334" s="10" t="n"/>
      <c r="I334" s="10" t="n"/>
      <c r="J334" s="12">
        <f>IF(OR(A334="",COUNT(C334:E334)&lt;3),"",IFERROR(MAX(0,FLOOR(($N$2-$N$3)/E334,1))*MAX(1,MIN(IF(G334="",1,G334),FLOOR($N$4/D334,1)))*IF(F334="",1,F334),""))</f>
        <v/>
      </c>
      <c r="K334" s="12">
        <f>IF(A334="","",IF(COUNTIF(DATA!$D$2:$D$500,A334)=0,"CEK SKU tidak ada di DATA",IF(COUNT(C334:E334)&lt;3,"CEK dimensi belum lengkap",IF(OR(C334&lt;=0,D334&lt;=0,E334&lt;=0),"CEK dimensi harus lebih dari 0",IF(COUNTIF($A$2:$A$500,A334)&gt;1,"CEK SKU dobel","OK")))))</f>
        <v/>
      </c>
    </row>
    <row r="335">
      <c r="A335" s="10" t="n"/>
      <c r="B335" s="12">
        <f>IF(A335="","",IFERROR(INDEX(DATA!$E$2:$E$500,MATCH(A335,DATA!$D$2:$D$500,0)),""))</f>
        <v/>
      </c>
      <c r="C335" s="10" t="n"/>
      <c r="D335" s="10" t="n"/>
      <c r="E335" s="10" t="n"/>
      <c r="F335" s="10" t="n"/>
      <c r="G335" s="10" t="n"/>
      <c r="H335" s="10" t="n"/>
      <c r="I335" s="10" t="n"/>
      <c r="J335" s="12">
        <f>IF(OR(A335="",COUNT(C335:E335)&lt;3),"",IFERROR(MAX(0,FLOOR(($N$2-$N$3)/E335,1))*MAX(1,MIN(IF(G335="",1,G335),FLOOR($N$4/D335,1)))*IF(F335="",1,F335),""))</f>
        <v/>
      </c>
      <c r="K335" s="12">
        <f>IF(A335="","",IF(COUNTIF(DATA!$D$2:$D$500,A335)=0,"CEK SKU tidak ada di DATA",IF(COUNT(C335:E335)&lt;3,"CEK dimensi belum lengkap",IF(OR(C335&lt;=0,D335&lt;=0,E335&lt;=0),"CEK dimensi harus lebih dari 0",IF(COUNTIF($A$2:$A$500,A335)&gt;1,"CEK SKU dobel","OK")))))</f>
        <v/>
      </c>
    </row>
    <row r="336">
      <c r="A336" s="10" t="n"/>
      <c r="B336" s="12">
        <f>IF(A336="","",IFERROR(INDEX(DATA!$E$2:$E$500,MATCH(A336,DATA!$D$2:$D$500,0)),""))</f>
        <v/>
      </c>
      <c r="C336" s="10" t="n"/>
      <c r="D336" s="10" t="n"/>
      <c r="E336" s="10" t="n"/>
      <c r="F336" s="10" t="n"/>
      <c r="G336" s="10" t="n"/>
      <c r="H336" s="10" t="n"/>
      <c r="I336" s="10" t="n"/>
      <c r="J336" s="12">
        <f>IF(OR(A336="",COUNT(C336:E336)&lt;3),"",IFERROR(MAX(0,FLOOR(($N$2-$N$3)/E336,1))*MAX(1,MIN(IF(G336="",1,G336),FLOOR($N$4/D336,1)))*IF(F336="",1,F336),""))</f>
        <v/>
      </c>
      <c r="K336" s="12">
        <f>IF(A336="","",IF(COUNTIF(DATA!$D$2:$D$500,A336)=0,"CEK SKU tidak ada di DATA",IF(COUNT(C336:E336)&lt;3,"CEK dimensi belum lengkap",IF(OR(C336&lt;=0,D336&lt;=0,E336&lt;=0),"CEK dimensi harus lebih dari 0",IF(COUNTIF($A$2:$A$500,A336)&gt;1,"CEK SKU dobel","OK")))))</f>
        <v/>
      </c>
    </row>
    <row r="337">
      <c r="A337" s="10" t="n"/>
      <c r="B337" s="12">
        <f>IF(A337="","",IFERROR(INDEX(DATA!$E$2:$E$500,MATCH(A337,DATA!$D$2:$D$500,0)),""))</f>
        <v/>
      </c>
      <c r="C337" s="10" t="n"/>
      <c r="D337" s="10" t="n"/>
      <c r="E337" s="10" t="n"/>
      <c r="F337" s="10" t="n"/>
      <c r="G337" s="10" t="n"/>
      <c r="H337" s="10" t="n"/>
      <c r="I337" s="10" t="n"/>
      <c r="J337" s="12">
        <f>IF(OR(A337="",COUNT(C337:E337)&lt;3),"",IFERROR(MAX(0,FLOOR(($N$2-$N$3)/E337,1))*MAX(1,MIN(IF(G337="",1,G337),FLOOR($N$4/D337,1)))*IF(F337="",1,F337),""))</f>
        <v/>
      </c>
      <c r="K337" s="12">
        <f>IF(A337="","",IF(COUNTIF(DATA!$D$2:$D$500,A337)=0,"CEK SKU tidak ada di DATA",IF(COUNT(C337:E337)&lt;3,"CEK dimensi belum lengkap",IF(OR(C337&lt;=0,D337&lt;=0,E337&lt;=0),"CEK dimensi harus lebih dari 0",IF(COUNTIF($A$2:$A$500,A337)&gt;1,"CEK SKU dobel","OK")))))</f>
        <v/>
      </c>
    </row>
    <row r="338">
      <c r="A338" s="10" t="n"/>
      <c r="B338" s="12">
        <f>IF(A338="","",IFERROR(INDEX(DATA!$E$2:$E$500,MATCH(A338,DATA!$D$2:$D$500,0)),""))</f>
        <v/>
      </c>
      <c r="C338" s="10" t="n"/>
      <c r="D338" s="10" t="n"/>
      <c r="E338" s="10" t="n"/>
      <c r="F338" s="10" t="n"/>
      <c r="G338" s="10" t="n"/>
      <c r="H338" s="10" t="n"/>
      <c r="I338" s="10" t="n"/>
      <c r="J338" s="12">
        <f>IF(OR(A338="",COUNT(C338:E338)&lt;3),"",IFERROR(MAX(0,FLOOR(($N$2-$N$3)/E338,1))*MAX(1,MIN(IF(G338="",1,G338),FLOOR($N$4/D338,1)))*IF(F338="",1,F338),""))</f>
        <v/>
      </c>
      <c r="K338" s="12">
        <f>IF(A338="","",IF(COUNTIF(DATA!$D$2:$D$500,A338)=0,"CEK SKU tidak ada di DATA",IF(COUNT(C338:E338)&lt;3,"CEK dimensi belum lengkap",IF(OR(C338&lt;=0,D338&lt;=0,E338&lt;=0),"CEK dimensi harus lebih dari 0",IF(COUNTIF($A$2:$A$500,A338)&gt;1,"CEK SKU dobel","OK")))))</f>
        <v/>
      </c>
    </row>
    <row r="339">
      <c r="A339" s="10" t="n"/>
      <c r="B339" s="12">
        <f>IF(A339="","",IFERROR(INDEX(DATA!$E$2:$E$500,MATCH(A339,DATA!$D$2:$D$500,0)),""))</f>
        <v/>
      </c>
      <c r="C339" s="10" t="n"/>
      <c r="D339" s="10" t="n"/>
      <c r="E339" s="10" t="n"/>
      <c r="F339" s="10" t="n"/>
      <c r="G339" s="10" t="n"/>
      <c r="H339" s="10" t="n"/>
      <c r="I339" s="10" t="n"/>
      <c r="J339" s="12">
        <f>IF(OR(A339="",COUNT(C339:E339)&lt;3),"",IFERROR(MAX(0,FLOOR(($N$2-$N$3)/E339,1))*MAX(1,MIN(IF(G339="",1,G339),FLOOR($N$4/D339,1)))*IF(F339="",1,F339),""))</f>
        <v/>
      </c>
      <c r="K339" s="12">
        <f>IF(A339="","",IF(COUNTIF(DATA!$D$2:$D$500,A339)=0,"CEK SKU tidak ada di DATA",IF(COUNT(C339:E339)&lt;3,"CEK dimensi belum lengkap",IF(OR(C339&lt;=0,D339&lt;=0,E339&lt;=0),"CEK dimensi harus lebih dari 0",IF(COUNTIF($A$2:$A$500,A339)&gt;1,"CEK SKU dobel","OK")))))</f>
        <v/>
      </c>
    </row>
    <row r="340">
      <c r="A340" s="10" t="n"/>
      <c r="B340" s="12">
        <f>IF(A340="","",IFERROR(INDEX(DATA!$E$2:$E$500,MATCH(A340,DATA!$D$2:$D$500,0)),""))</f>
        <v/>
      </c>
      <c r="C340" s="10" t="n"/>
      <c r="D340" s="10" t="n"/>
      <c r="E340" s="10" t="n"/>
      <c r="F340" s="10" t="n"/>
      <c r="G340" s="10" t="n"/>
      <c r="H340" s="10" t="n"/>
      <c r="I340" s="10" t="n"/>
      <c r="J340" s="12">
        <f>IF(OR(A340="",COUNT(C340:E340)&lt;3),"",IFERROR(MAX(0,FLOOR(($N$2-$N$3)/E340,1))*MAX(1,MIN(IF(G340="",1,G340),FLOOR($N$4/D340,1)))*IF(F340="",1,F340),""))</f>
        <v/>
      </c>
      <c r="K340" s="12">
        <f>IF(A340="","",IF(COUNTIF(DATA!$D$2:$D$500,A340)=0,"CEK SKU tidak ada di DATA",IF(COUNT(C340:E340)&lt;3,"CEK dimensi belum lengkap",IF(OR(C340&lt;=0,D340&lt;=0,E340&lt;=0),"CEK dimensi harus lebih dari 0",IF(COUNTIF($A$2:$A$500,A340)&gt;1,"CEK SKU dobel","OK")))))</f>
        <v/>
      </c>
    </row>
    <row r="341">
      <c r="A341" s="10" t="n"/>
      <c r="B341" s="12">
        <f>IF(A341="","",IFERROR(INDEX(DATA!$E$2:$E$500,MATCH(A341,DATA!$D$2:$D$500,0)),""))</f>
        <v/>
      </c>
      <c r="C341" s="10" t="n"/>
      <c r="D341" s="10" t="n"/>
      <c r="E341" s="10" t="n"/>
      <c r="F341" s="10" t="n"/>
      <c r="G341" s="10" t="n"/>
      <c r="H341" s="10" t="n"/>
      <c r="I341" s="10" t="n"/>
      <c r="J341" s="12">
        <f>IF(OR(A341="",COUNT(C341:E341)&lt;3),"",IFERROR(MAX(0,FLOOR(($N$2-$N$3)/E341,1))*MAX(1,MIN(IF(G341="",1,G341),FLOOR($N$4/D341,1)))*IF(F341="",1,F341),""))</f>
        <v/>
      </c>
      <c r="K341" s="12">
        <f>IF(A341="","",IF(COUNTIF(DATA!$D$2:$D$500,A341)=0,"CEK SKU tidak ada di DATA",IF(COUNT(C341:E341)&lt;3,"CEK dimensi belum lengkap",IF(OR(C341&lt;=0,D341&lt;=0,E341&lt;=0),"CEK dimensi harus lebih dari 0",IF(COUNTIF($A$2:$A$500,A341)&gt;1,"CEK SKU dobel","OK")))))</f>
        <v/>
      </c>
    </row>
    <row r="342">
      <c r="A342" s="10" t="n"/>
      <c r="B342" s="12">
        <f>IF(A342="","",IFERROR(INDEX(DATA!$E$2:$E$500,MATCH(A342,DATA!$D$2:$D$500,0)),""))</f>
        <v/>
      </c>
      <c r="C342" s="10" t="n"/>
      <c r="D342" s="10" t="n"/>
      <c r="E342" s="10" t="n"/>
      <c r="F342" s="10" t="n"/>
      <c r="G342" s="10" t="n"/>
      <c r="H342" s="10" t="n"/>
      <c r="I342" s="10" t="n"/>
      <c r="J342" s="12">
        <f>IF(OR(A342="",COUNT(C342:E342)&lt;3),"",IFERROR(MAX(0,FLOOR(($N$2-$N$3)/E342,1))*MAX(1,MIN(IF(G342="",1,G342),FLOOR($N$4/D342,1)))*IF(F342="",1,F342),""))</f>
        <v/>
      </c>
      <c r="K342" s="12">
        <f>IF(A342="","",IF(COUNTIF(DATA!$D$2:$D$500,A342)=0,"CEK SKU tidak ada di DATA",IF(COUNT(C342:E342)&lt;3,"CEK dimensi belum lengkap",IF(OR(C342&lt;=0,D342&lt;=0,E342&lt;=0),"CEK dimensi harus lebih dari 0",IF(COUNTIF($A$2:$A$500,A342)&gt;1,"CEK SKU dobel","OK")))))</f>
        <v/>
      </c>
    </row>
    <row r="343">
      <c r="A343" s="10" t="n"/>
      <c r="B343" s="12">
        <f>IF(A343="","",IFERROR(INDEX(DATA!$E$2:$E$500,MATCH(A343,DATA!$D$2:$D$500,0)),""))</f>
        <v/>
      </c>
      <c r="C343" s="10" t="n"/>
      <c r="D343" s="10" t="n"/>
      <c r="E343" s="10" t="n"/>
      <c r="F343" s="10" t="n"/>
      <c r="G343" s="10" t="n"/>
      <c r="H343" s="10" t="n"/>
      <c r="I343" s="10" t="n"/>
      <c r="J343" s="12">
        <f>IF(OR(A343="",COUNT(C343:E343)&lt;3),"",IFERROR(MAX(0,FLOOR(($N$2-$N$3)/E343,1))*MAX(1,MIN(IF(G343="",1,G343),FLOOR($N$4/D343,1)))*IF(F343="",1,F343),""))</f>
        <v/>
      </c>
      <c r="K343" s="12">
        <f>IF(A343="","",IF(COUNTIF(DATA!$D$2:$D$500,A343)=0,"CEK SKU tidak ada di DATA",IF(COUNT(C343:E343)&lt;3,"CEK dimensi belum lengkap",IF(OR(C343&lt;=0,D343&lt;=0,E343&lt;=0),"CEK dimensi harus lebih dari 0",IF(COUNTIF($A$2:$A$500,A343)&gt;1,"CEK SKU dobel","OK")))))</f>
        <v/>
      </c>
    </row>
    <row r="344">
      <c r="A344" s="10" t="n"/>
      <c r="B344" s="12">
        <f>IF(A344="","",IFERROR(INDEX(DATA!$E$2:$E$500,MATCH(A344,DATA!$D$2:$D$500,0)),""))</f>
        <v/>
      </c>
      <c r="C344" s="10" t="n"/>
      <c r="D344" s="10" t="n"/>
      <c r="E344" s="10" t="n"/>
      <c r="F344" s="10" t="n"/>
      <c r="G344" s="10" t="n"/>
      <c r="H344" s="10" t="n"/>
      <c r="I344" s="10" t="n"/>
      <c r="J344" s="12">
        <f>IF(OR(A344="",COUNT(C344:E344)&lt;3),"",IFERROR(MAX(0,FLOOR(($N$2-$N$3)/E344,1))*MAX(1,MIN(IF(G344="",1,G344),FLOOR($N$4/D344,1)))*IF(F344="",1,F344),""))</f>
        <v/>
      </c>
      <c r="K344" s="12">
        <f>IF(A344="","",IF(COUNTIF(DATA!$D$2:$D$500,A344)=0,"CEK SKU tidak ada di DATA",IF(COUNT(C344:E344)&lt;3,"CEK dimensi belum lengkap",IF(OR(C344&lt;=0,D344&lt;=0,E344&lt;=0),"CEK dimensi harus lebih dari 0",IF(COUNTIF($A$2:$A$500,A344)&gt;1,"CEK SKU dobel","OK")))))</f>
        <v/>
      </c>
    </row>
    <row r="345">
      <c r="A345" s="10" t="n"/>
      <c r="B345" s="12">
        <f>IF(A345="","",IFERROR(INDEX(DATA!$E$2:$E$500,MATCH(A345,DATA!$D$2:$D$500,0)),""))</f>
        <v/>
      </c>
      <c r="C345" s="10" t="n"/>
      <c r="D345" s="10" t="n"/>
      <c r="E345" s="10" t="n"/>
      <c r="F345" s="10" t="n"/>
      <c r="G345" s="10" t="n"/>
      <c r="H345" s="10" t="n"/>
      <c r="I345" s="10" t="n"/>
      <c r="J345" s="12">
        <f>IF(OR(A345="",COUNT(C345:E345)&lt;3),"",IFERROR(MAX(0,FLOOR(($N$2-$N$3)/E345,1))*MAX(1,MIN(IF(G345="",1,G345),FLOOR($N$4/D345,1)))*IF(F345="",1,F345),""))</f>
        <v/>
      </c>
      <c r="K345" s="12">
        <f>IF(A345="","",IF(COUNTIF(DATA!$D$2:$D$500,A345)=0,"CEK SKU tidak ada di DATA",IF(COUNT(C345:E345)&lt;3,"CEK dimensi belum lengkap",IF(OR(C345&lt;=0,D345&lt;=0,E345&lt;=0),"CEK dimensi harus lebih dari 0",IF(COUNTIF($A$2:$A$500,A345)&gt;1,"CEK SKU dobel","OK")))))</f>
        <v/>
      </c>
    </row>
    <row r="346">
      <c r="A346" s="10" t="n"/>
      <c r="B346" s="12">
        <f>IF(A346="","",IFERROR(INDEX(DATA!$E$2:$E$500,MATCH(A346,DATA!$D$2:$D$500,0)),""))</f>
        <v/>
      </c>
      <c r="C346" s="10" t="n"/>
      <c r="D346" s="10" t="n"/>
      <c r="E346" s="10" t="n"/>
      <c r="F346" s="10" t="n"/>
      <c r="G346" s="10" t="n"/>
      <c r="H346" s="10" t="n"/>
      <c r="I346" s="10" t="n"/>
      <c r="J346" s="12">
        <f>IF(OR(A346="",COUNT(C346:E346)&lt;3),"",IFERROR(MAX(0,FLOOR(($N$2-$N$3)/E346,1))*MAX(1,MIN(IF(G346="",1,G346),FLOOR($N$4/D346,1)))*IF(F346="",1,F346),""))</f>
        <v/>
      </c>
      <c r="K346" s="12">
        <f>IF(A346="","",IF(COUNTIF(DATA!$D$2:$D$500,A346)=0,"CEK SKU tidak ada di DATA",IF(COUNT(C346:E346)&lt;3,"CEK dimensi belum lengkap",IF(OR(C346&lt;=0,D346&lt;=0,E346&lt;=0),"CEK dimensi harus lebih dari 0",IF(COUNTIF($A$2:$A$500,A346)&gt;1,"CEK SKU dobel","OK")))))</f>
        <v/>
      </c>
    </row>
    <row r="347">
      <c r="A347" s="10" t="n"/>
      <c r="B347" s="12">
        <f>IF(A347="","",IFERROR(INDEX(DATA!$E$2:$E$500,MATCH(A347,DATA!$D$2:$D$500,0)),""))</f>
        <v/>
      </c>
      <c r="C347" s="10" t="n"/>
      <c r="D347" s="10" t="n"/>
      <c r="E347" s="10" t="n"/>
      <c r="F347" s="10" t="n"/>
      <c r="G347" s="10" t="n"/>
      <c r="H347" s="10" t="n"/>
      <c r="I347" s="10" t="n"/>
      <c r="J347" s="12">
        <f>IF(OR(A347="",COUNT(C347:E347)&lt;3),"",IFERROR(MAX(0,FLOOR(($N$2-$N$3)/E347,1))*MAX(1,MIN(IF(G347="",1,G347),FLOOR($N$4/D347,1)))*IF(F347="",1,F347),""))</f>
        <v/>
      </c>
      <c r="K347" s="12">
        <f>IF(A347="","",IF(COUNTIF(DATA!$D$2:$D$500,A347)=0,"CEK SKU tidak ada di DATA",IF(COUNT(C347:E347)&lt;3,"CEK dimensi belum lengkap",IF(OR(C347&lt;=0,D347&lt;=0,E347&lt;=0),"CEK dimensi harus lebih dari 0",IF(COUNTIF($A$2:$A$500,A347)&gt;1,"CEK SKU dobel","OK")))))</f>
        <v/>
      </c>
    </row>
    <row r="348">
      <c r="A348" s="10" t="n"/>
      <c r="B348" s="12">
        <f>IF(A348="","",IFERROR(INDEX(DATA!$E$2:$E$500,MATCH(A348,DATA!$D$2:$D$500,0)),""))</f>
        <v/>
      </c>
      <c r="C348" s="10" t="n"/>
      <c r="D348" s="10" t="n"/>
      <c r="E348" s="10" t="n"/>
      <c r="F348" s="10" t="n"/>
      <c r="G348" s="10" t="n"/>
      <c r="H348" s="10" t="n"/>
      <c r="I348" s="10" t="n"/>
      <c r="J348" s="12">
        <f>IF(OR(A348="",COUNT(C348:E348)&lt;3),"",IFERROR(MAX(0,FLOOR(($N$2-$N$3)/E348,1))*MAX(1,MIN(IF(G348="",1,G348),FLOOR($N$4/D348,1)))*IF(F348="",1,F348),""))</f>
        <v/>
      </c>
      <c r="K348" s="12">
        <f>IF(A348="","",IF(COUNTIF(DATA!$D$2:$D$500,A348)=0,"CEK SKU tidak ada di DATA",IF(COUNT(C348:E348)&lt;3,"CEK dimensi belum lengkap",IF(OR(C348&lt;=0,D348&lt;=0,E348&lt;=0),"CEK dimensi harus lebih dari 0",IF(COUNTIF($A$2:$A$500,A348)&gt;1,"CEK SKU dobel","OK")))))</f>
        <v/>
      </c>
    </row>
    <row r="349">
      <c r="A349" s="10" t="n"/>
      <c r="B349" s="12">
        <f>IF(A349="","",IFERROR(INDEX(DATA!$E$2:$E$500,MATCH(A349,DATA!$D$2:$D$500,0)),""))</f>
        <v/>
      </c>
      <c r="C349" s="10" t="n"/>
      <c r="D349" s="10" t="n"/>
      <c r="E349" s="10" t="n"/>
      <c r="F349" s="10" t="n"/>
      <c r="G349" s="10" t="n"/>
      <c r="H349" s="10" t="n"/>
      <c r="I349" s="10" t="n"/>
      <c r="J349" s="12">
        <f>IF(OR(A349="",COUNT(C349:E349)&lt;3),"",IFERROR(MAX(0,FLOOR(($N$2-$N$3)/E349,1))*MAX(1,MIN(IF(G349="",1,G349),FLOOR($N$4/D349,1)))*IF(F349="",1,F349),""))</f>
        <v/>
      </c>
      <c r="K349" s="12">
        <f>IF(A349="","",IF(COUNTIF(DATA!$D$2:$D$500,A349)=0,"CEK SKU tidak ada di DATA",IF(COUNT(C349:E349)&lt;3,"CEK dimensi belum lengkap",IF(OR(C349&lt;=0,D349&lt;=0,E349&lt;=0),"CEK dimensi harus lebih dari 0",IF(COUNTIF($A$2:$A$500,A349)&gt;1,"CEK SKU dobel","OK")))))</f>
        <v/>
      </c>
    </row>
    <row r="350">
      <c r="A350" s="10" t="n"/>
      <c r="B350" s="12">
        <f>IF(A350="","",IFERROR(INDEX(DATA!$E$2:$E$500,MATCH(A350,DATA!$D$2:$D$500,0)),""))</f>
        <v/>
      </c>
      <c r="C350" s="10" t="n"/>
      <c r="D350" s="10" t="n"/>
      <c r="E350" s="10" t="n"/>
      <c r="F350" s="10" t="n"/>
      <c r="G350" s="10" t="n"/>
      <c r="H350" s="10" t="n"/>
      <c r="I350" s="10" t="n"/>
      <c r="J350" s="12">
        <f>IF(OR(A350="",COUNT(C350:E350)&lt;3),"",IFERROR(MAX(0,FLOOR(($N$2-$N$3)/E350,1))*MAX(1,MIN(IF(G350="",1,G350),FLOOR($N$4/D350,1)))*IF(F350="",1,F350),""))</f>
        <v/>
      </c>
      <c r="K350" s="12">
        <f>IF(A350="","",IF(COUNTIF(DATA!$D$2:$D$500,A350)=0,"CEK SKU tidak ada di DATA",IF(COUNT(C350:E350)&lt;3,"CEK dimensi belum lengkap",IF(OR(C350&lt;=0,D350&lt;=0,E350&lt;=0),"CEK dimensi harus lebih dari 0",IF(COUNTIF($A$2:$A$500,A350)&gt;1,"CEK SKU dobel","OK")))))</f>
        <v/>
      </c>
    </row>
    <row r="351">
      <c r="A351" s="10" t="n"/>
      <c r="B351" s="12">
        <f>IF(A351="","",IFERROR(INDEX(DATA!$E$2:$E$500,MATCH(A351,DATA!$D$2:$D$500,0)),""))</f>
        <v/>
      </c>
      <c r="C351" s="10" t="n"/>
      <c r="D351" s="10" t="n"/>
      <c r="E351" s="10" t="n"/>
      <c r="F351" s="10" t="n"/>
      <c r="G351" s="10" t="n"/>
      <c r="H351" s="10" t="n"/>
      <c r="I351" s="10" t="n"/>
      <c r="J351" s="12">
        <f>IF(OR(A351="",COUNT(C351:E351)&lt;3),"",IFERROR(MAX(0,FLOOR(($N$2-$N$3)/E351,1))*MAX(1,MIN(IF(G351="",1,G351),FLOOR($N$4/D351,1)))*IF(F351="",1,F351),""))</f>
        <v/>
      </c>
      <c r="K351" s="12">
        <f>IF(A351="","",IF(COUNTIF(DATA!$D$2:$D$500,A351)=0,"CEK SKU tidak ada di DATA",IF(COUNT(C351:E351)&lt;3,"CEK dimensi belum lengkap",IF(OR(C351&lt;=0,D351&lt;=0,E351&lt;=0),"CEK dimensi harus lebih dari 0",IF(COUNTIF($A$2:$A$500,A351)&gt;1,"CEK SKU dobel","OK")))))</f>
        <v/>
      </c>
    </row>
    <row r="352">
      <c r="A352" s="10" t="n"/>
      <c r="B352" s="12">
        <f>IF(A352="","",IFERROR(INDEX(DATA!$E$2:$E$500,MATCH(A352,DATA!$D$2:$D$500,0)),""))</f>
        <v/>
      </c>
      <c r="C352" s="10" t="n"/>
      <c r="D352" s="10" t="n"/>
      <c r="E352" s="10" t="n"/>
      <c r="F352" s="10" t="n"/>
      <c r="G352" s="10" t="n"/>
      <c r="H352" s="10" t="n"/>
      <c r="I352" s="10" t="n"/>
      <c r="J352" s="12">
        <f>IF(OR(A352="",COUNT(C352:E352)&lt;3),"",IFERROR(MAX(0,FLOOR(($N$2-$N$3)/E352,1))*MAX(1,MIN(IF(G352="",1,G352),FLOOR($N$4/D352,1)))*IF(F352="",1,F352),""))</f>
        <v/>
      </c>
      <c r="K352" s="12">
        <f>IF(A352="","",IF(COUNTIF(DATA!$D$2:$D$500,A352)=0,"CEK SKU tidak ada di DATA",IF(COUNT(C352:E352)&lt;3,"CEK dimensi belum lengkap",IF(OR(C352&lt;=0,D352&lt;=0,E352&lt;=0),"CEK dimensi harus lebih dari 0",IF(COUNTIF($A$2:$A$500,A352)&gt;1,"CEK SKU dobel","OK")))))</f>
        <v/>
      </c>
    </row>
    <row r="353">
      <c r="A353" s="10" t="n"/>
      <c r="B353" s="12">
        <f>IF(A353="","",IFERROR(INDEX(DATA!$E$2:$E$500,MATCH(A353,DATA!$D$2:$D$500,0)),""))</f>
        <v/>
      </c>
      <c r="C353" s="10" t="n"/>
      <c r="D353" s="10" t="n"/>
      <c r="E353" s="10" t="n"/>
      <c r="F353" s="10" t="n"/>
      <c r="G353" s="10" t="n"/>
      <c r="H353" s="10" t="n"/>
      <c r="I353" s="10" t="n"/>
      <c r="J353" s="12">
        <f>IF(OR(A353="",COUNT(C353:E353)&lt;3),"",IFERROR(MAX(0,FLOOR(($N$2-$N$3)/E353,1))*MAX(1,MIN(IF(G353="",1,G353),FLOOR($N$4/D353,1)))*IF(F353="",1,F353),""))</f>
        <v/>
      </c>
      <c r="K353" s="12">
        <f>IF(A353="","",IF(COUNTIF(DATA!$D$2:$D$500,A353)=0,"CEK SKU tidak ada di DATA",IF(COUNT(C353:E353)&lt;3,"CEK dimensi belum lengkap",IF(OR(C353&lt;=0,D353&lt;=0,E353&lt;=0),"CEK dimensi harus lebih dari 0",IF(COUNTIF($A$2:$A$500,A353)&gt;1,"CEK SKU dobel","OK")))))</f>
        <v/>
      </c>
    </row>
    <row r="354">
      <c r="A354" s="10" t="n"/>
      <c r="B354" s="12">
        <f>IF(A354="","",IFERROR(INDEX(DATA!$E$2:$E$500,MATCH(A354,DATA!$D$2:$D$500,0)),""))</f>
        <v/>
      </c>
      <c r="C354" s="10" t="n"/>
      <c r="D354" s="10" t="n"/>
      <c r="E354" s="10" t="n"/>
      <c r="F354" s="10" t="n"/>
      <c r="G354" s="10" t="n"/>
      <c r="H354" s="10" t="n"/>
      <c r="I354" s="10" t="n"/>
      <c r="J354" s="12">
        <f>IF(OR(A354="",COUNT(C354:E354)&lt;3),"",IFERROR(MAX(0,FLOOR(($N$2-$N$3)/E354,1))*MAX(1,MIN(IF(G354="",1,G354),FLOOR($N$4/D354,1)))*IF(F354="",1,F354),""))</f>
        <v/>
      </c>
      <c r="K354" s="12">
        <f>IF(A354="","",IF(COUNTIF(DATA!$D$2:$D$500,A354)=0,"CEK SKU tidak ada di DATA",IF(COUNT(C354:E354)&lt;3,"CEK dimensi belum lengkap",IF(OR(C354&lt;=0,D354&lt;=0,E354&lt;=0),"CEK dimensi harus lebih dari 0",IF(COUNTIF($A$2:$A$500,A354)&gt;1,"CEK SKU dobel","OK")))))</f>
        <v/>
      </c>
    </row>
    <row r="355">
      <c r="A355" s="10" t="n"/>
      <c r="B355" s="12">
        <f>IF(A355="","",IFERROR(INDEX(DATA!$E$2:$E$500,MATCH(A355,DATA!$D$2:$D$500,0)),""))</f>
        <v/>
      </c>
      <c r="C355" s="10" t="n"/>
      <c r="D355" s="10" t="n"/>
      <c r="E355" s="10" t="n"/>
      <c r="F355" s="10" t="n"/>
      <c r="G355" s="10" t="n"/>
      <c r="H355" s="10" t="n"/>
      <c r="I355" s="10" t="n"/>
      <c r="J355" s="12">
        <f>IF(OR(A355="",COUNT(C355:E355)&lt;3),"",IFERROR(MAX(0,FLOOR(($N$2-$N$3)/E355,1))*MAX(1,MIN(IF(G355="",1,G355),FLOOR($N$4/D355,1)))*IF(F355="",1,F355),""))</f>
        <v/>
      </c>
      <c r="K355" s="12">
        <f>IF(A355="","",IF(COUNTIF(DATA!$D$2:$D$500,A355)=0,"CEK SKU tidak ada di DATA",IF(COUNT(C355:E355)&lt;3,"CEK dimensi belum lengkap",IF(OR(C355&lt;=0,D355&lt;=0,E355&lt;=0),"CEK dimensi harus lebih dari 0",IF(COUNTIF($A$2:$A$500,A355)&gt;1,"CEK SKU dobel","OK")))))</f>
        <v/>
      </c>
    </row>
    <row r="356">
      <c r="A356" s="10" t="n"/>
      <c r="B356" s="12">
        <f>IF(A356="","",IFERROR(INDEX(DATA!$E$2:$E$500,MATCH(A356,DATA!$D$2:$D$500,0)),""))</f>
        <v/>
      </c>
      <c r="C356" s="10" t="n"/>
      <c r="D356" s="10" t="n"/>
      <c r="E356" s="10" t="n"/>
      <c r="F356" s="10" t="n"/>
      <c r="G356" s="10" t="n"/>
      <c r="H356" s="10" t="n"/>
      <c r="I356" s="10" t="n"/>
      <c r="J356" s="12">
        <f>IF(OR(A356="",COUNT(C356:E356)&lt;3),"",IFERROR(MAX(0,FLOOR(($N$2-$N$3)/E356,1))*MAX(1,MIN(IF(G356="",1,G356),FLOOR($N$4/D356,1)))*IF(F356="",1,F356),""))</f>
        <v/>
      </c>
      <c r="K356" s="12">
        <f>IF(A356="","",IF(COUNTIF(DATA!$D$2:$D$500,A356)=0,"CEK SKU tidak ada di DATA",IF(COUNT(C356:E356)&lt;3,"CEK dimensi belum lengkap",IF(OR(C356&lt;=0,D356&lt;=0,E356&lt;=0),"CEK dimensi harus lebih dari 0",IF(COUNTIF($A$2:$A$500,A356)&gt;1,"CEK SKU dobel","OK")))))</f>
        <v/>
      </c>
    </row>
    <row r="357">
      <c r="A357" s="10" t="n"/>
      <c r="B357" s="12">
        <f>IF(A357="","",IFERROR(INDEX(DATA!$E$2:$E$500,MATCH(A357,DATA!$D$2:$D$500,0)),""))</f>
        <v/>
      </c>
      <c r="C357" s="10" t="n"/>
      <c r="D357" s="10" t="n"/>
      <c r="E357" s="10" t="n"/>
      <c r="F357" s="10" t="n"/>
      <c r="G357" s="10" t="n"/>
      <c r="H357" s="10" t="n"/>
      <c r="I357" s="10" t="n"/>
      <c r="J357" s="12">
        <f>IF(OR(A357="",COUNT(C357:E357)&lt;3),"",IFERROR(MAX(0,FLOOR(($N$2-$N$3)/E357,1))*MAX(1,MIN(IF(G357="",1,G357),FLOOR($N$4/D357,1)))*IF(F357="",1,F357),""))</f>
        <v/>
      </c>
      <c r="K357" s="12">
        <f>IF(A357="","",IF(COUNTIF(DATA!$D$2:$D$500,A357)=0,"CEK SKU tidak ada di DATA",IF(COUNT(C357:E357)&lt;3,"CEK dimensi belum lengkap",IF(OR(C357&lt;=0,D357&lt;=0,E357&lt;=0),"CEK dimensi harus lebih dari 0",IF(COUNTIF($A$2:$A$500,A357)&gt;1,"CEK SKU dobel","OK")))))</f>
        <v/>
      </c>
    </row>
    <row r="358">
      <c r="A358" s="10" t="n"/>
      <c r="B358" s="12">
        <f>IF(A358="","",IFERROR(INDEX(DATA!$E$2:$E$500,MATCH(A358,DATA!$D$2:$D$500,0)),""))</f>
        <v/>
      </c>
      <c r="C358" s="10" t="n"/>
      <c r="D358" s="10" t="n"/>
      <c r="E358" s="10" t="n"/>
      <c r="F358" s="10" t="n"/>
      <c r="G358" s="10" t="n"/>
      <c r="H358" s="10" t="n"/>
      <c r="I358" s="10" t="n"/>
      <c r="J358" s="12">
        <f>IF(OR(A358="",COUNT(C358:E358)&lt;3),"",IFERROR(MAX(0,FLOOR(($N$2-$N$3)/E358,1))*MAX(1,MIN(IF(G358="",1,G358),FLOOR($N$4/D358,1)))*IF(F358="",1,F358),""))</f>
        <v/>
      </c>
      <c r="K358" s="12">
        <f>IF(A358="","",IF(COUNTIF(DATA!$D$2:$D$500,A358)=0,"CEK SKU tidak ada di DATA",IF(COUNT(C358:E358)&lt;3,"CEK dimensi belum lengkap",IF(OR(C358&lt;=0,D358&lt;=0,E358&lt;=0),"CEK dimensi harus lebih dari 0",IF(COUNTIF($A$2:$A$500,A358)&gt;1,"CEK SKU dobel","OK")))))</f>
        <v/>
      </c>
    </row>
    <row r="359">
      <c r="A359" s="10" t="n"/>
      <c r="B359" s="12">
        <f>IF(A359="","",IFERROR(INDEX(DATA!$E$2:$E$500,MATCH(A359,DATA!$D$2:$D$500,0)),""))</f>
        <v/>
      </c>
      <c r="C359" s="10" t="n"/>
      <c r="D359" s="10" t="n"/>
      <c r="E359" s="10" t="n"/>
      <c r="F359" s="10" t="n"/>
      <c r="G359" s="10" t="n"/>
      <c r="H359" s="10" t="n"/>
      <c r="I359" s="10" t="n"/>
      <c r="J359" s="12">
        <f>IF(OR(A359="",COUNT(C359:E359)&lt;3),"",IFERROR(MAX(0,FLOOR(($N$2-$N$3)/E359,1))*MAX(1,MIN(IF(G359="",1,G359),FLOOR($N$4/D359,1)))*IF(F359="",1,F359),""))</f>
        <v/>
      </c>
      <c r="K359" s="12">
        <f>IF(A359="","",IF(COUNTIF(DATA!$D$2:$D$500,A359)=0,"CEK SKU tidak ada di DATA",IF(COUNT(C359:E359)&lt;3,"CEK dimensi belum lengkap",IF(OR(C359&lt;=0,D359&lt;=0,E359&lt;=0),"CEK dimensi harus lebih dari 0",IF(COUNTIF($A$2:$A$500,A359)&gt;1,"CEK SKU dobel","OK")))))</f>
        <v/>
      </c>
    </row>
    <row r="360">
      <c r="A360" s="10" t="n"/>
      <c r="B360" s="12">
        <f>IF(A360="","",IFERROR(INDEX(DATA!$E$2:$E$500,MATCH(A360,DATA!$D$2:$D$500,0)),""))</f>
        <v/>
      </c>
      <c r="C360" s="10" t="n"/>
      <c r="D360" s="10" t="n"/>
      <c r="E360" s="10" t="n"/>
      <c r="F360" s="10" t="n"/>
      <c r="G360" s="10" t="n"/>
      <c r="H360" s="10" t="n"/>
      <c r="I360" s="10" t="n"/>
      <c r="J360" s="12">
        <f>IF(OR(A360="",COUNT(C360:E360)&lt;3),"",IFERROR(MAX(0,FLOOR(($N$2-$N$3)/E360,1))*MAX(1,MIN(IF(G360="",1,G360),FLOOR($N$4/D360,1)))*IF(F360="",1,F360),""))</f>
        <v/>
      </c>
      <c r="K360" s="12">
        <f>IF(A360="","",IF(COUNTIF(DATA!$D$2:$D$500,A360)=0,"CEK SKU tidak ada di DATA",IF(COUNT(C360:E360)&lt;3,"CEK dimensi belum lengkap",IF(OR(C360&lt;=0,D360&lt;=0,E360&lt;=0),"CEK dimensi harus lebih dari 0",IF(COUNTIF($A$2:$A$500,A360)&gt;1,"CEK SKU dobel","OK")))))</f>
        <v/>
      </c>
    </row>
    <row r="361">
      <c r="A361" s="10" t="n"/>
      <c r="B361" s="12">
        <f>IF(A361="","",IFERROR(INDEX(DATA!$E$2:$E$500,MATCH(A361,DATA!$D$2:$D$500,0)),""))</f>
        <v/>
      </c>
      <c r="C361" s="10" t="n"/>
      <c r="D361" s="10" t="n"/>
      <c r="E361" s="10" t="n"/>
      <c r="F361" s="10" t="n"/>
      <c r="G361" s="10" t="n"/>
      <c r="H361" s="10" t="n"/>
      <c r="I361" s="10" t="n"/>
      <c r="J361" s="12">
        <f>IF(OR(A361="",COUNT(C361:E361)&lt;3),"",IFERROR(MAX(0,FLOOR(($N$2-$N$3)/E361,1))*MAX(1,MIN(IF(G361="",1,G361),FLOOR($N$4/D361,1)))*IF(F361="",1,F361),""))</f>
        <v/>
      </c>
      <c r="K361" s="12">
        <f>IF(A361="","",IF(COUNTIF(DATA!$D$2:$D$500,A361)=0,"CEK SKU tidak ada di DATA",IF(COUNT(C361:E361)&lt;3,"CEK dimensi belum lengkap",IF(OR(C361&lt;=0,D361&lt;=0,E361&lt;=0),"CEK dimensi harus lebih dari 0",IF(COUNTIF($A$2:$A$500,A361)&gt;1,"CEK SKU dobel","OK")))))</f>
        <v/>
      </c>
    </row>
    <row r="362">
      <c r="A362" s="10" t="n"/>
      <c r="B362" s="12">
        <f>IF(A362="","",IFERROR(INDEX(DATA!$E$2:$E$500,MATCH(A362,DATA!$D$2:$D$500,0)),""))</f>
        <v/>
      </c>
      <c r="C362" s="10" t="n"/>
      <c r="D362" s="10" t="n"/>
      <c r="E362" s="10" t="n"/>
      <c r="F362" s="10" t="n"/>
      <c r="G362" s="10" t="n"/>
      <c r="H362" s="10" t="n"/>
      <c r="I362" s="10" t="n"/>
      <c r="J362" s="12">
        <f>IF(OR(A362="",COUNT(C362:E362)&lt;3),"",IFERROR(MAX(0,FLOOR(($N$2-$N$3)/E362,1))*MAX(1,MIN(IF(G362="",1,G362),FLOOR($N$4/D362,1)))*IF(F362="",1,F362),""))</f>
        <v/>
      </c>
      <c r="K362" s="12">
        <f>IF(A362="","",IF(COUNTIF(DATA!$D$2:$D$500,A362)=0,"CEK SKU tidak ada di DATA",IF(COUNT(C362:E362)&lt;3,"CEK dimensi belum lengkap",IF(OR(C362&lt;=0,D362&lt;=0,E362&lt;=0),"CEK dimensi harus lebih dari 0",IF(COUNTIF($A$2:$A$500,A362)&gt;1,"CEK SKU dobel","OK")))))</f>
        <v/>
      </c>
    </row>
    <row r="363">
      <c r="A363" s="10" t="n"/>
      <c r="B363" s="12">
        <f>IF(A363="","",IFERROR(INDEX(DATA!$E$2:$E$500,MATCH(A363,DATA!$D$2:$D$500,0)),""))</f>
        <v/>
      </c>
      <c r="C363" s="10" t="n"/>
      <c r="D363" s="10" t="n"/>
      <c r="E363" s="10" t="n"/>
      <c r="F363" s="10" t="n"/>
      <c r="G363" s="10" t="n"/>
      <c r="H363" s="10" t="n"/>
      <c r="I363" s="10" t="n"/>
      <c r="J363" s="12">
        <f>IF(OR(A363="",COUNT(C363:E363)&lt;3),"",IFERROR(MAX(0,FLOOR(($N$2-$N$3)/E363,1))*MAX(1,MIN(IF(G363="",1,G363),FLOOR($N$4/D363,1)))*IF(F363="",1,F363),""))</f>
        <v/>
      </c>
      <c r="K363" s="12">
        <f>IF(A363="","",IF(COUNTIF(DATA!$D$2:$D$500,A363)=0,"CEK SKU tidak ada di DATA",IF(COUNT(C363:E363)&lt;3,"CEK dimensi belum lengkap",IF(OR(C363&lt;=0,D363&lt;=0,E363&lt;=0),"CEK dimensi harus lebih dari 0",IF(COUNTIF($A$2:$A$500,A363)&gt;1,"CEK SKU dobel","OK")))))</f>
        <v/>
      </c>
    </row>
    <row r="364">
      <c r="A364" s="10" t="n"/>
      <c r="B364" s="12">
        <f>IF(A364="","",IFERROR(INDEX(DATA!$E$2:$E$500,MATCH(A364,DATA!$D$2:$D$500,0)),""))</f>
        <v/>
      </c>
      <c r="C364" s="10" t="n"/>
      <c r="D364" s="10" t="n"/>
      <c r="E364" s="10" t="n"/>
      <c r="F364" s="10" t="n"/>
      <c r="G364" s="10" t="n"/>
      <c r="H364" s="10" t="n"/>
      <c r="I364" s="10" t="n"/>
      <c r="J364" s="12">
        <f>IF(OR(A364="",COUNT(C364:E364)&lt;3),"",IFERROR(MAX(0,FLOOR(($N$2-$N$3)/E364,1))*MAX(1,MIN(IF(G364="",1,G364),FLOOR($N$4/D364,1)))*IF(F364="",1,F364),""))</f>
        <v/>
      </c>
      <c r="K364" s="12">
        <f>IF(A364="","",IF(COUNTIF(DATA!$D$2:$D$500,A364)=0,"CEK SKU tidak ada di DATA",IF(COUNT(C364:E364)&lt;3,"CEK dimensi belum lengkap",IF(OR(C364&lt;=0,D364&lt;=0,E364&lt;=0),"CEK dimensi harus lebih dari 0",IF(COUNTIF($A$2:$A$500,A364)&gt;1,"CEK SKU dobel","OK")))))</f>
        <v/>
      </c>
    </row>
    <row r="365">
      <c r="A365" s="10" t="n"/>
      <c r="B365" s="12">
        <f>IF(A365="","",IFERROR(INDEX(DATA!$E$2:$E$500,MATCH(A365,DATA!$D$2:$D$500,0)),""))</f>
        <v/>
      </c>
      <c r="C365" s="10" t="n"/>
      <c r="D365" s="10" t="n"/>
      <c r="E365" s="10" t="n"/>
      <c r="F365" s="10" t="n"/>
      <c r="G365" s="10" t="n"/>
      <c r="H365" s="10" t="n"/>
      <c r="I365" s="10" t="n"/>
      <c r="J365" s="12">
        <f>IF(OR(A365="",COUNT(C365:E365)&lt;3),"",IFERROR(MAX(0,FLOOR(($N$2-$N$3)/E365,1))*MAX(1,MIN(IF(G365="",1,G365),FLOOR($N$4/D365,1)))*IF(F365="",1,F365),""))</f>
        <v/>
      </c>
      <c r="K365" s="12">
        <f>IF(A365="","",IF(COUNTIF(DATA!$D$2:$D$500,A365)=0,"CEK SKU tidak ada di DATA",IF(COUNT(C365:E365)&lt;3,"CEK dimensi belum lengkap",IF(OR(C365&lt;=0,D365&lt;=0,E365&lt;=0),"CEK dimensi harus lebih dari 0",IF(COUNTIF($A$2:$A$500,A365)&gt;1,"CEK SKU dobel","OK")))))</f>
        <v/>
      </c>
    </row>
    <row r="366">
      <c r="A366" s="10" t="n"/>
      <c r="B366" s="12">
        <f>IF(A366="","",IFERROR(INDEX(DATA!$E$2:$E$500,MATCH(A366,DATA!$D$2:$D$500,0)),""))</f>
        <v/>
      </c>
      <c r="C366" s="10" t="n"/>
      <c r="D366" s="10" t="n"/>
      <c r="E366" s="10" t="n"/>
      <c r="F366" s="10" t="n"/>
      <c r="G366" s="10" t="n"/>
      <c r="H366" s="10" t="n"/>
      <c r="I366" s="10" t="n"/>
      <c r="J366" s="12">
        <f>IF(OR(A366="",COUNT(C366:E366)&lt;3),"",IFERROR(MAX(0,FLOOR(($N$2-$N$3)/E366,1))*MAX(1,MIN(IF(G366="",1,G366),FLOOR($N$4/D366,1)))*IF(F366="",1,F366),""))</f>
        <v/>
      </c>
      <c r="K366" s="12">
        <f>IF(A366="","",IF(COUNTIF(DATA!$D$2:$D$500,A366)=0,"CEK SKU tidak ada di DATA",IF(COUNT(C366:E366)&lt;3,"CEK dimensi belum lengkap",IF(OR(C366&lt;=0,D366&lt;=0,E366&lt;=0),"CEK dimensi harus lebih dari 0",IF(COUNTIF($A$2:$A$500,A366)&gt;1,"CEK SKU dobel","OK")))))</f>
        <v/>
      </c>
    </row>
    <row r="367">
      <c r="A367" s="10" t="n"/>
      <c r="B367" s="12">
        <f>IF(A367="","",IFERROR(INDEX(DATA!$E$2:$E$500,MATCH(A367,DATA!$D$2:$D$500,0)),""))</f>
        <v/>
      </c>
      <c r="C367" s="10" t="n"/>
      <c r="D367" s="10" t="n"/>
      <c r="E367" s="10" t="n"/>
      <c r="F367" s="10" t="n"/>
      <c r="G367" s="10" t="n"/>
      <c r="H367" s="10" t="n"/>
      <c r="I367" s="10" t="n"/>
      <c r="J367" s="12">
        <f>IF(OR(A367="",COUNT(C367:E367)&lt;3),"",IFERROR(MAX(0,FLOOR(($N$2-$N$3)/E367,1))*MAX(1,MIN(IF(G367="",1,G367),FLOOR($N$4/D367,1)))*IF(F367="",1,F367),""))</f>
        <v/>
      </c>
      <c r="K367" s="12">
        <f>IF(A367="","",IF(COUNTIF(DATA!$D$2:$D$500,A367)=0,"CEK SKU tidak ada di DATA",IF(COUNT(C367:E367)&lt;3,"CEK dimensi belum lengkap",IF(OR(C367&lt;=0,D367&lt;=0,E367&lt;=0),"CEK dimensi harus lebih dari 0",IF(COUNTIF($A$2:$A$500,A367)&gt;1,"CEK SKU dobel","OK")))))</f>
        <v/>
      </c>
    </row>
    <row r="368">
      <c r="A368" s="10" t="n"/>
      <c r="B368" s="12">
        <f>IF(A368="","",IFERROR(INDEX(DATA!$E$2:$E$500,MATCH(A368,DATA!$D$2:$D$500,0)),""))</f>
        <v/>
      </c>
      <c r="C368" s="10" t="n"/>
      <c r="D368" s="10" t="n"/>
      <c r="E368" s="10" t="n"/>
      <c r="F368" s="10" t="n"/>
      <c r="G368" s="10" t="n"/>
      <c r="H368" s="10" t="n"/>
      <c r="I368" s="10" t="n"/>
      <c r="J368" s="12">
        <f>IF(OR(A368="",COUNT(C368:E368)&lt;3),"",IFERROR(MAX(0,FLOOR(($N$2-$N$3)/E368,1))*MAX(1,MIN(IF(G368="",1,G368),FLOOR($N$4/D368,1)))*IF(F368="",1,F368),""))</f>
        <v/>
      </c>
      <c r="K368" s="12">
        <f>IF(A368="","",IF(COUNTIF(DATA!$D$2:$D$500,A368)=0,"CEK SKU tidak ada di DATA",IF(COUNT(C368:E368)&lt;3,"CEK dimensi belum lengkap",IF(OR(C368&lt;=0,D368&lt;=0,E368&lt;=0),"CEK dimensi harus lebih dari 0",IF(COUNTIF($A$2:$A$500,A368)&gt;1,"CEK SKU dobel","OK")))))</f>
        <v/>
      </c>
    </row>
    <row r="369">
      <c r="A369" s="10" t="n"/>
      <c r="B369" s="12">
        <f>IF(A369="","",IFERROR(INDEX(DATA!$E$2:$E$500,MATCH(A369,DATA!$D$2:$D$500,0)),""))</f>
        <v/>
      </c>
      <c r="C369" s="10" t="n"/>
      <c r="D369" s="10" t="n"/>
      <c r="E369" s="10" t="n"/>
      <c r="F369" s="10" t="n"/>
      <c r="G369" s="10" t="n"/>
      <c r="H369" s="10" t="n"/>
      <c r="I369" s="10" t="n"/>
      <c r="J369" s="12">
        <f>IF(OR(A369="",COUNT(C369:E369)&lt;3),"",IFERROR(MAX(0,FLOOR(($N$2-$N$3)/E369,1))*MAX(1,MIN(IF(G369="",1,G369),FLOOR($N$4/D369,1)))*IF(F369="",1,F369),""))</f>
        <v/>
      </c>
      <c r="K369" s="12">
        <f>IF(A369="","",IF(COUNTIF(DATA!$D$2:$D$500,A369)=0,"CEK SKU tidak ada di DATA",IF(COUNT(C369:E369)&lt;3,"CEK dimensi belum lengkap",IF(OR(C369&lt;=0,D369&lt;=0,E369&lt;=0),"CEK dimensi harus lebih dari 0",IF(COUNTIF($A$2:$A$500,A369)&gt;1,"CEK SKU dobel","OK")))))</f>
        <v/>
      </c>
    </row>
    <row r="370">
      <c r="A370" s="10" t="n"/>
      <c r="B370" s="12">
        <f>IF(A370="","",IFERROR(INDEX(DATA!$E$2:$E$500,MATCH(A370,DATA!$D$2:$D$500,0)),""))</f>
        <v/>
      </c>
      <c r="C370" s="10" t="n"/>
      <c r="D370" s="10" t="n"/>
      <c r="E370" s="10" t="n"/>
      <c r="F370" s="10" t="n"/>
      <c r="G370" s="10" t="n"/>
      <c r="H370" s="10" t="n"/>
      <c r="I370" s="10" t="n"/>
      <c r="J370" s="12">
        <f>IF(OR(A370="",COUNT(C370:E370)&lt;3),"",IFERROR(MAX(0,FLOOR(($N$2-$N$3)/E370,1))*MAX(1,MIN(IF(G370="",1,G370),FLOOR($N$4/D370,1)))*IF(F370="",1,F370),""))</f>
        <v/>
      </c>
      <c r="K370" s="12">
        <f>IF(A370="","",IF(COUNTIF(DATA!$D$2:$D$500,A370)=0,"CEK SKU tidak ada di DATA",IF(COUNT(C370:E370)&lt;3,"CEK dimensi belum lengkap",IF(OR(C370&lt;=0,D370&lt;=0,E370&lt;=0),"CEK dimensi harus lebih dari 0",IF(COUNTIF($A$2:$A$500,A370)&gt;1,"CEK SKU dobel","OK")))))</f>
        <v/>
      </c>
    </row>
    <row r="371">
      <c r="A371" s="10" t="n"/>
      <c r="B371" s="12">
        <f>IF(A371="","",IFERROR(INDEX(DATA!$E$2:$E$500,MATCH(A371,DATA!$D$2:$D$500,0)),""))</f>
        <v/>
      </c>
      <c r="C371" s="10" t="n"/>
      <c r="D371" s="10" t="n"/>
      <c r="E371" s="10" t="n"/>
      <c r="F371" s="10" t="n"/>
      <c r="G371" s="10" t="n"/>
      <c r="H371" s="10" t="n"/>
      <c r="I371" s="10" t="n"/>
      <c r="J371" s="12">
        <f>IF(OR(A371="",COUNT(C371:E371)&lt;3),"",IFERROR(MAX(0,FLOOR(($N$2-$N$3)/E371,1))*MAX(1,MIN(IF(G371="",1,G371),FLOOR($N$4/D371,1)))*IF(F371="",1,F371),""))</f>
        <v/>
      </c>
      <c r="K371" s="12">
        <f>IF(A371="","",IF(COUNTIF(DATA!$D$2:$D$500,A371)=0,"CEK SKU tidak ada di DATA",IF(COUNT(C371:E371)&lt;3,"CEK dimensi belum lengkap",IF(OR(C371&lt;=0,D371&lt;=0,E371&lt;=0),"CEK dimensi harus lebih dari 0",IF(COUNTIF($A$2:$A$500,A371)&gt;1,"CEK SKU dobel","OK")))))</f>
        <v/>
      </c>
    </row>
    <row r="372">
      <c r="A372" s="10" t="n"/>
      <c r="B372" s="12">
        <f>IF(A372="","",IFERROR(INDEX(DATA!$E$2:$E$500,MATCH(A372,DATA!$D$2:$D$500,0)),""))</f>
        <v/>
      </c>
      <c r="C372" s="10" t="n"/>
      <c r="D372" s="10" t="n"/>
      <c r="E372" s="10" t="n"/>
      <c r="F372" s="10" t="n"/>
      <c r="G372" s="10" t="n"/>
      <c r="H372" s="10" t="n"/>
      <c r="I372" s="10" t="n"/>
      <c r="J372" s="12">
        <f>IF(OR(A372="",COUNT(C372:E372)&lt;3),"",IFERROR(MAX(0,FLOOR(($N$2-$N$3)/E372,1))*MAX(1,MIN(IF(G372="",1,G372),FLOOR($N$4/D372,1)))*IF(F372="",1,F372),""))</f>
        <v/>
      </c>
      <c r="K372" s="12">
        <f>IF(A372="","",IF(COUNTIF(DATA!$D$2:$D$500,A372)=0,"CEK SKU tidak ada di DATA",IF(COUNT(C372:E372)&lt;3,"CEK dimensi belum lengkap",IF(OR(C372&lt;=0,D372&lt;=0,E372&lt;=0),"CEK dimensi harus lebih dari 0",IF(COUNTIF($A$2:$A$500,A372)&gt;1,"CEK SKU dobel","OK")))))</f>
        <v/>
      </c>
    </row>
    <row r="373">
      <c r="A373" s="10" t="n"/>
      <c r="B373" s="12">
        <f>IF(A373="","",IFERROR(INDEX(DATA!$E$2:$E$500,MATCH(A373,DATA!$D$2:$D$500,0)),""))</f>
        <v/>
      </c>
      <c r="C373" s="10" t="n"/>
      <c r="D373" s="10" t="n"/>
      <c r="E373" s="10" t="n"/>
      <c r="F373" s="10" t="n"/>
      <c r="G373" s="10" t="n"/>
      <c r="H373" s="10" t="n"/>
      <c r="I373" s="10" t="n"/>
      <c r="J373" s="12">
        <f>IF(OR(A373="",COUNT(C373:E373)&lt;3),"",IFERROR(MAX(0,FLOOR(($N$2-$N$3)/E373,1))*MAX(1,MIN(IF(G373="",1,G373),FLOOR($N$4/D373,1)))*IF(F373="",1,F373),""))</f>
        <v/>
      </c>
      <c r="K373" s="12">
        <f>IF(A373="","",IF(COUNTIF(DATA!$D$2:$D$500,A373)=0,"CEK SKU tidak ada di DATA",IF(COUNT(C373:E373)&lt;3,"CEK dimensi belum lengkap",IF(OR(C373&lt;=0,D373&lt;=0,E373&lt;=0),"CEK dimensi harus lebih dari 0",IF(COUNTIF($A$2:$A$500,A373)&gt;1,"CEK SKU dobel","OK")))))</f>
        <v/>
      </c>
    </row>
    <row r="374">
      <c r="A374" s="10" t="n"/>
      <c r="B374" s="12">
        <f>IF(A374="","",IFERROR(INDEX(DATA!$E$2:$E$500,MATCH(A374,DATA!$D$2:$D$500,0)),""))</f>
        <v/>
      </c>
      <c r="C374" s="10" t="n"/>
      <c r="D374" s="10" t="n"/>
      <c r="E374" s="10" t="n"/>
      <c r="F374" s="10" t="n"/>
      <c r="G374" s="10" t="n"/>
      <c r="H374" s="10" t="n"/>
      <c r="I374" s="10" t="n"/>
      <c r="J374" s="12">
        <f>IF(OR(A374="",COUNT(C374:E374)&lt;3),"",IFERROR(MAX(0,FLOOR(($N$2-$N$3)/E374,1))*MAX(1,MIN(IF(G374="",1,G374),FLOOR($N$4/D374,1)))*IF(F374="",1,F374),""))</f>
        <v/>
      </c>
      <c r="K374" s="12">
        <f>IF(A374="","",IF(COUNTIF(DATA!$D$2:$D$500,A374)=0,"CEK SKU tidak ada di DATA",IF(COUNT(C374:E374)&lt;3,"CEK dimensi belum lengkap",IF(OR(C374&lt;=0,D374&lt;=0,E374&lt;=0),"CEK dimensi harus lebih dari 0",IF(COUNTIF($A$2:$A$500,A374)&gt;1,"CEK SKU dobel","OK")))))</f>
        <v/>
      </c>
    </row>
    <row r="375">
      <c r="A375" s="10" t="n"/>
      <c r="B375" s="12">
        <f>IF(A375="","",IFERROR(INDEX(DATA!$E$2:$E$500,MATCH(A375,DATA!$D$2:$D$500,0)),""))</f>
        <v/>
      </c>
      <c r="C375" s="10" t="n"/>
      <c r="D375" s="10" t="n"/>
      <c r="E375" s="10" t="n"/>
      <c r="F375" s="10" t="n"/>
      <c r="G375" s="10" t="n"/>
      <c r="H375" s="10" t="n"/>
      <c r="I375" s="10" t="n"/>
      <c r="J375" s="12">
        <f>IF(OR(A375="",COUNT(C375:E375)&lt;3),"",IFERROR(MAX(0,FLOOR(($N$2-$N$3)/E375,1))*MAX(1,MIN(IF(G375="",1,G375),FLOOR($N$4/D375,1)))*IF(F375="",1,F375),""))</f>
        <v/>
      </c>
      <c r="K375" s="12">
        <f>IF(A375="","",IF(COUNTIF(DATA!$D$2:$D$500,A375)=0,"CEK SKU tidak ada di DATA",IF(COUNT(C375:E375)&lt;3,"CEK dimensi belum lengkap",IF(OR(C375&lt;=0,D375&lt;=0,E375&lt;=0),"CEK dimensi harus lebih dari 0",IF(COUNTIF($A$2:$A$500,A375)&gt;1,"CEK SKU dobel","OK")))))</f>
        <v/>
      </c>
    </row>
    <row r="376">
      <c r="A376" s="10" t="n"/>
      <c r="B376" s="12">
        <f>IF(A376="","",IFERROR(INDEX(DATA!$E$2:$E$500,MATCH(A376,DATA!$D$2:$D$500,0)),""))</f>
        <v/>
      </c>
      <c r="C376" s="10" t="n"/>
      <c r="D376" s="10" t="n"/>
      <c r="E376" s="10" t="n"/>
      <c r="F376" s="10" t="n"/>
      <c r="G376" s="10" t="n"/>
      <c r="H376" s="10" t="n"/>
      <c r="I376" s="10" t="n"/>
      <c r="J376" s="12">
        <f>IF(OR(A376="",COUNT(C376:E376)&lt;3),"",IFERROR(MAX(0,FLOOR(($N$2-$N$3)/E376,1))*MAX(1,MIN(IF(G376="",1,G376),FLOOR($N$4/D376,1)))*IF(F376="",1,F376),""))</f>
        <v/>
      </c>
      <c r="K376" s="12">
        <f>IF(A376="","",IF(COUNTIF(DATA!$D$2:$D$500,A376)=0,"CEK SKU tidak ada di DATA",IF(COUNT(C376:E376)&lt;3,"CEK dimensi belum lengkap",IF(OR(C376&lt;=0,D376&lt;=0,E376&lt;=0),"CEK dimensi harus lebih dari 0",IF(COUNTIF($A$2:$A$500,A376)&gt;1,"CEK SKU dobel","OK")))))</f>
        <v/>
      </c>
    </row>
    <row r="377">
      <c r="A377" s="10" t="n"/>
      <c r="B377" s="12">
        <f>IF(A377="","",IFERROR(INDEX(DATA!$E$2:$E$500,MATCH(A377,DATA!$D$2:$D$500,0)),""))</f>
        <v/>
      </c>
      <c r="C377" s="10" t="n"/>
      <c r="D377" s="10" t="n"/>
      <c r="E377" s="10" t="n"/>
      <c r="F377" s="10" t="n"/>
      <c r="G377" s="10" t="n"/>
      <c r="H377" s="10" t="n"/>
      <c r="I377" s="10" t="n"/>
      <c r="J377" s="12">
        <f>IF(OR(A377="",COUNT(C377:E377)&lt;3),"",IFERROR(MAX(0,FLOOR(($N$2-$N$3)/E377,1))*MAX(1,MIN(IF(G377="",1,G377),FLOOR($N$4/D377,1)))*IF(F377="",1,F377),""))</f>
        <v/>
      </c>
      <c r="K377" s="12">
        <f>IF(A377="","",IF(COUNTIF(DATA!$D$2:$D$500,A377)=0,"CEK SKU tidak ada di DATA",IF(COUNT(C377:E377)&lt;3,"CEK dimensi belum lengkap",IF(OR(C377&lt;=0,D377&lt;=0,E377&lt;=0),"CEK dimensi harus lebih dari 0",IF(COUNTIF($A$2:$A$500,A377)&gt;1,"CEK SKU dobel","OK")))))</f>
        <v/>
      </c>
    </row>
    <row r="378">
      <c r="A378" s="10" t="n"/>
      <c r="B378" s="12">
        <f>IF(A378="","",IFERROR(INDEX(DATA!$E$2:$E$500,MATCH(A378,DATA!$D$2:$D$500,0)),""))</f>
        <v/>
      </c>
      <c r="C378" s="10" t="n"/>
      <c r="D378" s="10" t="n"/>
      <c r="E378" s="10" t="n"/>
      <c r="F378" s="10" t="n"/>
      <c r="G378" s="10" t="n"/>
      <c r="H378" s="10" t="n"/>
      <c r="I378" s="10" t="n"/>
      <c r="J378" s="12">
        <f>IF(OR(A378="",COUNT(C378:E378)&lt;3),"",IFERROR(MAX(0,FLOOR(($N$2-$N$3)/E378,1))*MAX(1,MIN(IF(G378="",1,G378),FLOOR($N$4/D378,1)))*IF(F378="",1,F378),""))</f>
        <v/>
      </c>
      <c r="K378" s="12">
        <f>IF(A378="","",IF(COUNTIF(DATA!$D$2:$D$500,A378)=0,"CEK SKU tidak ada di DATA",IF(COUNT(C378:E378)&lt;3,"CEK dimensi belum lengkap",IF(OR(C378&lt;=0,D378&lt;=0,E378&lt;=0),"CEK dimensi harus lebih dari 0",IF(COUNTIF($A$2:$A$500,A378)&gt;1,"CEK SKU dobel","OK")))))</f>
        <v/>
      </c>
    </row>
    <row r="379">
      <c r="A379" s="10" t="n"/>
      <c r="B379" s="12">
        <f>IF(A379="","",IFERROR(INDEX(DATA!$E$2:$E$500,MATCH(A379,DATA!$D$2:$D$500,0)),""))</f>
        <v/>
      </c>
      <c r="C379" s="10" t="n"/>
      <c r="D379" s="10" t="n"/>
      <c r="E379" s="10" t="n"/>
      <c r="F379" s="10" t="n"/>
      <c r="G379" s="10" t="n"/>
      <c r="H379" s="10" t="n"/>
      <c r="I379" s="10" t="n"/>
      <c r="J379" s="12">
        <f>IF(OR(A379="",COUNT(C379:E379)&lt;3),"",IFERROR(MAX(0,FLOOR(($N$2-$N$3)/E379,1))*MAX(1,MIN(IF(G379="",1,G379),FLOOR($N$4/D379,1)))*IF(F379="",1,F379),""))</f>
        <v/>
      </c>
      <c r="K379" s="12">
        <f>IF(A379="","",IF(COUNTIF(DATA!$D$2:$D$500,A379)=0,"CEK SKU tidak ada di DATA",IF(COUNT(C379:E379)&lt;3,"CEK dimensi belum lengkap",IF(OR(C379&lt;=0,D379&lt;=0,E379&lt;=0),"CEK dimensi harus lebih dari 0",IF(COUNTIF($A$2:$A$500,A379)&gt;1,"CEK SKU dobel","OK")))))</f>
        <v/>
      </c>
    </row>
    <row r="380">
      <c r="A380" s="10" t="n"/>
      <c r="B380" s="12">
        <f>IF(A380="","",IFERROR(INDEX(DATA!$E$2:$E$500,MATCH(A380,DATA!$D$2:$D$500,0)),""))</f>
        <v/>
      </c>
      <c r="C380" s="10" t="n"/>
      <c r="D380" s="10" t="n"/>
      <c r="E380" s="10" t="n"/>
      <c r="F380" s="10" t="n"/>
      <c r="G380" s="10" t="n"/>
      <c r="H380" s="10" t="n"/>
      <c r="I380" s="10" t="n"/>
      <c r="J380" s="12">
        <f>IF(OR(A380="",COUNT(C380:E380)&lt;3),"",IFERROR(MAX(0,FLOOR(($N$2-$N$3)/E380,1))*MAX(1,MIN(IF(G380="",1,G380),FLOOR($N$4/D380,1)))*IF(F380="",1,F380),""))</f>
        <v/>
      </c>
      <c r="K380" s="12">
        <f>IF(A380="","",IF(COUNTIF(DATA!$D$2:$D$500,A380)=0,"CEK SKU tidak ada di DATA",IF(COUNT(C380:E380)&lt;3,"CEK dimensi belum lengkap",IF(OR(C380&lt;=0,D380&lt;=0,E380&lt;=0),"CEK dimensi harus lebih dari 0",IF(COUNTIF($A$2:$A$500,A380)&gt;1,"CEK SKU dobel","OK")))))</f>
        <v/>
      </c>
    </row>
    <row r="381">
      <c r="A381" s="10" t="n"/>
      <c r="B381" s="12">
        <f>IF(A381="","",IFERROR(INDEX(DATA!$E$2:$E$500,MATCH(A381,DATA!$D$2:$D$500,0)),""))</f>
        <v/>
      </c>
      <c r="C381" s="10" t="n"/>
      <c r="D381" s="10" t="n"/>
      <c r="E381" s="10" t="n"/>
      <c r="F381" s="10" t="n"/>
      <c r="G381" s="10" t="n"/>
      <c r="H381" s="10" t="n"/>
      <c r="I381" s="10" t="n"/>
      <c r="J381" s="12">
        <f>IF(OR(A381="",COUNT(C381:E381)&lt;3),"",IFERROR(MAX(0,FLOOR(($N$2-$N$3)/E381,1))*MAX(1,MIN(IF(G381="",1,G381),FLOOR($N$4/D381,1)))*IF(F381="",1,F381),""))</f>
        <v/>
      </c>
      <c r="K381" s="12">
        <f>IF(A381="","",IF(COUNTIF(DATA!$D$2:$D$500,A381)=0,"CEK SKU tidak ada di DATA",IF(COUNT(C381:E381)&lt;3,"CEK dimensi belum lengkap",IF(OR(C381&lt;=0,D381&lt;=0,E381&lt;=0),"CEK dimensi harus lebih dari 0",IF(COUNTIF($A$2:$A$500,A381)&gt;1,"CEK SKU dobel","OK")))))</f>
        <v/>
      </c>
    </row>
    <row r="382">
      <c r="A382" s="10" t="n"/>
      <c r="B382" s="12">
        <f>IF(A382="","",IFERROR(INDEX(DATA!$E$2:$E$500,MATCH(A382,DATA!$D$2:$D$500,0)),""))</f>
        <v/>
      </c>
      <c r="C382" s="10" t="n"/>
      <c r="D382" s="10" t="n"/>
      <c r="E382" s="10" t="n"/>
      <c r="F382" s="10" t="n"/>
      <c r="G382" s="10" t="n"/>
      <c r="H382" s="10" t="n"/>
      <c r="I382" s="10" t="n"/>
      <c r="J382" s="12">
        <f>IF(OR(A382="",COUNT(C382:E382)&lt;3),"",IFERROR(MAX(0,FLOOR(($N$2-$N$3)/E382,1))*MAX(1,MIN(IF(G382="",1,G382),FLOOR($N$4/D382,1)))*IF(F382="",1,F382),""))</f>
        <v/>
      </c>
      <c r="K382" s="12">
        <f>IF(A382="","",IF(COUNTIF(DATA!$D$2:$D$500,A382)=0,"CEK SKU tidak ada di DATA",IF(COUNT(C382:E382)&lt;3,"CEK dimensi belum lengkap",IF(OR(C382&lt;=0,D382&lt;=0,E382&lt;=0),"CEK dimensi harus lebih dari 0",IF(COUNTIF($A$2:$A$500,A382)&gt;1,"CEK SKU dobel","OK")))))</f>
        <v/>
      </c>
    </row>
    <row r="383">
      <c r="A383" s="10" t="n"/>
      <c r="B383" s="12">
        <f>IF(A383="","",IFERROR(INDEX(DATA!$E$2:$E$500,MATCH(A383,DATA!$D$2:$D$500,0)),""))</f>
        <v/>
      </c>
      <c r="C383" s="10" t="n"/>
      <c r="D383" s="10" t="n"/>
      <c r="E383" s="10" t="n"/>
      <c r="F383" s="10" t="n"/>
      <c r="G383" s="10" t="n"/>
      <c r="H383" s="10" t="n"/>
      <c r="I383" s="10" t="n"/>
      <c r="J383" s="12">
        <f>IF(OR(A383="",COUNT(C383:E383)&lt;3),"",IFERROR(MAX(0,FLOOR(($N$2-$N$3)/E383,1))*MAX(1,MIN(IF(G383="",1,G383),FLOOR($N$4/D383,1)))*IF(F383="",1,F383),""))</f>
        <v/>
      </c>
      <c r="K383" s="12">
        <f>IF(A383="","",IF(COUNTIF(DATA!$D$2:$D$500,A383)=0,"CEK SKU tidak ada di DATA",IF(COUNT(C383:E383)&lt;3,"CEK dimensi belum lengkap",IF(OR(C383&lt;=0,D383&lt;=0,E383&lt;=0),"CEK dimensi harus lebih dari 0",IF(COUNTIF($A$2:$A$500,A383)&gt;1,"CEK SKU dobel","OK")))))</f>
        <v/>
      </c>
    </row>
    <row r="384">
      <c r="A384" s="10" t="n"/>
      <c r="B384" s="12">
        <f>IF(A384="","",IFERROR(INDEX(DATA!$E$2:$E$500,MATCH(A384,DATA!$D$2:$D$500,0)),""))</f>
        <v/>
      </c>
      <c r="C384" s="10" t="n"/>
      <c r="D384" s="10" t="n"/>
      <c r="E384" s="10" t="n"/>
      <c r="F384" s="10" t="n"/>
      <c r="G384" s="10" t="n"/>
      <c r="H384" s="10" t="n"/>
      <c r="I384" s="10" t="n"/>
      <c r="J384" s="12">
        <f>IF(OR(A384="",COUNT(C384:E384)&lt;3),"",IFERROR(MAX(0,FLOOR(($N$2-$N$3)/E384,1))*MAX(1,MIN(IF(G384="",1,G384),FLOOR($N$4/D384,1)))*IF(F384="",1,F384),""))</f>
        <v/>
      </c>
      <c r="K384" s="12">
        <f>IF(A384="","",IF(COUNTIF(DATA!$D$2:$D$500,A384)=0,"CEK SKU tidak ada di DATA",IF(COUNT(C384:E384)&lt;3,"CEK dimensi belum lengkap",IF(OR(C384&lt;=0,D384&lt;=0,E384&lt;=0),"CEK dimensi harus lebih dari 0",IF(COUNTIF($A$2:$A$500,A384)&gt;1,"CEK SKU dobel","OK")))))</f>
        <v/>
      </c>
    </row>
    <row r="385">
      <c r="A385" s="10" t="n"/>
      <c r="B385" s="12">
        <f>IF(A385="","",IFERROR(INDEX(DATA!$E$2:$E$500,MATCH(A385,DATA!$D$2:$D$500,0)),""))</f>
        <v/>
      </c>
      <c r="C385" s="10" t="n"/>
      <c r="D385" s="10" t="n"/>
      <c r="E385" s="10" t="n"/>
      <c r="F385" s="10" t="n"/>
      <c r="G385" s="10" t="n"/>
      <c r="H385" s="10" t="n"/>
      <c r="I385" s="10" t="n"/>
      <c r="J385" s="12">
        <f>IF(OR(A385="",COUNT(C385:E385)&lt;3),"",IFERROR(MAX(0,FLOOR(($N$2-$N$3)/E385,1))*MAX(1,MIN(IF(G385="",1,G385),FLOOR($N$4/D385,1)))*IF(F385="",1,F385),""))</f>
        <v/>
      </c>
      <c r="K385" s="12">
        <f>IF(A385="","",IF(COUNTIF(DATA!$D$2:$D$500,A385)=0,"CEK SKU tidak ada di DATA",IF(COUNT(C385:E385)&lt;3,"CEK dimensi belum lengkap",IF(OR(C385&lt;=0,D385&lt;=0,E385&lt;=0),"CEK dimensi harus lebih dari 0",IF(COUNTIF($A$2:$A$500,A385)&gt;1,"CEK SKU dobel","OK")))))</f>
        <v/>
      </c>
    </row>
    <row r="386">
      <c r="A386" s="10" t="n"/>
      <c r="B386" s="12">
        <f>IF(A386="","",IFERROR(INDEX(DATA!$E$2:$E$500,MATCH(A386,DATA!$D$2:$D$500,0)),""))</f>
        <v/>
      </c>
      <c r="C386" s="10" t="n"/>
      <c r="D386" s="10" t="n"/>
      <c r="E386" s="10" t="n"/>
      <c r="F386" s="10" t="n"/>
      <c r="G386" s="10" t="n"/>
      <c r="H386" s="10" t="n"/>
      <c r="I386" s="10" t="n"/>
      <c r="J386" s="12">
        <f>IF(OR(A386="",COUNT(C386:E386)&lt;3),"",IFERROR(MAX(0,FLOOR(($N$2-$N$3)/E386,1))*MAX(1,MIN(IF(G386="",1,G386),FLOOR($N$4/D386,1)))*IF(F386="",1,F386),""))</f>
        <v/>
      </c>
      <c r="K386" s="12">
        <f>IF(A386="","",IF(COUNTIF(DATA!$D$2:$D$500,A386)=0,"CEK SKU tidak ada di DATA",IF(COUNT(C386:E386)&lt;3,"CEK dimensi belum lengkap",IF(OR(C386&lt;=0,D386&lt;=0,E386&lt;=0),"CEK dimensi harus lebih dari 0",IF(COUNTIF($A$2:$A$500,A386)&gt;1,"CEK SKU dobel","OK")))))</f>
        <v/>
      </c>
    </row>
    <row r="387">
      <c r="A387" s="10" t="n"/>
      <c r="B387" s="12">
        <f>IF(A387="","",IFERROR(INDEX(DATA!$E$2:$E$500,MATCH(A387,DATA!$D$2:$D$500,0)),""))</f>
        <v/>
      </c>
      <c r="C387" s="10" t="n"/>
      <c r="D387" s="10" t="n"/>
      <c r="E387" s="10" t="n"/>
      <c r="F387" s="10" t="n"/>
      <c r="G387" s="10" t="n"/>
      <c r="H387" s="10" t="n"/>
      <c r="I387" s="10" t="n"/>
      <c r="J387" s="12">
        <f>IF(OR(A387="",COUNT(C387:E387)&lt;3),"",IFERROR(MAX(0,FLOOR(($N$2-$N$3)/E387,1))*MAX(1,MIN(IF(G387="",1,G387),FLOOR($N$4/D387,1)))*IF(F387="",1,F387),""))</f>
        <v/>
      </c>
      <c r="K387" s="12">
        <f>IF(A387="","",IF(COUNTIF(DATA!$D$2:$D$500,A387)=0,"CEK SKU tidak ada di DATA",IF(COUNT(C387:E387)&lt;3,"CEK dimensi belum lengkap",IF(OR(C387&lt;=0,D387&lt;=0,E387&lt;=0),"CEK dimensi harus lebih dari 0",IF(COUNTIF($A$2:$A$500,A387)&gt;1,"CEK SKU dobel","OK")))))</f>
        <v/>
      </c>
    </row>
    <row r="388">
      <c r="A388" s="10" t="n"/>
      <c r="B388" s="12">
        <f>IF(A388="","",IFERROR(INDEX(DATA!$E$2:$E$500,MATCH(A388,DATA!$D$2:$D$500,0)),""))</f>
        <v/>
      </c>
      <c r="C388" s="10" t="n"/>
      <c r="D388" s="10" t="n"/>
      <c r="E388" s="10" t="n"/>
      <c r="F388" s="10" t="n"/>
      <c r="G388" s="10" t="n"/>
      <c r="H388" s="10" t="n"/>
      <c r="I388" s="10" t="n"/>
      <c r="J388" s="12">
        <f>IF(OR(A388="",COUNT(C388:E388)&lt;3),"",IFERROR(MAX(0,FLOOR(($N$2-$N$3)/E388,1))*MAX(1,MIN(IF(G388="",1,G388),FLOOR($N$4/D388,1)))*IF(F388="",1,F388),""))</f>
        <v/>
      </c>
      <c r="K388" s="12">
        <f>IF(A388="","",IF(COUNTIF(DATA!$D$2:$D$500,A388)=0,"CEK SKU tidak ada di DATA",IF(COUNT(C388:E388)&lt;3,"CEK dimensi belum lengkap",IF(OR(C388&lt;=0,D388&lt;=0,E388&lt;=0),"CEK dimensi harus lebih dari 0",IF(COUNTIF($A$2:$A$500,A388)&gt;1,"CEK SKU dobel","OK")))))</f>
        <v/>
      </c>
    </row>
    <row r="389">
      <c r="A389" s="10" t="n"/>
      <c r="B389" s="12">
        <f>IF(A389="","",IFERROR(INDEX(DATA!$E$2:$E$500,MATCH(A389,DATA!$D$2:$D$500,0)),""))</f>
        <v/>
      </c>
      <c r="C389" s="10" t="n"/>
      <c r="D389" s="10" t="n"/>
      <c r="E389" s="10" t="n"/>
      <c r="F389" s="10" t="n"/>
      <c r="G389" s="10" t="n"/>
      <c r="H389" s="10" t="n"/>
      <c r="I389" s="10" t="n"/>
      <c r="J389" s="12">
        <f>IF(OR(A389="",COUNT(C389:E389)&lt;3),"",IFERROR(MAX(0,FLOOR(($N$2-$N$3)/E389,1))*MAX(1,MIN(IF(G389="",1,G389),FLOOR($N$4/D389,1)))*IF(F389="",1,F389),""))</f>
        <v/>
      </c>
      <c r="K389" s="12">
        <f>IF(A389="","",IF(COUNTIF(DATA!$D$2:$D$500,A389)=0,"CEK SKU tidak ada di DATA",IF(COUNT(C389:E389)&lt;3,"CEK dimensi belum lengkap",IF(OR(C389&lt;=0,D389&lt;=0,E389&lt;=0),"CEK dimensi harus lebih dari 0",IF(COUNTIF($A$2:$A$500,A389)&gt;1,"CEK SKU dobel","OK")))))</f>
        <v/>
      </c>
    </row>
    <row r="390">
      <c r="A390" s="10" t="n"/>
      <c r="B390" s="12">
        <f>IF(A390="","",IFERROR(INDEX(DATA!$E$2:$E$500,MATCH(A390,DATA!$D$2:$D$500,0)),""))</f>
        <v/>
      </c>
      <c r="C390" s="10" t="n"/>
      <c r="D390" s="10" t="n"/>
      <c r="E390" s="10" t="n"/>
      <c r="F390" s="10" t="n"/>
      <c r="G390" s="10" t="n"/>
      <c r="H390" s="10" t="n"/>
      <c r="I390" s="10" t="n"/>
      <c r="J390" s="12">
        <f>IF(OR(A390="",COUNT(C390:E390)&lt;3),"",IFERROR(MAX(0,FLOOR(($N$2-$N$3)/E390,1))*MAX(1,MIN(IF(G390="",1,G390),FLOOR($N$4/D390,1)))*IF(F390="",1,F390),""))</f>
        <v/>
      </c>
      <c r="K390" s="12">
        <f>IF(A390="","",IF(COUNTIF(DATA!$D$2:$D$500,A390)=0,"CEK SKU tidak ada di DATA",IF(COUNT(C390:E390)&lt;3,"CEK dimensi belum lengkap",IF(OR(C390&lt;=0,D390&lt;=0,E390&lt;=0),"CEK dimensi harus lebih dari 0",IF(COUNTIF($A$2:$A$500,A390)&gt;1,"CEK SKU dobel","OK")))))</f>
        <v/>
      </c>
    </row>
    <row r="391">
      <c r="A391" s="10" t="n"/>
      <c r="B391" s="12">
        <f>IF(A391="","",IFERROR(INDEX(DATA!$E$2:$E$500,MATCH(A391,DATA!$D$2:$D$500,0)),""))</f>
        <v/>
      </c>
      <c r="C391" s="10" t="n"/>
      <c r="D391" s="10" t="n"/>
      <c r="E391" s="10" t="n"/>
      <c r="F391" s="10" t="n"/>
      <c r="G391" s="10" t="n"/>
      <c r="H391" s="10" t="n"/>
      <c r="I391" s="10" t="n"/>
      <c r="J391" s="12">
        <f>IF(OR(A391="",COUNT(C391:E391)&lt;3),"",IFERROR(MAX(0,FLOOR(($N$2-$N$3)/E391,1))*MAX(1,MIN(IF(G391="",1,G391),FLOOR($N$4/D391,1)))*IF(F391="",1,F391),""))</f>
        <v/>
      </c>
      <c r="K391" s="12">
        <f>IF(A391="","",IF(COUNTIF(DATA!$D$2:$D$500,A391)=0,"CEK SKU tidak ada di DATA",IF(COUNT(C391:E391)&lt;3,"CEK dimensi belum lengkap",IF(OR(C391&lt;=0,D391&lt;=0,E391&lt;=0),"CEK dimensi harus lebih dari 0",IF(COUNTIF($A$2:$A$500,A391)&gt;1,"CEK SKU dobel","OK")))))</f>
        <v/>
      </c>
    </row>
    <row r="392">
      <c r="A392" s="10" t="n"/>
      <c r="B392" s="12">
        <f>IF(A392="","",IFERROR(INDEX(DATA!$E$2:$E$500,MATCH(A392,DATA!$D$2:$D$500,0)),""))</f>
        <v/>
      </c>
      <c r="C392" s="10" t="n"/>
      <c r="D392" s="10" t="n"/>
      <c r="E392" s="10" t="n"/>
      <c r="F392" s="10" t="n"/>
      <c r="G392" s="10" t="n"/>
      <c r="H392" s="10" t="n"/>
      <c r="I392" s="10" t="n"/>
      <c r="J392" s="12">
        <f>IF(OR(A392="",COUNT(C392:E392)&lt;3),"",IFERROR(MAX(0,FLOOR(($N$2-$N$3)/E392,1))*MAX(1,MIN(IF(G392="",1,G392),FLOOR($N$4/D392,1)))*IF(F392="",1,F392),""))</f>
        <v/>
      </c>
      <c r="K392" s="12">
        <f>IF(A392="","",IF(COUNTIF(DATA!$D$2:$D$500,A392)=0,"CEK SKU tidak ada di DATA",IF(COUNT(C392:E392)&lt;3,"CEK dimensi belum lengkap",IF(OR(C392&lt;=0,D392&lt;=0,E392&lt;=0),"CEK dimensi harus lebih dari 0",IF(COUNTIF($A$2:$A$500,A392)&gt;1,"CEK SKU dobel","OK")))))</f>
        <v/>
      </c>
    </row>
    <row r="393">
      <c r="A393" s="10" t="n"/>
      <c r="B393" s="12">
        <f>IF(A393="","",IFERROR(INDEX(DATA!$E$2:$E$500,MATCH(A393,DATA!$D$2:$D$500,0)),""))</f>
        <v/>
      </c>
      <c r="C393" s="10" t="n"/>
      <c r="D393" s="10" t="n"/>
      <c r="E393" s="10" t="n"/>
      <c r="F393" s="10" t="n"/>
      <c r="G393" s="10" t="n"/>
      <c r="H393" s="10" t="n"/>
      <c r="I393" s="10" t="n"/>
      <c r="J393" s="12">
        <f>IF(OR(A393="",COUNT(C393:E393)&lt;3),"",IFERROR(MAX(0,FLOOR(($N$2-$N$3)/E393,1))*MAX(1,MIN(IF(G393="",1,G393),FLOOR($N$4/D393,1)))*IF(F393="",1,F393),""))</f>
        <v/>
      </c>
      <c r="K393" s="12">
        <f>IF(A393="","",IF(COUNTIF(DATA!$D$2:$D$500,A393)=0,"CEK SKU tidak ada di DATA",IF(COUNT(C393:E393)&lt;3,"CEK dimensi belum lengkap",IF(OR(C393&lt;=0,D393&lt;=0,E393&lt;=0),"CEK dimensi harus lebih dari 0",IF(COUNTIF($A$2:$A$500,A393)&gt;1,"CEK SKU dobel","OK")))))</f>
        <v/>
      </c>
    </row>
    <row r="394">
      <c r="A394" s="10" t="n"/>
      <c r="B394" s="12">
        <f>IF(A394="","",IFERROR(INDEX(DATA!$E$2:$E$500,MATCH(A394,DATA!$D$2:$D$500,0)),""))</f>
        <v/>
      </c>
      <c r="C394" s="10" t="n"/>
      <c r="D394" s="10" t="n"/>
      <c r="E394" s="10" t="n"/>
      <c r="F394" s="10" t="n"/>
      <c r="G394" s="10" t="n"/>
      <c r="H394" s="10" t="n"/>
      <c r="I394" s="10" t="n"/>
      <c r="J394" s="12">
        <f>IF(OR(A394="",COUNT(C394:E394)&lt;3),"",IFERROR(MAX(0,FLOOR(($N$2-$N$3)/E394,1))*MAX(1,MIN(IF(G394="",1,G394),FLOOR($N$4/D394,1)))*IF(F394="",1,F394),""))</f>
        <v/>
      </c>
      <c r="K394" s="12">
        <f>IF(A394="","",IF(COUNTIF(DATA!$D$2:$D$500,A394)=0,"CEK SKU tidak ada di DATA",IF(COUNT(C394:E394)&lt;3,"CEK dimensi belum lengkap",IF(OR(C394&lt;=0,D394&lt;=0,E394&lt;=0),"CEK dimensi harus lebih dari 0",IF(COUNTIF($A$2:$A$500,A394)&gt;1,"CEK SKU dobel","OK")))))</f>
        <v/>
      </c>
    </row>
    <row r="395">
      <c r="A395" s="10" t="n"/>
      <c r="B395" s="12">
        <f>IF(A395="","",IFERROR(INDEX(DATA!$E$2:$E$500,MATCH(A395,DATA!$D$2:$D$500,0)),""))</f>
        <v/>
      </c>
      <c r="C395" s="10" t="n"/>
      <c r="D395" s="10" t="n"/>
      <c r="E395" s="10" t="n"/>
      <c r="F395" s="10" t="n"/>
      <c r="G395" s="10" t="n"/>
      <c r="H395" s="10" t="n"/>
      <c r="I395" s="10" t="n"/>
      <c r="J395" s="12">
        <f>IF(OR(A395="",COUNT(C395:E395)&lt;3),"",IFERROR(MAX(0,FLOOR(($N$2-$N$3)/E395,1))*MAX(1,MIN(IF(G395="",1,G395),FLOOR($N$4/D395,1)))*IF(F395="",1,F395),""))</f>
        <v/>
      </c>
      <c r="K395" s="12">
        <f>IF(A395="","",IF(COUNTIF(DATA!$D$2:$D$500,A395)=0,"CEK SKU tidak ada di DATA",IF(COUNT(C395:E395)&lt;3,"CEK dimensi belum lengkap",IF(OR(C395&lt;=0,D395&lt;=0,E395&lt;=0),"CEK dimensi harus lebih dari 0",IF(COUNTIF($A$2:$A$500,A395)&gt;1,"CEK SKU dobel","OK")))))</f>
        <v/>
      </c>
    </row>
    <row r="396">
      <c r="A396" s="10" t="n"/>
      <c r="B396" s="12">
        <f>IF(A396="","",IFERROR(INDEX(DATA!$E$2:$E$500,MATCH(A396,DATA!$D$2:$D$500,0)),""))</f>
        <v/>
      </c>
      <c r="C396" s="10" t="n"/>
      <c r="D396" s="10" t="n"/>
      <c r="E396" s="10" t="n"/>
      <c r="F396" s="10" t="n"/>
      <c r="G396" s="10" t="n"/>
      <c r="H396" s="10" t="n"/>
      <c r="I396" s="10" t="n"/>
      <c r="J396" s="12">
        <f>IF(OR(A396="",COUNT(C396:E396)&lt;3),"",IFERROR(MAX(0,FLOOR(($N$2-$N$3)/E396,1))*MAX(1,MIN(IF(G396="",1,G396),FLOOR($N$4/D396,1)))*IF(F396="",1,F396),""))</f>
        <v/>
      </c>
      <c r="K396" s="12">
        <f>IF(A396="","",IF(COUNTIF(DATA!$D$2:$D$500,A396)=0,"CEK SKU tidak ada di DATA",IF(COUNT(C396:E396)&lt;3,"CEK dimensi belum lengkap",IF(OR(C396&lt;=0,D396&lt;=0,E396&lt;=0),"CEK dimensi harus lebih dari 0",IF(COUNTIF($A$2:$A$500,A396)&gt;1,"CEK SKU dobel","OK")))))</f>
        <v/>
      </c>
    </row>
    <row r="397">
      <c r="A397" s="10" t="n"/>
      <c r="B397" s="12">
        <f>IF(A397="","",IFERROR(INDEX(DATA!$E$2:$E$500,MATCH(A397,DATA!$D$2:$D$500,0)),""))</f>
        <v/>
      </c>
      <c r="C397" s="10" t="n"/>
      <c r="D397" s="10" t="n"/>
      <c r="E397" s="10" t="n"/>
      <c r="F397" s="10" t="n"/>
      <c r="G397" s="10" t="n"/>
      <c r="H397" s="10" t="n"/>
      <c r="I397" s="10" t="n"/>
      <c r="J397" s="12">
        <f>IF(OR(A397="",COUNT(C397:E397)&lt;3),"",IFERROR(MAX(0,FLOOR(($N$2-$N$3)/E397,1))*MAX(1,MIN(IF(G397="",1,G397),FLOOR($N$4/D397,1)))*IF(F397="",1,F397),""))</f>
        <v/>
      </c>
      <c r="K397" s="12">
        <f>IF(A397="","",IF(COUNTIF(DATA!$D$2:$D$500,A397)=0,"CEK SKU tidak ada di DATA",IF(COUNT(C397:E397)&lt;3,"CEK dimensi belum lengkap",IF(OR(C397&lt;=0,D397&lt;=0,E397&lt;=0),"CEK dimensi harus lebih dari 0",IF(COUNTIF($A$2:$A$500,A397)&gt;1,"CEK SKU dobel","OK")))))</f>
        <v/>
      </c>
    </row>
    <row r="398">
      <c r="A398" s="10" t="n"/>
      <c r="B398" s="12">
        <f>IF(A398="","",IFERROR(INDEX(DATA!$E$2:$E$500,MATCH(A398,DATA!$D$2:$D$500,0)),""))</f>
        <v/>
      </c>
      <c r="C398" s="10" t="n"/>
      <c r="D398" s="10" t="n"/>
      <c r="E398" s="10" t="n"/>
      <c r="F398" s="10" t="n"/>
      <c r="G398" s="10" t="n"/>
      <c r="H398" s="10" t="n"/>
      <c r="I398" s="10" t="n"/>
      <c r="J398" s="12">
        <f>IF(OR(A398="",COUNT(C398:E398)&lt;3),"",IFERROR(MAX(0,FLOOR(($N$2-$N$3)/E398,1))*MAX(1,MIN(IF(G398="",1,G398),FLOOR($N$4/D398,1)))*IF(F398="",1,F398),""))</f>
        <v/>
      </c>
      <c r="K398" s="12">
        <f>IF(A398="","",IF(COUNTIF(DATA!$D$2:$D$500,A398)=0,"CEK SKU tidak ada di DATA",IF(COUNT(C398:E398)&lt;3,"CEK dimensi belum lengkap",IF(OR(C398&lt;=0,D398&lt;=0,E398&lt;=0),"CEK dimensi harus lebih dari 0",IF(COUNTIF($A$2:$A$500,A398)&gt;1,"CEK SKU dobel","OK")))))</f>
        <v/>
      </c>
    </row>
    <row r="399">
      <c r="A399" s="10" t="n"/>
      <c r="B399" s="12">
        <f>IF(A399="","",IFERROR(INDEX(DATA!$E$2:$E$500,MATCH(A399,DATA!$D$2:$D$500,0)),""))</f>
        <v/>
      </c>
      <c r="C399" s="10" t="n"/>
      <c r="D399" s="10" t="n"/>
      <c r="E399" s="10" t="n"/>
      <c r="F399" s="10" t="n"/>
      <c r="G399" s="10" t="n"/>
      <c r="H399" s="10" t="n"/>
      <c r="I399" s="10" t="n"/>
      <c r="J399" s="12">
        <f>IF(OR(A399="",COUNT(C399:E399)&lt;3),"",IFERROR(MAX(0,FLOOR(($N$2-$N$3)/E399,1))*MAX(1,MIN(IF(G399="",1,G399),FLOOR($N$4/D399,1)))*IF(F399="",1,F399),""))</f>
        <v/>
      </c>
      <c r="K399" s="12">
        <f>IF(A399="","",IF(COUNTIF(DATA!$D$2:$D$500,A399)=0,"CEK SKU tidak ada di DATA",IF(COUNT(C399:E399)&lt;3,"CEK dimensi belum lengkap",IF(OR(C399&lt;=0,D399&lt;=0,E399&lt;=0),"CEK dimensi harus lebih dari 0",IF(COUNTIF($A$2:$A$500,A399)&gt;1,"CEK SKU dobel","OK")))))</f>
        <v/>
      </c>
    </row>
    <row r="400">
      <c r="A400" s="10" t="n"/>
      <c r="B400" s="12">
        <f>IF(A400="","",IFERROR(INDEX(DATA!$E$2:$E$500,MATCH(A400,DATA!$D$2:$D$500,0)),""))</f>
        <v/>
      </c>
      <c r="C400" s="10" t="n"/>
      <c r="D400" s="10" t="n"/>
      <c r="E400" s="10" t="n"/>
      <c r="F400" s="10" t="n"/>
      <c r="G400" s="10" t="n"/>
      <c r="H400" s="10" t="n"/>
      <c r="I400" s="10" t="n"/>
      <c r="J400" s="12">
        <f>IF(OR(A400="",COUNT(C400:E400)&lt;3),"",IFERROR(MAX(0,FLOOR(($N$2-$N$3)/E400,1))*MAX(1,MIN(IF(G400="",1,G400),FLOOR($N$4/D400,1)))*IF(F400="",1,F400),""))</f>
        <v/>
      </c>
      <c r="K400" s="12">
        <f>IF(A400="","",IF(COUNTIF(DATA!$D$2:$D$500,A400)=0,"CEK SKU tidak ada di DATA",IF(COUNT(C400:E400)&lt;3,"CEK dimensi belum lengkap",IF(OR(C400&lt;=0,D400&lt;=0,E400&lt;=0),"CEK dimensi harus lebih dari 0",IF(COUNTIF($A$2:$A$500,A400)&gt;1,"CEK SKU dobel","OK")))))</f>
        <v/>
      </c>
    </row>
    <row r="401">
      <c r="A401" s="10" t="n"/>
      <c r="B401" s="12">
        <f>IF(A401="","",IFERROR(INDEX(DATA!$E$2:$E$500,MATCH(A401,DATA!$D$2:$D$500,0)),""))</f>
        <v/>
      </c>
      <c r="C401" s="10" t="n"/>
      <c r="D401" s="10" t="n"/>
      <c r="E401" s="10" t="n"/>
      <c r="F401" s="10" t="n"/>
      <c r="G401" s="10" t="n"/>
      <c r="H401" s="10" t="n"/>
      <c r="I401" s="10" t="n"/>
      <c r="J401" s="12">
        <f>IF(OR(A401="",COUNT(C401:E401)&lt;3),"",IFERROR(MAX(0,FLOOR(($N$2-$N$3)/E401,1))*MAX(1,MIN(IF(G401="",1,G401),FLOOR($N$4/D401,1)))*IF(F401="",1,F401),""))</f>
        <v/>
      </c>
      <c r="K401" s="12">
        <f>IF(A401="","",IF(COUNTIF(DATA!$D$2:$D$500,A401)=0,"CEK SKU tidak ada di DATA",IF(COUNT(C401:E401)&lt;3,"CEK dimensi belum lengkap",IF(OR(C401&lt;=0,D401&lt;=0,E401&lt;=0),"CEK dimensi harus lebih dari 0",IF(COUNTIF($A$2:$A$500,A401)&gt;1,"CEK SKU dobel","OK")))))</f>
        <v/>
      </c>
    </row>
    <row r="402">
      <c r="A402" s="10" t="n"/>
      <c r="B402" s="12">
        <f>IF(A402="","",IFERROR(INDEX(DATA!$E$2:$E$500,MATCH(A402,DATA!$D$2:$D$500,0)),""))</f>
        <v/>
      </c>
      <c r="C402" s="10" t="n"/>
      <c r="D402" s="10" t="n"/>
      <c r="E402" s="10" t="n"/>
      <c r="F402" s="10" t="n"/>
      <c r="G402" s="10" t="n"/>
      <c r="H402" s="10" t="n"/>
      <c r="I402" s="10" t="n"/>
      <c r="J402" s="12">
        <f>IF(OR(A402="",COUNT(C402:E402)&lt;3),"",IFERROR(MAX(0,FLOOR(($N$2-$N$3)/E402,1))*MAX(1,MIN(IF(G402="",1,G402),FLOOR($N$4/D402,1)))*IF(F402="",1,F402),""))</f>
        <v/>
      </c>
      <c r="K402" s="12">
        <f>IF(A402="","",IF(COUNTIF(DATA!$D$2:$D$500,A402)=0,"CEK SKU tidak ada di DATA",IF(COUNT(C402:E402)&lt;3,"CEK dimensi belum lengkap",IF(OR(C402&lt;=0,D402&lt;=0,E402&lt;=0),"CEK dimensi harus lebih dari 0",IF(COUNTIF($A$2:$A$500,A402)&gt;1,"CEK SKU dobel","OK")))))</f>
        <v/>
      </c>
    </row>
    <row r="403">
      <c r="A403" s="10" t="n"/>
      <c r="B403" s="12">
        <f>IF(A403="","",IFERROR(INDEX(DATA!$E$2:$E$500,MATCH(A403,DATA!$D$2:$D$500,0)),""))</f>
        <v/>
      </c>
      <c r="C403" s="10" t="n"/>
      <c r="D403" s="10" t="n"/>
      <c r="E403" s="10" t="n"/>
      <c r="F403" s="10" t="n"/>
      <c r="G403" s="10" t="n"/>
      <c r="H403" s="10" t="n"/>
      <c r="I403" s="10" t="n"/>
      <c r="J403" s="12">
        <f>IF(OR(A403="",COUNT(C403:E403)&lt;3),"",IFERROR(MAX(0,FLOOR(($N$2-$N$3)/E403,1))*MAX(1,MIN(IF(G403="",1,G403),FLOOR($N$4/D403,1)))*IF(F403="",1,F403),""))</f>
        <v/>
      </c>
      <c r="K403" s="12">
        <f>IF(A403="","",IF(COUNTIF(DATA!$D$2:$D$500,A403)=0,"CEK SKU tidak ada di DATA",IF(COUNT(C403:E403)&lt;3,"CEK dimensi belum lengkap",IF(OR(C403&lt;=0,D403&lt;=0,E403&lt;=0),"CEK dimensi harus lebih dari 0",IF(COUNTIF($A$2:$A$500,A403)&gt;1,"CEK SKU dobel","OK")))))</f>
        <v/>
      </c>
    </row>
    <row r="404">
      <c r="A404" s="10" t="n"/>
      <c r="B404" s="12">
        <f>IF(A404="","",IFERROR(INDEX(DATA!$E$2:$E$500,MATCH(A404,DATA!$D$2:$D$500,0)),""))</f>
        <v/>
      </c>
      <c r="C404" s="10" t="n"/>
      <c r="D404" s="10" t="n"/>
      <c r="E404" s="10" t="n"/>
      <c r="F404" s="10" t="n"/>
      <c r="G404" s="10" t="n"/>
      <c r="H404" s="10" t="n"/>
      <c r="I404" s="10" t="n"/>
      <c r="J404" s="12">
        <f>IF(OR(A404="",COUNT(C404:E404)&lt;3),"",IFERROR(MAX(0,FLOOR(($N$2-$N$3)/E404,1))*MAX(1,MIN(IF(G404="",1,G404),FLOOR($N$4/D404,1)))*IF(F404="",1,F404),""))</f>
        <v/>
      </c>
      <c r="K404" s="12">
        <f>IF(A404="","",IF(COUNTIF(DATA!$D$2:$D$500,A404)=0,"CEK SKU tidak ada di DATA",IF(COUNT(C404:E404)&lt;3,"CEK dimensi belum lengkap",IF(OR(C404&lt;=0,D404&lt;=0,E404&lt;=0),"CEK dimensi harus lebih dari 0",IF(COUNTIF($A$2:$A$500,A404)&gt;1,"CEK SKU dobel","OK")))))</f>
        <v/>
      </c>
    </row>
    <row r="405">
      <c r="A405" s="10" t="n"/>
      <c r="B405" s="12">
        <f>IF(A405="","",IFERROR(INDEX(DATA!$E$2:$E$500,MATCH(A405,DATA!$D$2:$D$500,0)),""))</f>
        <v/>
      </c>
      <c r="C405" s="10" t="n"/>
      <c r="D405" s="10" t="n"/>
      <c r="E405" s="10" t="n"/>
      <c r="F405" s="10" t="n"/>
      <c r="G405" s="10" t="n"/>
      <c r="H405" s="10" t="n"/>
      <c r="I405" s="10" t="n"/>
      <c r="J405" s="12">
        <f>IF(OR(A405="",COUNT(C405:E405)&lt;3),"",IFERROR(MAX(0,FLOOR(($N$2-$N$3)/E405,1))*MAX(1,MIN(IF(G405="",1,G405),FLOOR($N$4/D405,1)))*IF(F405="",1,F405),""))</f>
        <v/>
      </c>
      <c r="K405" s="12">
        <f>IF(A405="","",IF(COUNTIF(DATA!$D$2:$D$500,A405)=0,"CEK SKU tidak ada di DATA",IF(COUNT(C405:E405)&lt;3,"CEK dimensi belum lengkap",IF(OR(C405&lt;=0,D405&lt;=0,E405&lt;=0),"CEK dimensi harus lebih dari 0",IF(COUNTIF($A$2:$A$500,A405)&gt;1,"CEK SKU dobel","OK")))))</f>
        <v/>
      </c>
    </row>
    <row r="406">
      <c r="A406" s="10" t="n"/>
      <c r="B406" s="12">
        <f>IF(A406="","",IFERROR(INDEX(DATA!$E$2:$E$500,MATCH(A406,DATA!$D$2:$D$500,0)),""))</f>
        <v/>
      </c>
      <c r="C406" s="10" t="n"/>
      <c r="D406" s="10" t="n"/>
      <c r="E406" s="10" t="n"/>
      <c r="F406" s="10" t="n"/>
      <c r="G406" s="10" t="n"/>
      <c r="H406" s="10" t="n"/>
      <c r="I406" s="10" t="n"/>
      <c r="J406" s="12">
        <f>IF(OR(A406="",COUNT(C406:E406)&lt;3),"",IFERROR(MAX(0,FLOOR(($N$2-$N$3)/E406,1))*MAX(1,MIN(IF(G406="",1,G406),FLOOR($N$4/D406,1)))*IF(F406="",1,F406),""))</f>
        <v/>
      </c>
      <c r="K406" s="12">
        <f>IF(A406="","",IF(COUNTIF(DATA!$D$2:$D$500,A406)=0,"CEK SKU tidak ada di DATA",IF(COUNT(C406:E406)&lt;3,"CEK dimensi belum lengkap",IF(OR(C406&lt;=0,D406&lt;=0,E406&lt;=0),"CEK dimensi harus lebih dari 0",IF(COUNTIF($A$2:$A$500,A406)&gt;1,"CEK SKU dobel","OK")))))</f>
        <v/>
      </c>
    </row>
    <row r="407">
      <c r="A407" s="10" t="n"/>
      <c r="B407" s="12">
        <f>IF(A407="","",IFERROR(INDEX(DATA!$E$2:$E$500,MATCH(A407,DATA!$D$2:$D$500,0)),""))</f>
        <v/>
      </c>
      <c r="C407" s="10" t="n"/>
      <c r="D407" s="10" t="n"/>
      <c r="E407" s="10" t="n"/>
      <c r="F407" s="10" t="n"/>
      <c r="G407" s="10" t="n"/>
      <c r="H407" s="10" t="n"/>
      <c r="I407" s="10" t="n"/>
      <c r="J407" s="12">
        <f>IF(OR(A407="",COUNT(C407:E407)&lt;3),"",IFERROR(MAX(0,FLOOR(($N$2-$N$3)/E407,1))*MAX(1,MIN(IF(G407="",1,G407),FLOOR($N$4/D407,1)))*IF(F407="",1,F407),""))</f>
        <v/>
      </c>
      <c r="K407" s="12">
        <f>IF(A407="","",IF(COUNTIF(DATA!$D$2:$D$500,A407)=0,"CEK SKU tidak ada di DATA",IF(COUNT(C407:E407)&lt;3,"CEK dimensi belum lengkap",IF(OR(C407&lt;=0,D407&lt;=0,E407&lt;=0),"CEK dimensi harus lebih dari 0",IF(COUNTIF($A$2:$A$500,A407)&gt;1,"CEK SKU dobel","OK")))))</f>
        <v/>
      </c>
    </row>
    <row r="408">
      <c r="A408" s="10" t="n"/>
      <c r="B408" s="12">
        <f>IF(A408="","",IFERROR(INDEX(DATA!$E$2:$E$500,MATCH(A408,DATA!$D$2:$D$500,0)),""))</f>
        <v/>
      </c>
      <c r="C408" s="10" t="n"/>
      <c r="D408" s="10" t="n"/>
      <c r="E408" s="10" t="n"/>
      <c r="F408" s="10" t="n"/>
      <c r="G408" s="10" t="n"/>
      <c r="H408" s="10" t="n"/>
      <c r="I408" s="10" t="n"/>
      <c r="J408" s="12">
        <f>IF(OR(A408="",COUNT(C408:E408)&lt;3),"",IFERROR(MAX(0,FLOOR(($N$2-$N$3)/E408,1))*MAX(1,MIN(IF(G408="",1,G408),FLOOR($N$4/D408,1)))*IF(F408="",1,F408),""))</f>
        <v/>
      </c>
      <c r="K408" s="12">
        <f>IF(A408="","",IF(COUNTIF(DATA!$D$2:$D$500,A408)=0,"CEK SKU tidak ada di DATA",IF(COUNT(C408:E408)&lt;3,"CEK dimensi belum lengkap",IF(OR(C408&lt;=0,D408&lt;=0,E408&lt;=0),"CEK dimensi harus lebih dari 0",IF(COUNTIF($A$2:$A$500,A408)&gt;1,"CEK SKU dobel","OK")))))</f>
        <v/>
      </c>
    </row>
    <row r="409">
      <c r="A409" s="10" t="n"/>
      <c r="B409" s="12">
        <f>IF(A409="","",IFERROR(INDEX(DATA!$E$2:$E$500,MATCH(A409,DATA!$D$2:$D$500,0)),""))</f>
        <v/>
      </c>
      <c r="C409" s="10" t="n"/>
      <c r="D409" s="10" t="n"/>
      <c r="E409" s="10" t="n"/>
      <c r="F409" s="10" t="n"/>
      <c r="G409" s="10" t="n"/>
      <c r="H409" s="10" t="n"/>
      <c r="I409" s="10" t="n"/>
      <c r="J409" s="12">
        <f>IF(OR(A409="",COUNT(C409:E409)&lt;3),"",IFERROR(MAX(0,FLOOR(($N$2-$N$3)/E409,1))*MAX(1,MIN(IF(G409="",1,G409),FLOOR($N$4/D409,1)))*IF(F409="",1,F409),""))</f>
        <v/>
      </c>
      <c r="K409" s="12">
        <f>IF(A409="","",IF(COUNTIF(DATA!$D$2:$D$500,A409)=0,"CEK SKU tidak ada di DATA",IF(COUNT(C409:E409)&lt;3,"CEK dimensi belum lengkap",IF(OR(C409&lt;=0,D409&lt;=0,E409&lt;=0),"CEK dimensi harus lebih dari 0",IF(COUNTIF($A$2:$A$500,A409)&gt;1,"CEK SKU dobel","OK")))))</f>
        <v/>
      </c>
    </row>
    <row r="410">
      <c r="A410" s="10" t="n"/>
      <c r="B410" s="12">
        <f>IF(A410="","",IFERROR(INDEX(DATA!$E$2:$E$500,MATCH(A410,DATA!$D$2:$D$500,0)),""))</f>
        <v/>
      </c>
      <c r="C410" s="10" t="n"/>
      <c r="D410" s="10" t="n"/>
      <c r="E410" s="10" t="n"/>
      <c r="F410" s="10" t="n"/>
      <c r="G410" s="10" t="n"/>
      <c r="H410" s="10" t="n"/>
      <c r="I410" s="10" t="n"/>
      <c r="J410" s="12">
        <f>IF(OR(A410="",COUNT(C410:E410)&lt;3),"",IFERROR(MAX(0,FLOOR(($N$2-$N$3)/E410,1))*MAX(1,MIN(IF(G410="",1,G410),FLOOR($N$4/D410,1)))*IF(F410="",1,F410),""))</f>
        <v/>
      </c>
      <c r="K410" s="12">
        <f>IF(A410="","",IF(COUNTIF(DATA!$D$2:$D$500,A410)=0,"CEK SKU tidak ada di DATA",IF(COUNT(C410:E410)&lt;3,"CEK dimensi belum lengkap",IF(OR(C410&lt;=0,D410&lt;=0,E410&lt;=0),"CEK dimensi harus lebih dari 0",IF(COUNTIF($A$2:$A$500,A410)&gt;1,"CEK SKU dobel","OK")))))</f>
        <v/>
      </c>
    </row>
    <row r="411">
      <c r="A411" s="10" t="n"/>
      <c r="B411" s="12">
        <f>IF(A411="","",IFERROR(INDEX(DATA!$E$2:$E$500,MATCH(A411,DATA!$D$2:$D$500,0)),""))</f>
        <v/>
      </c>
      <c r="C411" s="10" t="n"/>
      <c r="D411" s="10" t="n"/>
      <c r="E411" s="10" t="n"/>
      <c r="F411" s="10" t="n"/>
      <c r="G411" s="10" t="n"/>
      <c r="H411" s="10" t="n"/>
      <c r="I411" s="10" t="n"/>
      <c r="J411" s="12">
        <f>IF(OR(A411="",COUNT(C411:E411)&lt;3),"",IFERROR(MAX(0,FLOOR(($N$2-$N$3)/E411,1))*MAX(1,MIN(IF(G411="",1,G411),FLOOR($N$4/D411,1)))*IF(F411="",1,F411),""))</f>
        <v/>
      </c>
      <c r="K411" s="12">
        <f>IF(A411="","",IF(COUNTIF(DATA!$D$2:$D$500,A411)=0,"CEK SKU tidak ada di DATA",IF(COUNT(C411:E411)&lt;3,"CEK dimensi belum lengkap",IF(OR(C411&lt;=0,D411&lt;=0,E411&lt;=0),"CEK dimensi harus lebih dari 0",IF(COUNTIF($A$2:$A$500,A411)&gt;1,"CEK SKU dobel","OK")))))</f>
        <v/>
      </c>
    </row>
    <row r="412">
      <c r="A412" s="10" t="n"/>
      <c r="B412" s="12">
        <f>IF(A412="","",IFERROR(INDEX(DATA!$E$2:$E$500,MATCH(A412,DATA!$D$2:$D$500,0)),""))</f>
        <v/>
      </c>
      <c r="C412" s="10" t="n"/>
      <c r="D412" s="10" t="n"/>
      <c r="E412" s="10" t="n"/>
      <c r="F412" s="10" t="n"/>
      <c r="G412" s="10" t="n"/>
      <c r="H412" s="10" t="n"/>
      <c r="I412" s="10" t="n"/>
      <c r="J412" s="12">
        <f>IF(OR(A412="",COUNT(C412:E412)&lt;3),"",IFERROR(MAX(0,FLOOR(($N$2-$N$3)/E412,1))*MAX(1,MIN(IF(G412="",1,G412),FLOOR($N$4/D412,1)))*IF(F412="",1,F412),""))</f>
        <v/>
      </c>
      <c r="K412" s="12">
        <f>IF(A412="","",IF(COUNTIF(DATA!$D$2:$D$500,A412)=0,"CEK SKU tidak ada di DATA",IF(COUNT(C412:E412)&lt;3,"CEK dimensi belum lengkap",IF(OR(C412&lt;=0,D412&lt;=0,E412&lt;=0),"CEK dimensi harus lebih dari 0",IF(COUNTIF($A$2:$A$500,A412)&gt;1,"CEK SKU dobel","OK")))))</f>
        <v/>
      </c>
    </row>
    <row r="413">
      <c r="A413" s="10" t="n"/>
      <c r="B413" s="12">
        <f>IF(A413="","",IFERROR(INDEX(DATA!$E$2:$E$500,MATCH(A413,DATA!$D$2:$D$500,0)),""))</f>
        <v/>
      </c>
      <c r="C413" s="10" t="n"/>
      <c r="D413" s="10" t="n"/>
      <c r="E413" s="10" t="n"/>
      <c r="F413" s="10" t="n"/>
      <c r="G413" s="10" t="n"/>
      <c r="H413" s="10" t="n"/>
      <c r="I413" s="10" t="n"/>
      <c r="J413" s="12">
        <f>IF(OR(A413="",COUNT(C413:E413)&lt;3),"",IFERROR(MAX(0,FLOOR(($N$2-$N$3)/E413,1))*MAX(1,MIN(IF(G413="",1,G413),FLOOR($N$4/D413,1)))*IF(F413="",1,F413),""))</f>
        <v/>
      </c>
      <c r="K413" s="12">
        <f>IF(A413="","",IF(COUNTIF(DATA!$D$2:$D$500,A413)=0,"CEK SKU tidak ada di DATA",IF(COUNT(C413:E413)&lt;3,"CEK dimensi belum lengkap",IF(OR(C413&lt;=0,D413&lt;=0,E413&lt;=0),"CEK dimensi harus lebih dari 0",IF(COUNTIF($A$2:$A$500,A413)&gt;1,"CEK SKU dobel","OK")))))</f>
        <v/>
      </c>
    </row>
    <row r="414">
      <c r="A414" s="10" t="n"/>
      <c r="B414" s="12">
        <f>IF(A414="","",IFERROR(INDEX(DATA!$E$2:$E$500,MATCH(A414,DATA!$D$2:$D$500,0)),""))</f>
        <v/>
      </c>
      <c r="C414" s="10" t="n"/>
      <c r="D414" s="10" t="n"/>
      <c r="E414" s="10" t="n"/>
      <c r="F414" s="10" t="n"/>
      <c r="G414" s="10" t="n"/>
      <c r="H414" s="10" t="n"/>
      <c r="I414" s="10" t="n"/>
      <c r="J414" s="12">
        <f>IF(OR(A414="",COUNT(C414:E414)&lt;3),"",IFERROR(MAX(0,FLOOR(($N$2-$N$3)/E414,1))*MAX(1,MIN(IF(G414="",1,G414),FLOOR($N$4/D414,1)))*IF(F414="",1,F414),""))</f>
        <v/>
      </c>
      <c r="K414" s="12">
        <f>IF(A414="","",IF(COUNTIF(DATA!$D$2:$D$500,A414)=0,"CEK SKU tidak ada di DATA",IF(COUNT(C414:E414)&lt;3,"CEK dimensi belum lengkap",IF(OR(C414&lt;=0,D414&lt;=0,E414&lt;=0),"CEK dimensi harus lebih dari 0",IF(COUNTIF($A$2:$A$500,A414)&gt;1,"CEK SKU dobel","OK")))))</f>
        <v/>
      </c>
    </row>
    <row r="415">
      <c r="A415" s="10" t="n"/>
      <c r="B415" s="12">
        <f>IF(A415="","",IFERROR(INDEX(DATA!$E$2:$E$500,MATCH(A415,DATA!$D$2:$D$500,0)),""))</f>
        <v/>
      </c>
      <c r="C415" s="10" t="n"/>
      <c r="D415" s="10" t="n"/>
      <c r="E415" s="10" t="n"/>
      <c r="F415" s="10" t="n"/>
      <c r="G415" s="10" t="n"/>
      <c r="H415" s="10" t="n"/>
      <c r="I415" s="10" t="n"/>
      <c r="J415" s="12">
        <f>IF(OR(A415="",COUNT(C415:E415)&lt;3),"",IFERROR(MAX(0,FLOOR(($N$2-$N$3)/E415,1))*MAX(1,MIN(IF(G415="",1,G415),FLOOR($N$4/D415,1)))*IF(F415="",1,F415),""))</f>
        <v/>
      </c>
      <c r="K415" s="12">
        <f>IF(A415="","",IF(COUNTIF(DATA!$D$2:$D$500,A415)=0,"CEK SKU tidak ada di DATA",IF(COUNT(C415:E415)&lt;3,"CEK dimensi belum lengkap",IF(OR(C415&lt;=0,D415&lt;=0,E415&lt;=0),"CEK dimensi harus lebih dari 0",IF(COUNTIF($A$2:$A$500,A415)&gt;1,"CEK SKU dobel","OK")))))</f>
        <v/>
      </c>
    </row>
    <row r="416">
      <c r="A416" s="10" t="n"/>
      <c r="B416" s="12">
        <f>IF(A416="","",IFERROR(INDEX(DATA!$E$2:$E$500,MATCH(A416,DATA!$D$2:$D$500,0)),""))</f>
        <v/>
      </c>
      <c r="C416" s="10" t="n"/>
      <c r="D416" s="10" t="n"/>
      <c r="E416" s="10" t="n"/>
      <c r="F416" s="10" t="n"/>
      <c r="G416" s="10" t="n"/>
      <c r="H416" s="10" t="n"/>
      <c r="I416" s="10" t="n"/>
      <c r="J416" s="12">
        <f>IF(OR(A416="",COUNT(C416:E416)&lt;3),"",IFERROR(MAX(0,FLOOR(($N$2-$N$3)/E416,1))*MAX(1,MIN(IF(G416="",1,G416),FLOOR($N$4/D416,1)))*IF(F416="",1,F416),""))</f>
        <v/>
      </c>
      <c r="K416" s="12">
        <f>IF(A416="","",IF(COUNTIF(DATA!$D$2:$D$500,A416)=0,"CEK SKU tidak ada di DATA",IF(COUNT(C416:E416)&lt;3,"CEK dimensi belum lengkap",IF(OR(C416&lt;=0,D416&lt;=0,E416&lt;=0),"CEK dimensi harus lebih dari 0",IF(COUNTIF($A$2:$A$500,A416)&gt;1,"CEK SKU dobel","OK")))))</f>
        <v/>
      </c>
    </row>
    <row r="417">
      <c r="A417" s="10" t="n"/>
      <c r="B417" s="12">
        <f>IF(A417="","",IFERROR(INDEX(DATA!$E$2:$E$500,MATCH(A417,DATA!$D$2:$D$500,0)),""))</f>
        <v/>
      </c>
      <c r="C417" s="10" t="n"/>
      <c r="D417" s="10" t="n"/>
      <c r="E417" s="10" t="n"/>
      <c r="F417" s="10" t="n"/>
      <c r="G417" s="10" t="n"/>
      <c r="H417" s="10" t="n"/>
      <c r="I417" s="10" t="n"/>
      <c r="J417" s="12">
        <f>IF(OR(A417="",COUNT(C417:E417)&lt;3),"",IFERROR(MAX(0,FLOOR(($N$2-$N$3)/E417,1))*MAX(1,MIN(IF(G417="",1,G417),FLOOR($N$4/D417,1)))*IF(F417="",1,F417),""))</f>
        <v/>
      </c>
      <c r="K417" s="12">
        <f>IF(A417="","",IF(COUNTIF(DATA!$D$2:$D$500,A417)=0,"CEK SKU tidak ada di DATA",IF(COUNT(C417:E417)&lt;3,"CEK dimensi belum lengkap",IF(OR(C417&lt;=0,D417&lt;=0,E417&lt;=0),"CEK dimensi harus lebih dari 0",IF(COUNTIF($A$2:$A$500,A417)&gt;1,"CEK SKU dobel","OK")))))</f>
        <v/>
      </c>
    </row>
    <row r="418">
      <c r="A418" s="10" t="n"/>
      <c r="B418" s="12">
        <f>IF(A418="","",IFERROR(INDEX(DATA!$E$2:$E$500,MATCH(A418,DATA!$D$2:$D$500,0)),""))</f>
        <v/>
      </c>
      <c r="C418" s="10" t="n"/>
      <c r="D418" s="10" t="n"/>
      <c r="E418" s="10" t="n"/>
      <c r="F418" s="10" t="n"/>
      <c r="G418" s="10" t="n"/>
      <c r="H418" s="10" t="n"/>
      <c r="I418" s="10" t="n"/>
      <c r="J418" s="12">
        <f>IF(OR(A418="",COUNT(C418:E418)&lt;3),"",IFERROR(MAX(0,FLOOR(($N$2-$N$3)/E418,1))*MAX(1,MIN(IF(G418="",1,G418),FLOOR($N$4/D418,1)))*IF(F418="",1,F418),""))</f>
        <v/>
      </c>
      <c r="K418" s="12">
        <f>IF(A418="","",IF(COUNTIF(DATA!$D$2:$D$500,A418)=0,"CEK SKU tidak ada di DATA",IF(COUNT(C418:E418)&lt;3,"CEK dimensi belum lengkap",IF(OR(C418&lt;=0,D418&lt;=0,E418&lt;=0),"CEK dimensi harus lebih dari 0",IF(COUNTIF($A$2:$A$500,A418)&gt;1,"CEK SKU dobel","OK")))))</f>
        <v/>
      </c>
    </row>
    <row r="419">
      <c r="A419" s="10" t="n"/>
      <c r="B419" s="12">
        <f>IF(A419="","",IFERROR(INDEX(DATA!$E$2:$E$500,MATCH(A419,DATA!$D$2:$D$500,0)),""))</f>
        <v/>
      </c>
      <c r="C419" s="10" t="n"/>
      <c r="D419" s="10" t="n"/>
      <c r="E419" s="10" t="n"/>
      <c r="F419" s="10" t="n"/>
      <c r="G419" s="10" t="n"/>
      <c r="H419" s="10" t="n"/>
      <c r="I419" s="10" t="n"/>
      <c r="J419" s="12">
        <f>IF(OR(A419="",COUNT(C419:E419)&lt;3),"",IFERROR(MAX(0,FLOOR(($N$2-$N$3)/E419,1))*MAX(1,MIN(IF(G419="",1,G419),FLOOR($N$4/D419,1)))*IF(F419="",1,F419),""))</f>
        <v/>
      </c>
      <c r="K419" s="12">
        <f>IF(A419="","",IF(COUNTIF(DATA!$D$2:$D$500,A419)=0,"CEK SKU tidak ada di DATA",IF(COUNT(C419:E419)&lt;3,"CEK dimensi belum lengkap",IF(OR(C419&lt;=0,D419&lt;=0,E419&lt;=0),"CEK dimensi harus lebih dari 0",IF(COUNTIF($A$2:$A$500,A419)&gt;1,"CEK SKU dobel","OK")))))</f>
        <v/>
      </c>
    </row>
    <row r="420">
      <c r="A420" s="10" t="n"/>
      <c r="B420" s="12">
        <f>IF(A420="","",IFERROR(INDEX(DATA!$E$2:$E$500,MATCH(A420,DATA!$D$2:$D$500,0)),""))</f>
        <v/>
      </c>
      <c r="C420" s="10" t="n"/>
      <c r="D420" s="10" t="n"/>
      <c r="E420" s="10" t="n"/>
      <c r="F420" s="10" t="n"/>
      <c r="G420" s="10" t="n"/>
      <c r="H420" s="10" t="n"/>
      <c r="I420" s="10" t="n"/>
      <c r="J420" s="12">
        <f>IF(OR(A420="",COUNT(C420:E420)&lt;3),"",IFERROR(MAX(0,FLOOR(($N$2-$N$3)/E420,1))*MAX(1,MIN(IF(G420="",1,G420),FLOOR($N$4/D420,1)))*IF(F420="",1,F420),""))</f>
        <v/>
      </c>
      <c r="K420" s="12">
        <f>IF(A420="","",IF(COUNTIF(DATA!$D$2:$D$500,A420)=0,"CEK SKU tidak ada di DATA",IF(COUNT(C420:E420)&lt;3,"CEK dimensi belum lengkap",IF(OR(C420&lt;=0,D420&lt;=0,E420&lt;=0),"CEK dimensi harus lebih dari 0",IF(COUNTIF($A$2:$A$500,A420)&gt;1,"CEK SKU dobel","OK")))))</f>
        <v/>
      </c>
    </row>
    <row r="421">
      <c r="A421" s="10" t="n"/>
      <c r="B421" s="12">
        <f>IF(A421="","",IFERROR(INDEX(DATA!$E$2:$E$500,MATCH(A421,DATA!$D$2:$D$500,0)),""))</f>
        <v/>
      </c>
      <c r="C421" s="10" t="n"/>
      <c r="D421" s="10" t="n"/>
      <c r="E421" s="10" t="n"/>
      <c r="F421" s="10" t="n"/>
      <c r="G421" s="10" t="n"/>
      <c r="H421" s="10" t="n"/>
      <c r="I421" s="10" t="n"/>
      <c r="J421" s="12">
        <f>IF(OR(A421="",COUNT(C421:E421)&lt;3),"",IFERROR(MAX(0,FLOOR(($N$2-$N$3)/E421,1))*MAX(1,MIN(IF(G421="",1,G421),FLOOR($N$4/D421,1)))*IF(F421="",1,F421),""))</f>
        <v/>
      </c>
      <c r="K421" s="12">
        <f>IF(A421="","",IF(COUNTIF(DATA!$D$2:$D$500,A421)=0,"CEK SKU tidak ada di DATA",IF(COUNT(C421:E421)&lt;3,"CEK dimensi belum lengkap",IF(OR(C421&lt;=0,D421&lt;=0,E421&lt;=0),"CEK dimensi harus lebih dari 0",IF(COUNTIF($A$2:$A$500,A421)&gt;1,"CEK SKU dobel","OK")))))</f>
        <v/>
      </c>
    </row>
    <row r="422">
      <c r="A422" s="10" t="n"/>
      <c r="B422" s="12">
        <f>IF(A422="","",IFERROR(INDEX(DATA!$E$2:$E$500,MATCH(A422,DATA!$D$2:$D$500,0)),""))</f>
        <v/>
      </c>
      <c r="C422" s="10" t="n"/>
      <c r="D422" s="10" t="n"/>
      <c r="E422" s="10" t="n"/>
      <c r="F422" s="10" t="n"/>
      <c r="G422" s="10" t="n"/>
      <c r="H422" s="10" t="n"/>
      <c r="I422" s="10" t="n"/>
      <c r="J422" s="12">
        <f>IF(OR(A422="",COUNT(C422:E422)&lt;3),"",IFERROR(MAX(0,FLOOR(($N$2-$N$3)/E422,1))*MAX(1,MIN(IF(G422="",1,G422),FLOOR($N$4/D422,1)))*IF(F422="",1,F422),""))</f>
        <v/>
      </c>
      <c r="K422" s="12">
        <f>IF(A422="","",IF(COUNTIF(DATA!$D$2:$D$500,A422)=0,"CEK SKU tidak ada di DATA",IF(COUNT(C422:E422)&lt;3,"CEK dimensi belum lengkap",IF(OR(C422&lt;=0,D422&lt;=0,E422&lt;=0),"CEK dimensi harus lebih dari 0",IF(COUNTIF($A$2:$A$500,A422)&gt;1,"CEK SKU dobel","OK")))))</f>
        <v/>
      </c>
    </row>
    <row r="423">
      <c r="A423" s="10" t="n"/>
      <c r="B423" s="12">
        <f>IF(A423="","",IFERROR(INDEX(DATA!$E$2:$E$500,MATCH(A423,DATA!$D$2:$D$500,0)),""))</f>
        <v/>
      </c>
      <c r="C423" s="10" t="n"/>
      <c r="D423" s="10" t="n"/>
      <c r="E423" s="10" t="n"/>
      <c r="F423" s="10" t="n"/>
      <c r="G423" s="10" t="n"/>
      <c r="H423" s="10" t="n"/>
      <c r="I423" s="10" t="n"/>
      <c r="J423" s="12">
        <f>IF(OR(A423="",COUNT(C423:E423)&lt;3),"",IFERROR(MAX(0,FLOOR(($N$2-$N$3)/E423,1))*MAX(1,MIN(IF(G423="",1,G423),FLOOR($N$4/D423,1)))*IF(F423="",1,F423),""))</f>
        <v/>
      </c>
      <c r="K423" s="12">
        <f>IF(A423="","",IF(COUNTIF(DATA!$D$2:$D$500,A423)=0,"CEK SKU tidak ada di DATA",IF(COUNT(C423:E423)&lt;3,"CEK dimensi belum lengkap",IF(OR(C423&lt;=0,D423&lt;=0,E423&lt;=0),"CEK dimensi harus lebih dari 0",IF(COUNTIF($A$2:$A$500,A423)&gt;1,"CEK SKU dobel","OK")))))</f>
        <v/>
      </c>
    </row>
    <row r="424">
      <c r="A424" s="10" t="n"/>
      <c r="B424" s="12">
        <f>IF(A424="","",IFERROR(INDEX(DATA!$E$2:$E$500,MATCH(A424,DATA!$D$2:$D$500,0)),""))</f>
        <v/>
      </c>
      <c r="C424" s="10" t="n"/>
      <c r="D424" s="10" t="n"/>
      <c r="E424" s="10" t="n"/>
      <c r="F424" s="10" t="n"/>
      <c r="G424" s="10" t="n"/>
      <c r="H424" s="10" t="n"/>
      <c r="I424" s="10" t="n"/>
      <c r="J424" s="12">
        <f>IF(OR(A424="",COUNT(C424:E424)&lt;3),"",IFERROR(MAX(0,FLOOR(($N$2-$N$3)/E424,1))*MAX(1,MIN(IF(G424="",1,G424),FLOOR($N$4/D424,1)))*IF(F424="",1,F424),""))</f>
        <v/>
      </c>
      <c r="K424" s="12">
        <f>IF(A424="","",IF(COUNTIF(DATA!$D$2:$D$500,A424)=0,"CEK SKU tidak ada di DATA",IF(COUNT(C424:E424)&lt;3,"CEK dimensi belum lengkap",IF(OR(C424&lt;=0,D424&lt;=0,E424&lt;=0),"CEK dimensi harus lebih dari 0",IF(COUNTIF($A$2:$A$500,A424)&gt;1,"CEK SKU dobel","OK")))))</f>
        <v/>
      </c>
    </row>
    <row r="425">
      <c r="A425" s="10" t="n"/>
      <c r="B425" s="12">
        <f>IF(A425="","",IFERROR(INDEX(DATA!$E$2:$E$500,MATCH(A425,DATA!$D$2:$D$500,0)),""))</f>
        <v/>
      </c>
      <c r="C425" s="10" t="n"/>
      <c r="D425" s="10" t="n"/>
      <c r="E425" s="10" t="n"/>
      <c r="F425" s="10" t="n"/>
      <c r="G425" s="10" t="n"/>
      <c r="H425" s="10" t="n"/>
      <c r="I425" s="10" t="n"/>
      <c r="J425" s="12">
        <f>IF(OR(A425="",COUNT(C425:E425)&lt;3),"",IFERROR(MAX(0,FLOOR(($N$2-$N$3)/E425,1))*MAX(1,MIN(IF(G425="",1,G425),FLOOR($N$4/D425,1)))*IF(F425="",1,F425),""))</f>
        <v/>
      </c>
      <c r="K425" s="12">
        <f>IF(A425="","",IF(COUNTIF(DATA!$D$2:$D$500,A425)=0,"CEK SKU tidak ada di DATA",IF(COUNT(C425:E425)&lt;3,"CEK dimensi belum lengkap",IF(OR(C425&lt;=0,D425&lt;=0,E425&lt;=0),"CEK dimensi harus lebih dari 0",IF(COUNTIF($A$2:$A$500,A425)&gt;1,"CEK SKU dobel","OK")))))</f>
        <v/>
      </c>
    </row>
    <row r="426">
      <c r="A426" s="10" t="n"/>
      <c r="B426" s="12">
        <f>IF(A426="","",IFERROR(INDEX(DATA!$E$2:$E$500,MATCH(A426,DATA!$D$2:$D$500,0)),""))</f>
        <v/>
      </c>
      <c r="C426" s="10" t="n"/>
      <c r="D426" s="10" t="n"/>
      <c r="E426" s="10" t="n"/>
      <c r="F426" s="10" t="n"/>
      <c r="G426" s="10" t="n"/>
      <c r="H426" s="10" t="n"/>
      <c r="I426" s="10" t="n"/>
      <c r="J426" s="12">
        <f>IF(OR(A426="",COUNT(C426:E426)&lt;3),"",IFERROR(MAX(0,FLOOR(($N$2-$N$3)/E426,1))*MAX(1,MIN(IF(G426="",1,G426),FLOOR($N$4/D426,1)))*IF(F426="",1,F426),""))</f>
        <v/>
      </c>
      <c r="K426" s="12">
        <f>IF(A426="","",IF(COUNTIF(DATA!$D$2:$D$500,A426)=0,"CEK SKU tidak ada di DATA",IF(COUNT(C426:E426)&lt;3,"CEK dimensi belum lengkap",IF(OR(C426&lt;=0,D426&lt;=0,E426&lt;=0),"CEK dimensi harus lebih dari 0",IF(COUNTIF($A$2:$A$500,A426)&gt;1,"CEK SKU dobel","OK")))))</f>
        <v/>
      </c>
    </row>
    <row r="427">
      <c r="A427" s="10" t="n"/>
      <c r="B427" s="12">
        <f>IF(A427="","",IFERROR(INDEX(DATA!$E$2:$E$500,MATCH(A427,DATA!$D$2:$D$500,0)),""))</f>
        <v/>
      </c>
      <c r="C427" s="10" t="n"/>
      <c r="D427" s="10" t="n"/>
      <c r="E427" s="10" t="n"/>
      <c r="F427" s="10" t="n"/>
      <c r="G427" s="10" t="n"/>
      <c r="H427" s="10" t="n"/>
      <c r="I427" s="10" t="n"/>
      <c r="J427" s="12">
        <f>IF(OR(A427="",COUNT(C427:E427)&lt;3),"",IFERROR(MAX(0,FLOOR(($N$2-$N$3)/E427,1))*MAX(1,MIN(IF(G427="",1,G427),FLOOR($N$4/D427,1)))*IF(F427="",1,F427),""))</f>
        <v/>
      </c>
      <c r="K427" s="12">
        <f>IF(A427="","",IF(COUNTIF(DATA!$D$2:$D$500,A427)=0,"CEK SKU tidak ada di DATA",IF(COUNT(C427:E427)&lt;3,"CEK dimensi belum lengkap",IF(OR(C427&lt;=0,D427&lt;=0,E427&lt;=0),"CEK dimensi harus lebih dari 0",IF(COUNTIF($A$2:$A$500,A427)&gt;1,"CEK SKU dobel","OK")))))</f>
        <v/>
      </c>
    </row>
    <row r="428">
      <c r="A428" s="10" t="n"/>
      <c r="B428" s="12">
        <f>IF(A428="","",IFERROR(INDEX(DATA!$E$2:$E$500,MATCH(A428,DATA!$D$2:$D$500,0)),""))</f>
        <v/>
      </c>
      <c r="C428" s="10" t="n"/>
      <c r="D428" s="10" t="n"/>
      <c r="E428" s="10" t="n"/>
      <c r="F428" s="10" t="n"/>
      <c r="G428" s="10" t="n"/>
      <c r="H428" s="10" t="n"/>
      <c r="I428" s="10" t="n"/>
      <c r="J428" s="12">
        <f>IF(OR(A428="",COUNT(C428:E428)&lt;3),"",IFERROR(MAX(0,FLOOR(($N$2-$N$3)/E428,1))*MAX(1,MIN(IF(G428="",1,G428),FLOOR($N$4/D428,1)))*IF(F428="",1,F428),""))</f>
        <v/>
      </c>
      <c r="K428" s="12">
        <f>IF(A428="","",IF(COUNTIF(DATA!$D$2:$D$500,A428)=0,"CEK SKU tidak ada di DATA",IF(COUNT(C428:E428)&lt;3,"CEK dimensi belum lengkap",IF(OR(C428&lt;=0,D428&lt;=0,E428&lt;=0),"CEK dimensi harus lebih dari 0",IF(COUNTIF($A$2:$A$500,A428)&gt;1,"CEK SKU dobel","OK")))))</f>
        <v/>
      </c>
    </row>
    <row r="429">
      <c r="A429" s="10" t="n"/>
      <c r="B429" s="12">
        <f>IF(A429="","",IFERROR(INDEX(DATA!$E$2:$E$500,MATCH(A429,DATA!$D$2:$D$500,0)),""))</f>
        <v/>
      </c>
      <c r="C429" s="10" t="n"/>
      <c r="D429" s="10" t="n"/>
      <c r="E429" s="10" t="n"/>
      <c r="F429" s="10" t="n"/>
      <c r="G429" s="10" t="n"/>
      <c r="H429" s="10" t="n"/>
      <c r="I429" s="10" t="n"/>
      <c r="J429" s="12">
        <f>IF(OR(A429="",COUNT(C429:E429)&lt;3),"",IFERROR(MAX(0,FLOOR(($N$2-$N$3)/E429,1))*MAX(1,MIN(IF(G429="",1,G429),FLOOR($N$4/D429,1)))*IF(F429="",1,F429),""))</f>
        <v/>
      </c>
      <c r="K429" s="12">
        <f>IF(A429="","",IF(COUNTIF(DATA!$D$2:$D$500,A429)=0,"CEK SKU tidak ada di DATA",IF(COUNT(C429:E429)&lt;3,"CEK dimensi belum lengkap",IF(OR(C429&lt;=0,D429&lt;=0,E429&lt;=0),"CEK dimensi harus lebih dari 0",IF(COUNTIF($A$2:$A$500,A429)&gt;1,"CEK SKU dobel","OK")))))</f>
        <v/>
      </c>
    </row>
    <row r="430">
      <c r="A430" s="10" t="n"/>
      <c r="B430" s="12">
        <f>IF(A430="","",IFERROR(INDEX(DATA!$E$2:$E$500,MATCH(A430,DATA!$D$2:$D$500,0)),""))</f>
        <v/>
      </c>
      <c r="C430" s="10" t="n"/>
      <c r="D430" s="10" t="n"/>
      <c r="E430" s="10" t="n"/>
      <c r="F430" s="10" t="n"/>
      <c r="G430" s="10" t="n"/>
      <c r="H430" s="10" t="n"/>
      <c r="I430" s="10" t="n"/>
      <c r="J430" s="12">
        <f>IF(OR(A430="",COUNT(C430:E430)&lt;3),"",IFERROR(MAX(0,FLOOR(($N$2-$N$3)/E430,1))*MAX(1,MIN(IF(G430="",1,G430),FLOOR($N$4/D430,1)))*IF(F430="",1,F430),""))</f>
        <v/>
      </c>
      <c r="K430" s="12">
        <f>IF(A430="","",IF(COUNTIF(DATA!$D$2:$D$500,A430)=0,"CEK SKU tidak ada di DATA",IF(COUNT(C430:E430)&lt;3,"CEK dimensi belum lengkap",IF(OR(C430&lt;=0,D430&lt;=0,E430&lt;=0),"CEK dimensi harus lebih dari 0",IF(COUNTIF($A$2:$A$500,A430)&gt;1,"CEK SKU dobel","OK")))))</f>
        <v/>
      </c>
    </row>
    <row r="431">
      <c r="A431" s="10" t="n"/>
      <c r="B431" s="12">
        <f>IF(A431="","",IFERROR(INDEX(DATA!$E$2:$E$500,MATCH(A431,DATA!$D$2:$D$500,0)),""))</f>
        <v/>
      </c>
      <c r="C431" s="10" t="n"/>
      <c r="D431" s="10" t="n"/>
      <c r="E431" s="10" t="n"/>
      <c r="F431" s="10" t="n"/>
      <c r="G431" s="10" t="n"/>
      <c r="H431" s="10" t="n"/>
      <c r="I431" s="10" t="n"/>
      <c r="J431" s="12">
        <f>IF(OR(A431="",COUNT(C431:E431)&lt;3),"",IFERROR(MAX(0,FLOOR(($N$2-$N$3)/E431,1))*MAX(1,MIN(IF(G431="",1,G431),FLOOR($N$4/D431,1)))*IF(F431="",1,F431),""))</f>
        <v/>
      </c>
      <c r="K431" s="12">
        <f>IF(A431="","",IF(COUNTIF(DATA!$D$2:$D$500,A431)=0,"CEK SKU tidak ada di DATA",IF(COUNT(C431:E431)&lt;3,"CEK dimensi belum lengkap",IF(OR(C431&lt;=0,D431&lt;=0,E431&lt;=0),"CEK dimensi harus lebih dari 0",IF(COUNTIF($A$2:$A$500,A431)&gt;1,"CEK SKU dobel","OK")))))</f>
        <v/>
      </c>
    </row>
    <row r="432">
      <c r="A432" s="10" t="n"/>
      <c r="B432" s="12">
        <f>IF(A432="","",IFERROR(INDEX(DATA!$E$2:$E$500,MATCH(A432,DATA!$D$2:$D$500,0)),""))</f>
        <v/>
      </c>
      <c r="C432" s="10" t="n"/>
      <c r="D432" s="10" t="n"/>
      <c r="E432" s="10" t="n"/>
      <c r="F432" s="10" t="n"/>
      <c r="G432" s="10" t="n"/>
      <c r="H432" s="10" t="n"/>
      <c r="I432" s="10" t="n"/>
      <c r="J432" s="12">
        <f>IF(OR(A432="",COUNT(C432:E432)&lt;3),"",IFERROR(MAX(0,FLOOR(($N$2-$N$3)/E432,1))*MAX(1,MIN(IF(G432="",1,G432),FLOOR($N$4/D432,1)))*IF(F432="",1,F432),""))</f>
        <v/>
      </c>
      <c r="K432" s="12">
        <f>IF(A432="","",IF(COUNTIF(DATA!$D$2:$D$500,A432)=0,"CEK SKU tidak ada di DATA",IF(COUNT(C432:E432)&lt;3,"CEK dimensi belum lengkap",IF(OR(C432&lt;=0,D432&lt;=0,E432&lt;=0),"CEK dimensi harus lebih dari 0",IF(COUNTIF($A$2:$A$500,A432)&gt;1,"CEK SKU dobel","OK")))))</f>
        <v/>
      </c>
    </row>
    <row r="433">
      <c r="A433" s="10" t="n"/>
      <c r="B433" s="12">
        <f>IF(A433="","",IFERROR(INDEX(DATA!$E$2:$E$500,MATCH(A433,DATA!$D$2:$D$500,0)),""))</f>
        <v/>
      </c>
      <c r="C433" s="10" t="n"/>
      <c r="D433" s="10" t="n"/>
      <c r="E433" s="10" t="n"/>
      <c r="F433" s="10" t="n"/>
      <c r="G433" s="10" t="n"/>
      <c r="H433" s="10" t="n"/>
      <c r="I433" s="10" t="n"/>
      <c r="J433" s="12">
        <f>IF(OR(A433="",COUNT(C433:E433)&lt;3),"",IFERROR(MAX(0,FLOOR(($N$2-$N$3)/E433,1))*MAX(1,MIN(IF(G433="",1,G433),FLOOR($N$4/D433,1)))*IF(F433="",1,F433),""))</f>
        <v/>
      </c>
      <c r="K433" s="12">
        <f>IF(A433="","",IF(COUNTIF(DATA!$D$2:$D$500,A433)=0,"CEK SKU tidak ada di DATA",IF(COUNT(C433:E433)&lt;3,"CEK dimensi belum lengkap",IF(OR(C433&lt;=0,D433&lt;=0,E433&lt;=0),"CEK dimensi harus lebih dari 0",IF(COUNTIF($A$2:$A$500,A433)&gt;1,"CEK SKU dobel","OK")))))</f>
        <v/>
      </c>
    </row>
    <row r="434">
      <c r="A434" s="10" t="n"/>
      <c r="B434" s="12">
        <f>IF(A434="","",IFERROR(INDEX(DATA!$E$2:$E$500,MATCH(A434,DATA!$D$2:$D$500,0)),""))</f>
        <v/>
      </c>
      <c r="C434" s="10" t="n"/>
      <c r="D434" s="10" t="n"/>
      <c r="E434" s="10" t="n"/>
      <c r="F434" s="10" t="n"/>
      <c r="G434" s="10" t="n"/>
      <c r="H434" s="10" t="n"/>
      <c r="I434" s="10" t="n"/>
      <c r="J434" s="12">
        <f>IF(OR(A434="",COUNT(C434:E434)&lt;3),"",IFERROR(MAX(0,FLOOR(($N$2-$N$3)/E434,1))*MAX(1,MIN(IF(G434="",1,G434),FLOOR($N$4/D434,1)))*IF(F434="",1,F434),""))</f>
        <v/>
      </c>
      <c r="K434" s="12">
        <f>IF(A434="","",IF(COUNTIF(DATA!$D$2:$D$500,A434)=0,"CEK SKU tidak ada di DATA",IF(COUNT(C434:E434)&lt;3,"CEK dimensi belum lengkap",IF(OR(C434&lt;=0,D434&lt;=0,E434&lt;=0),"CEK dimensi harus lebih dari 0",IF(COUNTIF($A$2:$A$500,A434)&gt;1,"CEK SKU dobel","OK")))))</f>
        <v/>
      </c>
    </row>
    <row r="435">
      <c r="A435" s="10" t="n"/>
      <c r="B435" s="12">
        <f>IF(A435="","",IFERROR(INDEX(DATA!$E$2:$E$500,MATCH(A435,DATA!$D$2:$D$500,0)),""))</f>
        <v/>
      </c>
      <c r="C435" s="10" t="n"/>
      <c r="D435" s="10" t="n"/>
      <c r="E435" s="10" t="n"/>
      <c r="F435" s="10" t="n"/>
      <c r="G435" s="10" t="n"/>
      <c r="H435" s="10" t="n"/>
      <c r="I435" s="10" t="n"/>
      <c r="J435" s="12">
        <f>IF(OR(A435="",COUNT(C435:E435)&lt;3),"",IFERROR(MAX(0,FLOOR(($N$2-$N$3)/E435,1))*MAX(1,MIN(IF(G435="",1,G435),FLOOR($N$4/D435,1)))*IF(F435="",1,F435),""))</f>
        <v/>
      </c>
      <c r="K435" s="12">
        <f>IF(A435="","",IF(COUNTIF(DATA!$D$2:$D$500,A435)=0,"CEK SKU tidak ada di DATA",IF(COUNT(C435:E435)&lt;3,"CEK dimensi belum lengkap",IF(OR(C435&lt;=0,D435&lt;=0,E435&lt;=0),"CEK dimensi harus lebih dari 0",IF(COUNTIF($A$2:$A$500,A435)&gt;1,"CEK SKU dobel","OK")))))</f>
        <v/>
      </c>
    </row>
    <row r="436">
      <c r="A436" s="10" t="n"/>
      <c r="B436" s="12">
        <f>IF(A436="","",IFERROR(INDEX(DATA!$E$2:$E$500,MATCH(A436,DATA!$D$2:$D$500,0)),""))</f>
        <v/>
      </c>
      <c r="C436" s="10" t="n"/>
      <c r="D436" s="10" t="n"/>
      <c r="E436" s="10" t="n"/>
      <c r="F436" s="10" t="n"/>
      <c r="G436" s="10" t="n"/>
      <c r="H436" s="10" t="n"/>
      <c r="I436" s="10" t="n"/>
      <c r="J436" s="12">
        <f>IF(OR(A436="",COUNT(C436:E436)&lt;3),"",IFERROR(MAX(0,FLOOR(($N$2-$N$3)/E436,1))*MAX(1,MIN(IF(G436="",1,G436),FLOOR($N$4/D436,1)))*IF(F436="",1,F436),""))</f>
        <v/>
      </c>
      <c r="K436" s="12">
        <f>IF(A436="","",IF(COUNTIF(DATA!$D$2:$D$500,A436)=0,"CEK SKU tidak ada di DATA",IF(COUNT(C436:E436)&lt;3,"CEK dimensi belum lengkap",IF(OR(C436&lt;=0,D436&lt;=0,E436&lt;=0),"CEK dimensi harus lebih dari 0",IF(COUNTIF($A$2:$A$500,A436)&gt;1,"CEK SKU dobel","OK")))))</f>
        <v/>
      </c>
    </row>
    <row r="437">
      <c r="A437" s="10" t="n"/>
      <c r="B437" s="12">
        <f>IF(A437="","",IFERROR(INDEX(DATA!$E$2:$E$500,MATCH(A437,DATA!$D$2:$D$500,0)),""))</f>
        <v/>
      </c>
      <c r="C437" s="10" t="n"/>
      <c r="D437" s="10" t="n"/>
      <c r="E437" s="10" t="n"/>
      <c r="F437" s="10" t="n"/>
      <c r="G437" s="10" t="n"/>
      <c r="H437" s="10" t="n"/>
      <c r="I437" s="10" t="n"/>
      <c r="J437" s="12">
        <f>IF(OR(A437="",COUNT(C437:E437)&lt;3),"",IFERROR(MAX(0,FLOOR(($N$2-$N$3)/E437,1))*MAX(1,MIN(IF(G437="",1,G437),FLOOR($N$4/D437,1)))*IF(F437="",1,F437),""))</f>
        <v/>
      </c>
      <c r="K437" s="12">
        <f>IF(A437="","",IF(COUNTIF(DATA!$D$2:$D$500,A437)=0,"CEK SKU tidak ada di DATA",IF(COUNT(C437:E437)&lt;3,"CEK dimensi belum lengkap",IF(OR(C437&lt;=0,D437&lt;=0,E437&lt;=0),"CEK dimensi harus lebih dari 0",IF(COUNTIF($A$2:$A$500,A437)&gt;1,"CEK SKU dobel","OK")))))</f>
        <v/>
      </c>
    </row>
    <row r="438">
      <c r="A438" s="10" t="n"/>
      <c r="B438" s="12">
        <f>IF(A438="","",IFERROR(INDEX(DATA!$E$2:$E$500,MATCH(A438,DATA!$D$2:$D$500,0)),""))</f>
        <v/>
      </c>
      <c r="C438" s="10" t="n"/>
      <c r="D438" s="10" t="n"/>
      <c r="E438" s="10" t="n"/>
      <c r="F438" s="10" t="n"/>
      <c r="G438" s="10" t="n"/>
      <c r="H438" s="10" t="n"/>
      <c r="I438" s="10" t="n"/>
      <c r="J438" s="12">
        <f>IF(OR(A438="",COUNT(C438:E438)&lt;3),"",IFERROR(MAX(0,FLOOR(($N$2-$N$3)/E438,1))*MAX(1,MIN(IF(G438="",1,G438),FLOOR($N$4/D438,1)))*IF(F438="",1,F438),""))</f>
        <v/>
      </c>
      <c r="K438" s="12">
        <f>IF(A438="","",IF(COUNTIF(DATA!$D$2:$D$500,A438)=0,"CEK SKU tidak ada di DATA",IF(COUNT(C438:E438)&lt;3,"CEK dimensi belum lengkap",IF(OR(C438&lt;=0,D438&lt;=0,E438&lt;=0),"CEK dimensi harus lebih dari 0",IF(COUNTIF($A$2:$A$500,A438)&gt;1,"CEK SKU dobel","OK")))))</f>
        <v/>
      </c>
    </row>
    <row r="439">
      <c r="A439" s="10" t="n"/>
      <c r="B439" s="12">
        <f>IF(A439="","",IFERROR(INDEX(DATA!$E$2:$E$500,MATCH(A439,DATA!$D$2:$D$500,0)),""))</f>
        <v/>
      </c>
      <c r="C439" s="10" t="n"/>
      <c r="D439" s="10" t="n"/>
      <c r="E439" s="10" t="n"/>
      <c r="F439" s="10" t="n"/>
      <c r="G439" s="10" t="n"/>
      <c r="H439" s="10" t="n"/>
      <c r="I439" s="10" t="n"/>
      <c r="J439" s="12">
        <f>IF(OR(A439="",COUNT(C439:E439)&lt;3),"",IFERROR(MAX(0,FLOOR(($N$2-$N$3)/E439,1))*MAX(1,MIN(IF(G439="",1,G439),FLOOR($N$4/D439,1)))*IF(F439="",1,F439),""))</f>
        <v/>
      </c>
      <c r="K439" s="12">
        <f>IF(A439="","",IF(COUNTIF(DATA!$D$2:$D$500,A439)=0,"CEK SKU tidak ada di DATA",IF(COUNT(C439:E439)&lt;3,"CEK dimensi belum lengkap",IF(OR(C439&lt;=0,D439&lt;=0,E439&lt;=0),"CEK dimensi harus lebih dari 0",IF(COUNTIF($A$2:$A$500,A439)&gt;1,"CEK SKU dobel","OK")))))</f>
        <v/>
      </c>
    </row>
    <row r="440">
      <c r="A440" s="10" t="n"/>
      <c r="B440" s="12">
        <f>IF(A440="","",IFERROR(INDEX(DATA!$E$2:$E$500,MATCH(A440,DATA!$D$2:$D$500,0)),""))</f>
        <v/>
      </c>
      <c r="C440" s="10" t="n"/>
      <c r="D440" s="10" t="n"/>
      <c r="E440" s="10" t="n"/>
      <c r="F440" s="10" t="n"/>
      <c r="G440" s="10" t="n"/>
      <c r="H440" s="10" t="n"/>
      <c r="I440" s="10" t="n"/>
      <c r="J440" s="12">
        <f>IF(OR(A440="",COUNT(C440:E440)&lt;3),"",IFERROR(MAX(0,FLOOR(($N$2-$N$3)/E440,1))*MAX(1,MIN(IF(G440="",1,G440),FLOOR($N$4/D440,1)))*IF(F440="",1,F440),""))</f>
        <v/>
      </c>
      <c r="K440" s="12">
        <f>IF(A440="","",IF(COUNTIF(DATA!$D$2:$D$500,A440)=0,"CEK SKU tidak ada di DATA",IF(COUNT(C440:E440)&lt;3,"CEK dimensi belum lengkap",IF(OR(C440&lt;=0,D440&lt;=0,E440&lt;=0),"CEK dimensi harus lebih dari 0",IF(COUNTIF($A$2:$A$500,A440)&gt;1,"CEK SKU dobel","OK")))))</f>
        <v/>
      </c>
    </row>
    <row r="441">
      <c r="A441" s="10" t="n"/>
      <c r="B441" s="12">
        <f>IF(A441="","",IFERROR(INDEX(DATA!$E$2:$E$500,MATCH(A441,DATA!$D$2:$D$500,0)),""))</f>
        <v/>
      </c>
      <c r="C441" s="10" t="n"/>
      <c r="D441" s="10" t="n"/>
      <c r="E441" s="10" t="n"/>
      <c r="F441" s="10" t="n"/>
      <c r="G441" s="10" t="n"/>
      <c r="H441" s="10" t="n"/>
      <c r="I441" s="10" t="n"/>
      <c r="J441" s="12">
        <f>IF(OR(A441="",COUNT(C441:E441)&lt;3),"",IFERROR(MAX(0,FLOOR(($N$2-$N$3)/E441,1))*MAX(1,MIN(IF(G441="",1,G441),FLOOR($N$4/D441,1)))*IF(F441="",1,F441),""))</f>
        <v/>
      </c>
      <c r="K441" s="12">
        <f>IF(A441="","",IF(COUNTIF(DATA!$D$2:$D$500,A441)=0,"CEK SKU tidak ada di DATA",IF(COUNT(C441:E441)&lt;3,"CEK dimensi belum lengkap",IF(OR(C441&lt;=0,D441&lt;=0,E441&lt;=0),"CEK dimensi harus lebih dari 0",IF(COUNTIF($A$2:$A$500,A441)&gt;1,"CEK SKU dobel","OK")))))</f>
        <v/>
      </c>
    </row>
    <row r="442">
      <c r="A442" s="10" t="n"/>
      <c r="B442" s="12">
        <f>IF(A442="","",IFERROR(INDEX(DATA!$E$2:$E$500,MATCH(A442,DATA!$D$2:$D$500,0)),""))</f>
        <v/>
      </c>
      <c r="C442" s="10" t="n"/>
      <c r="D442" s="10" t="n"/>
      <c r="E442" s="10" t="n"/>
      <c r="F442" s="10" t="n"/>
      <c r="G442" s="10" t="n"/>
      <c r="H442" s="10" t="n"/>
      <c r="I442" s="10" t="n"/>
      <c r="J442" s="12">
        <f>IF(OR(A442="",COUNT(C442:E442)&lt;3),"",IFERROR(MAX(0,FLOOR(($N$2-$N$3)/E442,1))*MAX(1,MIN(IF(G442="",1,G442),FLOOR($N$4/D442,1)))*IF(F442="",1,F442),""))</f>
        <v/>
      </c>
      <c r="K442" s="12">
        <f>IF(A442="","",IF(COUNTIF(DATA!$D$2:$D$500,A442)=0,"CEK SKU tidak ada di DATA",IF(COUNT(C442:E442)&lt;3,"CEK dimensi belum lengkap",IF(OR(C442&lt;=0,D442&lt;=0,E442&lt;=0),"CEK dimensi harus lebih dari 0",IF(COUNTIF($A$2:$A$500,A442)&gt;1,"CEK SKU dobel","OK")))))</f>
        <v/>
      </c>
    </row>
    <row r="443">
      <c r="A443" s="10" t="n"/>
      <c r="B443" s="12">
        <f>IF(A443="","",IFERROR(INDEX(DATA!$E$2:$E$500,MATCH(A443,DATA!$D$2:$D$500,0)),""))</f>
        <v/>
      </c>
      <c r="C443" s="10" t="n"/>
      <c r="D443" s="10" t="n"/>
      <c r="E443" s="10" t="n"/>
      <c r="F443" s="10" t="n"/>
      <c r="G443" s="10" t="n"/>
      <c r="H443" s="10" t="n"/>
      <c r="I443" s="10" t="n"/>
      <c r="J443" s="12">
        <f>IF(OR(A443="",COUNT(C443:E443)&lt;3),"",IFERROR(MAX(0,FLOOR(($N$2-$N$3)/E443,1))*MAX(1,MIN(IF(G443="",1,G443),FLOOR($N$4/D443,1)))*IF(F443="",1,F443),""))</f>
        <v/>
      </c>
      <c r="K443" s="12">
        <f>IF(A443="","",IF(COUNTIF(DATA!$D$2:$D$500,A443)=0,"CEK SKU tidak ada di DATA",IF(COUNT(C443:E443)&lt;3,"CEK dimensi belum lengkap",IF(OR(C443&lt;=0,D443&lt;=0,E443&lt;=0),"CEK dimensi harus lebih dari 0",IF(COUNTIF($A$2:$A$500,A443)&gt;1,"CEK SKU dobel","OK")))))</f>
        <v/>
      </c>
    </row>
    <row r="444">
      <c r="A444" s="10" t="n"/>
      <c r="B444" s="12">
        <f>IF(A444="","",IFERROR(INDEX(DATA!$E$2:$E$500,MATCH(A444,DATA!$D$2:$D$500,0)),""))</f>
        <v/>
      </c>
      <c r="C444" s="10" t="n"/>
      <c r="D444" s="10" t="n"/>
      <c r="E444" s="10" t="n"/>
      <c r="F444" s="10" t="n"/>
      <c r="G444" s="10" t="n"/>
      <c r="H444" s="10" t="n"/>
      <c r="I444" s="10" t="n"/>
      <c r="J444" s="12">
        <f>IF(OR(A444="",COUNT(C444:E444)&lt;3),"",IFERROR(MAX(0,FLOOR(($N$2-$N$3)/E444,1))*MAX(1,MIN(IF(G444="",1,G444),FLOOR($N$4/D444,1)))*IF(F444="",1,F444),""))</f>
        <v/>
      </c>
      <c r="K444" s="12">
        <f>IF(A444="","",IF(COUNTIF(DATA!$D$2:$D$500,A444)=0,"CEK SKU tidak ada di DATA",IF(COUNT(C444:E444)&lt;3,"CEK dimensi belum lengkap",IF(OR(C444&lt;=0,D444&lt;=0,E444&lt;=0),"CEK dimensi harus lebih dari 0",IF(COUNTIF($A$2:$A$500,A444)&gt;1,"CEK SKU dobel","OK")))))</f>
        <v/>
      </c>
    </row>
    <row r="445">
      <c r="A445" s="10" t="n"/>
      <c r="B445" s="12">
        <f>IF(A445="","",IFERROR(INDEX(DATA!$E$2:$E$500,MATCH(A445,DATA!$D$2:$D$500,0)),""))</f>
        <v/>
      </c>
      <c r="C445" s="10" t="n"/>
      <c r="D445" s="10" t="n"/>
      <c r="E445" s="10" t="n"/>
      <c r="F445" s="10" t="n"/>
      <c r="G445" s="10" t="n"/>
      <c r="H445" s="10" t="n"/>
      <c r="I445" s="10" t="n"/>
      <c r="J445" s="12">
        <f>IF(OR(A445="",COUNT(C445:E445)&lt;3),"",IFERROR(MAX(0,FLOOR(($N$2-$N$3)/E445,1))*MAX(1,MIN(IF(G445="",1,G445),FLOOR($N$4/D445,1)))*IF(F445="",1,F445),""))</f>
        <v/>
      </c>
      <c r="K445" s="12">
        <f>IF(A445="","",IF(COUNTIF(DATA!$D$2:$D$500,A445)=0,"CEK SKU tidak ada di DATA",IF(COUNT(C445:E445)&lt;3,"CEK dimensi belum lengkap",IF(OR(C445&lt;=0,D445&lt;=0,E445&lt;=0),"CEK dimensi harus lebih dari 0",IF(COUNTIF($A$2:$A$500,A445)&gt;1,"CEK SKU dobel","OK")))))</f>
        <v/>
      </c>
    </row>
    <row r="446">
      <c r="A446" s="10" t="n"/>
      <c r="B446" s="12">
        <f>IF(A446="","",IFERROR(INDEX(DATA!$E$2:$E$500,MATCH(A446,DATA!$D$2:$D$500,0)),""))</f>
        <v/>
      </c>
      <c r="C446" s="10" t="n"/>
      <c r="D446" s="10" t="n"/>
      <c r="E446" s="10" t="n"/>
      <c r="F446" s="10" t="n"/>
      <c r="G446" s="10" t="n"/>
      <c r="H446" s="10" t="n"/>
      <c r="I446" s="10" t="n"/>
      <c r="J446" s="12">
        <f>IF(OR(A446="",COUNT(C446:E446)&lt;3),"",IFERROR(MAX(0,FLOOR(($N$2-$N$3)/E446,1))*MAX(1,MIN(IF(G446="",1,G446),FLOOR($N$4/D446,1)))*IF(F446="",1,F446),""))</f>
        <v/>
      </c>
      <c r="K446" s="12">
        <f>IF(A446="","",IF(COUNTIF(DATA!$D$2:$D$500,A446)=0,"CEK SKU tidak ada di DATA",IF(COUNT(C446:E446)&lt;3,"CEK dimensi belum lengkap",IF(OR(C446&lt;=0,D446&lt;=0,E446&lt;=0),"CEK dimensi harus lebih dari 0",IF(COUNTIF($A$2:$A$500,A446)&gt;1,"CEK SKU dobel","OK")))))</f>
        <v/>
      </c>
    </row>
    <row r="447">
      <c r="A447" s="10" t="n"/>
      <c r="B447" s="12">
        <f>IF(A447="","",IFERROR(INDEX(DATA!$E$2:$E$500,MATCH(A447,DATA!$D$2:$D$500,0)),""))</f>
        <v/>
      </c>
      <c r="C447" s="10" t="n"/>
      <c r="D447" s="10" t="n"/>
      <c r="E447" s="10" t="n"/>
      <c r="F447" s="10" t="n"/>
      <c r="G447" s="10" t="n"/>
      <c r="H447" s="10" t="n"/>
      <c r="I447" s="10" t="n"/>
      <c r="J447" s="12">
        <f>IF(OR(A447="",COUNT(C447:E447)&lt;3),"",IFERROR(MAX(0,FLOOR(($N$2-$N$3)/E447,1))*MAX(1,MIN(IF(G447="",1,G447),FLOOR($N$4/D447,1)))*IF(F447="",1,F447),""))</f>
        <v/>
      </c>
      <c r="K447" s="12">
        <f>IF(A447="","",IF(COUNTIF(DATA!$D$2:$D$500,A447)=0,"CEK SKU tidak ada di DATA",IF(COUNT(C447:E447)&lt;3,"CEK dimensi belum lengkap",IF(OR(C447&lt;=0,D447&lt;=0,E447&lt;=0),"CEK dimensi harus lebih dari 0",IF(COUNTIF($A$2:$A$500,A447)&gt;1,"CEK SKU dobel","OK")))))</f>
        <v/>
      </c>
    </row>
    <row r="448">
      <c r="A448" s="10" t="n"/>
      <c r="B448" s="12">
        <f>IF(A448="","",IFERROR(INDEX(DATA!$E$2:$E$500,MATCH(A448,DATA!$D$2:$D$500,0)),""))</f>
        <v/>
      </c>
      <c r="C448" s="10" t="n"/>
      <c r="D448" s="10" t="n"/>
      <c r="E448" s="10" t="n"/>
      <c r="F448" s="10" t="n"/>
      <c r="G448" s="10" t="n"/>
      <c r="H448" s="10" t="n"/>
      <c r="I448" s="10" t="n"/>
      <c r="J448" s="12">
        <f>IF(OR(A448="",COUNT(C448:E448)&lt;3),"",IFERROR(MAX(0,FLOOR(($N$2-$N$3)/E448,1))*MAX(1,MIN(IF(G448="",1,G448),FLOOR($N$4/D448,1)))*IF(F448="",1,F448),""))</f>
        <v/>
      </c>
      <c r="K448" s="12">
        <f>IF(A448="","",IF(COUNTIF(DATA!$D$2:$D$500,A448)=0,"CEK SKU tidak ada di DATA",IF(COUNT(C448:E448)&lt;3,"CEK dimensi belum lengkap",IF(OR(C448&lt;=0,D448&lt;=0,E448&lt;=0),"CEK dimensi harus lebih dari 0",IF(COUNTIF($A$2:$A$500,A448)&gt;1,"CEK SKU dobel","OK")))))</f>
        <v/>
      </c>
    </row>
    <row r="449">
      <c r="A449" s="10" t="n"/>
      <c r="B449" s="12">
        <f>IF(A449="","",IFERROR(INDEX(DATA!$E$2:$E$500,MATCH(A449,DATA!$D$2:$D$500,0)),""))</f>
        <v/>
      </c>
      <c r="C449" s="10" t="n"/>
      <c r="D449" s="10" t="n"/>
      <c r="E449" s="10" t="n"/>
      <c r="F449" s="10" t="n"/>
      <c r="G449" s="10" t="n"/>
      <c r="H449" s="10" t="n"/>
      <c r="I449" s="10" t="n"/>
      <c r="J449" s="12">
        <f>IF(OR(A449="",COUNT(C449:E449)&lt;3),"",IFERROR(MAX(0,FLOOR(($N$2-$N$3)/E449,1))*MAX(1,MIN(IF(G449="",1,G449),FLOOR($N$4/D449,1)))*IF(F449="",1,F449),""))</f>
        <v/>
      </c>
      <c r="K449" s="12">
        <f>IF(A449="","",IF(COUNTIF(DATA!$D$2:$D$500,A449)=0,"CEK SKU tidak ada di DATA",IF(COUNT(C449:E449)&lt;3,"CEK dimensi belum lengkap",IF(OR(C449&lt;=0,D449&lt;=0,E449&lt;=0),"CEK dimensi harus lebih dari 0",IF(COUNTIF($A$2:$A$500,A449)&gt;1,"CEK SKU dobel","OK")))))</f>
        <v/>
      </c>
    </row>
    <row r="450">
      <c r="A450" s="10" t="n"/>
      <c r="B450" s="12">
        <f>IF(A450="","",IFERROR(INDEX(DATA!$E$2:$E$500,MATCH(A450,DATA!$D$2:$D$500,0)),""))</f>
        <v/>
      </c>
      <c r="C450" s="10" t="n"/>
      <c r="D450" s="10" t="n"/>
      <c r="E450" s="10" t="n"/>
      <c r="F450" s="10" t="n"/>
      <c r="G450" s="10" t="n"/>
      <c r="H450" s="10" t="n"/>
      <c r="I450" s="10" t="n"/>
      <c r="J450" s="12">
        <f>IF(OR(A450="",COUNT(C450:E450)&lt;3),"",IFERROR(MAX(0,FLOOR(($N$2-$N$3)/E450,1))*MAX(1,MIN(IF(G450="",1,G450),FLOOR($N$4/D450,1)))*IF(F450="",1,F450),""))</f>
        <v/>
      </c>
      <c r="K450" s="12">
        <f>IF(A450="","",IF(COUNTIF(DATA!$D$2:$D$500,A450)=0,"CEK SKU tidak ada di DATA",IF(COUNT(C450:E450)&lt;3,"CEK dimensi belum lengkap",IF(OR(C450&lt;=0,D450&lt;=0,E450&lt;=0),"CEK dimensi harus lebih dari 0",IF(COUNTIF($A$2:$A$500,A450)&gt;1,"CEK SKU dobel","OK")))))</f>
        <v/>
      </c>
    </row>
    <row r="451">
      <c r="A451" s="10" t="n"/>
      <c r="B451" s="12">
        <f>IF(A451="","",IFERROR(INDEX(DATA!$E$2:$E$500,MATCH(A451,DATA!$D$2:$D$500,0)),""))</f>
        <v/>
      </c>
      <c r="C451" s="10" t="n"/>
      <c r="D451" s="10" t="n"/>
      <c r="E451" s="10" t="n"/>
      <c r="F451" s="10" t="n"/>
      <c r="G451" s="10" t="n"/>
      <c r="H451" s="10" t="n"/>
      <c r="I451" s="10" t="n"/>
      <c r="J451" s="12">
        <f>IF(OR(A451="",COUNT(C451:E451)&lt;3),"",IFERROR(MAX(0,FLOOR(($N$2-$N$3)/E451,1))*MAX(1,MIN(IF(G451="",1,G451),FLOOR($N$4/D451,1)))*IF(F451="",1,F451),""))</f>
        <v/>
      </c>
      <c r="K451" s="12">
        <f>IF(A451="","",IF(COUNTIF(DATA!$D$2:$D$500,A451)=0,"CEK SKU tidak ada di DATA",IF(COUNT(C451:E451)&lt;3,"CEK dimensi belum lengkap",IF(OR(C451&lt;=0,D451&lt;=0,E451&lt;=0),"CEK dimensi harus lebih dari 0",IF(COUNTIF($A$2:$A$500,A451)&gt;1,"CEK SKU dobel","OK")))))</f>
        <v/>
      </c>
    </row>
    <row r="452">
      <c r="A452" s="10" t="n"/>
      <c r="B452" s="12">
        <f>IF(A452="","",IFERROR(INDEX(DATA!$E$2:$E$500,MATCH(A452,DATA!$D$2:$D$500,0)),""))</f>
        <v/>
      </c>
      <c r="C452" s="10" t="n"/>
      <c r="D452" s="10" t="n"/>
      <c r="E452" s="10" t="n"/>
      <c r="F452" s="10" t="n"/>
      <c r="G452" s="10" t="n"/>
      <c r="H452" s="10" t="n"/>
      <c r="I452" s="10" t="n"/>
      <c r="J452" s="12">
        <f>IF(OR(A452="",COUNT(C452:E452)&lt;3),"",IFERROR(MAX(0,FLOOR(($N$2-$N$3)/E452,1))*MAX(1,MIN(IF(G452="",1,G452),FLOOR($N$4/D452,1)))*IF(F452="",1,F452),""))</f>
        <v/>
      </c>
      <c r="K452" s="12">
        <f>IF(A452="","",IF(COUNTIF(DATA!$D$2:$D$500,A452)=0,"CEK SKU tidak ada di DATA",IF(COUNT(C452:E452)&lt;3,"CEK dimensi belum lengkap",IF(OR(C452&lt;=0,D452&lt;=0,E452&lt;=0),"CEK dimensi harus lebih dari 0",IF(COUNTIF($A$2:$A$500,A452)&gt;1,"CEK SKU dobel","OK")))))</f>
        <v/>
      </c>
    </row>
    <row r="453">
      <c r="A453" s="10" t="n"/>
      <c r="B453" s="12">
        <f>IF(A453="","",IFERROR(INDEX(DATA!$E$2:$E$500,MATCH(A453,DATA!$D$2:$D$500,0)),""))</f>
        <v/>
      </c>
      <c r="C453" s="10" t="n"/>
      <c r="D453" s="10" t="n"/>
      <c r="E453" s="10" t="n"/>
      <c r="F453" s="10" t="n"/>
      <c r="G453" s="10" t="n"/>
      <c r="H453" s="10" t="n"/>
      <c r="I453" s="10" t="n"/>
      <c r="J453" s="12">
        <f>IF(OR(A453="",COUNT(C453:E453)&lt;3),"",IFERROR(MAX(0,FLOOR(($N$2-$N$3)/E453,1))*MAX(1,MIN(IF(G453="",1,G453),FLOOR($N$4/D453,1)))*IF(F453="",1,F453),""))</f>
        <v/>
      </c>
      <c r="K453" s="12">
        <f>IF(A453="","",IF(COUNTIF(DATA!$D$2:$D$500,A453)=0,"CEK SKU tidak ada di DATA",IF(COUNT(C453:E453)&lt;3,"CEK dimensi belum lengkap",IF(OR(C453&lt;=0,D453&lt;=0,E453&lt;=0),"CEK dimensi harus lebih dari 0",IF(COUNTIF($A$2:$A$500,A453)&gt;1,"CEK SKU dobel","OK")))))</f>
        <v/>
      </c>
    </row>
    <row r="454">
      <c r="A454" s="10" t="n"/>
      <c r="B454" s="12">
        <f>IF(A454="","",IFERROR(INDEX(DATA!$E$2:$E$500,MATCH(A454,DATA!$D$2:$D$500,0)),""))</f>
        <v/>
      </c>
      <c r="C454" s="10" t="n"/>
      <c r="D454" s="10" t="n"/>
      <c r="E454" s="10" t="n"/>
      <c r="F454" s="10" t="n"/>
      <c r="G454" s="10" t="n"/>
      <c r="H454" s="10" t="n"/>
      <c r="I454" s="10" t="n"/>
      <c r="J454" s="12">
        <f>IF(OR(A454="",COUNT(C454:E454)&lt;3),"",IFERROR(MAX(0,FLOOR(($N$2-$N$3)/E454,1))*MAX(1,MIN(IF(G454="",1,G454),FLOOR($N$4/D454,1)))*IF(F454="",1,F454),""))</f>
        <v/>
      </c>
      <c r="K454" s="12">
        <f>IF(A454="","",IF(COUNTIF(DATA!$D$2:$D$500,A454)=0,"CEK SKU tidak ada di DATA",IF(COUNT(C454:E454)&lt;3,"CEK dimensi belum lengkap",IF(OR(C454&lt;=0,D454&lt;=0,E454&lt;=0),"CEK dimensi harus lebih dari 0",IF(COUNTIF($A$2:$A$500,A454)&gt;1,"CEK SKU dobel","OK")))))</f>
        <v/>
      </c>
    </row>
    <row r="455">
      <c r="A455" s="10" t="n"/>
      <c r="B455" s="12">
        <f>IF(A455="","",IFERROR(INDEX(DATA!$E$2:$E$500,MATCH(A455,DATA!$D$2:$D$500,0)),""))</f>
        <v/>
      </c>
      <c r="C455" s="10" t="n"/>
      <c r="D455" s="10" t="n"/>
      <c r="E455" s="10" t="n"/>
      <c r="F455" s="10" t="n"/>
      <c r="G455" s="10" t="n"/>
      <c r="H455" s="10" t="n"/>
      <c r="I455" s="10" t="n"/>
      <c r="J455" s="12">
        <f>IF(OR(A455="",COUNT(C455:E455)&lt;3),"",IFERROR(MAX(0,FLOOR(($N$2-$N$3)/E455,1))*MAX(1,MIN(IF(G455="",1,G455),FLOOR($N$4/D455,1)))*IF(F455="",1,F455),""))</f>
        <v/>
      </c>
      <c r="K455" s="12">
        <f>IF(A455="","",IF(COUNTIF(DATA!$D$2:$D$500,A455)=0,"CEK SKU tidak ada di DATA",IF(COUNT(C455:E455)&lt;3,"CEK dimensi belum lengkap",IF(OR(C455&lt;=0,D455&lt;=0,E455&lt;=0),"CEK dimensi harus lebih dari 0",IF(COUNTIF($A$2:$A$500,A455)&gt;1,"CEK SKU dobel","OK")))))</f>
        <v/>
      </c>
    </row>
    <row r="456">
      <c r="A456" s="10" t="n"/>
      <c r="B456" s="12">
        <f>IF(A456="","",IFERROR(INDEX(DATA!$E$2:$E$500,MATCH(A456,DATA!$D$2:$D$500,0)),""))</f>
        <v/>
      </c>
      <c r="C456" s="10" t="n"/>
      <c r="D456" s="10" t="n"/>
      <c r="E456" s="10" t="n"/>
      <c r="F456" s="10" t="n"/>
      <c r="G456" s="10" t="n"/>
      <c r="H456" s="10" t="n"/>
      <c r="I456" s="10" t="n"/>
      <c r="J456" s="12">
        <f>IF(OR(A456="",COUNT(C456:E456)&lt;3),"",IFERROR(MAX(0,FLOOR(($N$2-$N$3)/E456,1))*MAX(1,MIN(IF(G456="",1,G456),FLOOR($N$4/D456,1)))*IF(F456="",1,F456),""))</f>
        <v/>
      </c>
      <c r="K456" s="12">
        <f>IF(A456="","",IF(COUNTIF(DATA!$D$2:$D$500,A456)=0,"CEK SKU tidak ada di DATA",IF(COUNT(C456:E456)&lt;3,"CEK dimensi belum lengkap",IF(OR(C456&lt;=0,D456&lt;=0,E456&lt;=0),"CEK dimensi harus lebih dari 0",IF(COUNTIF($A$2:$A$500,A456)&gt;1,"CEK SKU dobel","OK")))))</f>
        <v/>
      </c>
    </row>
    <row r="457">
      <c r="A457" s="10" t="n"/>
      <c r="B457" s="12">
        <f>IF(A457="","",IFERROR(INDEX(DATA!$E$2:$E$500,MATCH(A457,DATA!$D$2:$D$500,0)),""))</f>
        <v/>
      </c>
      <c r="C457" s="10" t="n"/>
      <c r="D457" s="10" t="n"/>
      <c r="E457" s="10" t="n"/>
      <c r="F457" s="10" t="n"/>
      <c r="G457" s="10" t="n"/>
      <c r="H457" s="10" t="n"/>
      <c r="I457" s="10" t="n"/>
      <c r="J457" s="12">
        <f>IF(OR(A457="",COUNT(C457:E457)&lt;3),"",IFERROR(MAX(0,FLOOR(($N$2-$N$3)/E457,1))*MAX(1,MIN(IF(G457="",1,G457),FLOOR($N$4/D457,1)))*IF(F457="",1,F457),""))</f>
        <v/>
      </c>
      <c r="K457" s="12">
        <f>IF(A457="","",IF(COUNTIF(DATA!$D$2:$D$500,A457)=0,"CEK SKU tidak ada di DATA",IF(COUNT(C457:E457)&lt;3,"CEK dimensi belum lengkap",IF(OR(C457&lt;=0,D457&lt;=0,E457&lt;=0),"CEK dimensi harus lebih dari 0",IF(COUNTIF($A$2:$A$500,A457)&gt;1,"CEK SKU dobel","OK")))))</f>
        <v/>
      </c>
    </row>
    <row r="458">
      <c r="A458" s="10" t="n"/>
      <c r="B458" s="12">
        <f>IF(A458="","",IFERROR(INDEX(DATA!$E$2:$E$500,MATCH(A458,DATA!$D$2:$D$500,0)),""))</f>
        <v/>
      </c>
      <c r="C458" s="10" t="n"/>
      <c r="D458" s="10" t="n"/>
      <c r="E458" s="10" t="n"/>
      <c r="F458" s="10" t="n"/>
      <c r="G458" s="10" t="n"/>
      <c r="H458" s="10" t="n"/>
      <c r="I458" s="10" t="n"/>
      <c r="J458" s="12">
        <f>IF(OR(A458="",COUNT(C458:E458)&lt;3),"",IFERROR(MAX(0,FLOOR(($N$2-$N$3)/E458,1))*MAX(1,MIN(IF(G458="",1,G458),FLOOR($N$4/D458,1)))*IF(F458="",1,F458),""))</f>
        <v/>
      </c>
      <c r="K458" s="12">
        <f>IF(A458="","",IF(COUNTIF(DATA!$D$2:$D$500,A458)=0,"CEK SKU tidak ada di DATA",IF(COUNT(C458:E458)&lt;3,"CEK dimensi belum lengkap",IF(OR(C458&lt;=0,D458&lt;=0,E458&lt;=0),"CEK dimensi harus lebih dari 0",IF(COUNTIF($A$2:$A$500,A458)&gt;1,"CEK SKU dobel","OK")))))</f>
        <v/>
      </c>
    </row>
    <row r="459">
      <c r="A459" s="10" t="n"/>
      <c r="B459" s="12">
        <f>IF(A459="","",IFERROR(INDEX(DATA!$E$2:$E$500,MATCH(A459,DATA!$D$2:$D$500,0)),""))</f>
        <v/>
      </c>
      <c r="C459" s="10" t="n"/>
      <c r="D459" s="10" t="n"/>
      <c r="E459" s="10" t="n"/>
      <c r="F459" s="10" t="n"/>
      <c r="G459" s="10" t="n"/>
      <c r="H459" s="10" t="n"/>
      <c r="I459" s="10" t="n"/>
      <c r="J459" s="12">
        <f>IF(OR(A459="",COUNT(C459:E459)&lt;3),"",IFERROR(MAX(0,FLOOR(($N$2-$N$3)/E459,1))*MAX(1,MIN(IF(G459="",1,G459),FLOOR($N$4/D459,1)))*IF(F459="",1,F459),""))</f>
        <v/>
      </c>
      <c r="K459" s="12">
        <f>IF(A459="","",IF(COUNTIF(DATA!$D$2:$D$500,A459)=0,"CEK SKU tidak ada di DATA",IF(COUNT(C459:E459)&lt;3,"CEK dimensi belum lengkap",IF(OR(C459&lt;=0,D459&lt;=0,E459&lt;=0),"CEK dimensi harus lebih dari 0",IF(COUNTIF($A$2:$A$500,A459)&gt;1,"CEK SKU dobel","OK")))))</f>
        <v/>
      </c>
    </row>
    <row r="460">
      <c r="A460" s="10" t="n"/>
      <c r="B460" s="12">
        <f>IF(A460="","",IFERROR(INDEX(DATA!$E$2:$E$500,MATCH(A460,DATA!$D$2:$D$500,0)),""))</f>
        <v/>
      </c>
      <c r="C460" s="10" t="n"/>
      <c r="D460" s="10" t="n"/>
      <c r="E460" s="10" t="n"/>
      <c r="F460" s="10" t="n"/>
      <c r="G460" s="10" t="n"/>
      <c r="H460" s="10" t="n"/>
      <c r="I460" s="10" t="n"/>
      <c r="J460" s="12">
        <f>IF(OR(A460="",COUNT(C460:E460)&lt;3),"",IFERROR(MAX(0,FLOOR(($N$2-$N$3)/E460,1))*MAX(1,MIN(IF(G460="",1,G460),FLOOR($N$4/D460,1)))*IF(F460="",1,F460),""))</f>
        <v/>
      </c>
      <c r="K460" s="12">
        <f>IF(A460="","",IF(COUNTIF(DATA!$D$2:$D$500,A460)=0,"CEK SKU tidak ada di DATA",IF(COUNT(C460:E460)&lt;3,"CEK dimensi belum lengkap",IF(OR(C460&lt;=0,D460&lt;=0,E460&lt;=0),"CEK dimensi harus lebih dari 0",IF(COUNTIF($A$2:$A$500,A460)&gt;1,"CEK SKU dobel","OK")))))</f>
        <v/>
      </c>
    </row>
    <row r="461">
      <c r="A461" s="10" t="n"/>
      <c r="B461" s="12">
        <f>IF(A461="","",IFERROR(INDEX(DATA!$E$2:$E$500,MATCH(A461,DATA!$D$2:$D$500,0)),""))</f>
        <v/>
      </c>
      <c r="C461" s="10" t="n"/>
      <c r="D461" s="10" t="n"/>
      <c r="E461" s="10" t="n"/>
      <c r="F461" s="10" t="n"/>
      <c r="G461" s="10" t="n"/>
      <c r="H461" s="10" t="n"/>
      <c r="I461" s="10" t="n"/>
      <c r="J461" s="12">
        <f>IF(OR(A461="",COUNT(C461:E461)&lt;3),"",IFERROR(MAX(0,FLOOR(($N$2-$N$3)/E461,1))*MAX(1,MIN(IF(G461="",1,G461),FLOOR($N$4/D461,1)))*IF(F461="",1,F461),""))</f>
        <v/>
      </c>
      <c r="K461" s="12">
        <f>IF(A461="","",IF(COUNTIF(DATA!$D$2:$D$500,A461)=0,"CEK SKU tidak ada di DATA",IF(COUNT(C461:E461)&lt;3,"CEK dimensi belum lengkap",IF(OR(C461&lt;=0,D461&lt;=0,E461&lt;=0),"CEK dimensi harus lebih dari 0",IF(COUNTIF($A$2:$A$500,A461)&gt;1,"CEK SKU dobel","OK")))))</f>
        <v/>
      </c>
    </row>
    <row r="462">
      <c r="A462" s="10" t="n"/>
      <c r="B462" s="12">
        <f>IF(A462="","",IFERROR(INDEX(DATA!$E$2:$E$500,MATCH(A462,DATA!$D$2:$D$500,0)),""))</f>
        <v/>
      </c>
      <c r="C462" s="10" t="n"/>
      <c r="D462" s="10" t="n"/>
      <c r="E462" s="10" t="n"/>
      <c r="F462" s="10" t="n"/>
      <c r="G462" s="10" t="n"/>
      <c r="H462" s="10" t="n"/>
      <c r="I462" s="10" t="n"/>
      <c r="J462" s="12">
        <f>IF(OR(A462="",COUNT(C462:E462)&lt;3),"",IFERROR(MAX(0,FLOOR(($N$2-$N$3)/E462,1))*MAX(1,MIN(IF(G462="",1,G462),FLOOR($N$4/D462,1)))*IF(F462="",1,F462),""))</f>
        <v/>
      </c>
      <c r="K462" s="12">
        <f>IF(A462="","",IF(COUNTIF(DATA!$D$2:$D$500,A462)=0,"CEK SKU tidak ada di DATA",IF(COUNT(C462:E462)&lt;3,"CEK dimensi belum lengkap",IF(OR(C462&lt;=0,D462&lt;=0,E462&lt;=0),"CEK dimensi harus lebih dari 0",IF(COUNTIF($A$2:$A$500,A462)&gt;1,"CEK SKU dobel","OK")))))</f>
        <v/>
      </c>
    </row>
    <row r="463">
      <c r="A463" s="10" t="n"/>
      <c r="B463" s="12">
        <f>IF(A463="","",IFERROR(INDEX(DATA!$E$2:$E$500,MATCH(A463,DATA!$D$2:$D$500,0)),""))</f>
        <v/>
      </c>
      <c r="C463" s="10" t="n"/>
      <c r="D463" s="10" t="n"/>
      <c r="E463" s="10" t="n"/>
      <c r="F463" s="10" t="n"/>
      <c r="G463" s="10" t="n"/>
      <c r="H463" s="10" t="n"/>
      <c r="I463" s="10" t="n"/>
      <c r="J463" s="12">
        <f>IF(OR(A463="",COUNT(C463:E463)&lt;3),"",IFERROR(MAX(0,FLOOR(($N$2-$N$3)/E463,1))*MAX(1,MIN(IF(G463="",1,G463),FLOOR($N$4/D463,1)))*IF(F463="",1,F463),""))</f>
        <v/>
      </c>
      <c r="K463" s="12">
        <f>IF(A463="","",IF(COUNTIF(DATA!$D$2:$D$500,A463)=0,"CEK SKU tidak ada di DATA",IF(COUNT(C463:E463)&lt;3,"CEK dimensi belum lengkap",IF(OR(C463&lt;=0,D463&lt;=0,E463&lt;=0),"CEK dimensi harus lebih dari 0",IF(COUNTIF($A$2:$A$500,A463)&gt;1,"CEK SKU dobel","OK")))))</f>
        <v/>
      </c>
    </row>
    <row r="464">
      <c r="A464" s="10" t="n"/>
      <c r="B464" s="12">
        <f>IF(A464="","",IFERROR(INDEX(DATA!$E$2:$E$500,MATCH(A464,DATA!$D$2:$D$500,0)),""))</f>
        <v/>
      </c>
      <c r="C464" s="10" t="n"/>
      <c r="D464" s="10" t="n"/>
      <c r="E464" s="10" t="n"/>
      <c r="F464" s="10" t="n"/>
      <c r="G464" s="10" t="n"/>
      <c r="H464" s="10" t="n"/>
      <c r="I464" s="10" t="n"/>
      <c r="J464" s="12">
        <f>IF(OR(A464="",COUNT(C464:E464)&lt;3),"",IFERROR(MAX(0,FLOOR(($N$2-$N$3)/E464,1))*MAX(1,MIN(IF(G464="",1,G464),FLOOR($N$4/D464,1)))*IF(F464="",1,F464),""))</f>
        <v/>
      </c>
      <c r="K464" s="12">
        <f>IF(A464="","",IF(COUNTIF(DATA!$D$2:$D$500,A464)=0,"CEK SKU tidak ada di DATA",IF(COUNT(C464:E464)&lt;3,"CEK dimensi belum lengkap",IF(OR(C464&lt;=0,D464&lt;=0,E464&lt;=0),"CEK dimensi harus lebih dari 0",IF(COUNTIF($A$2:$A$500,A464)&gt;1,"CEK SKU dobel","OK")))))</f>
        <v/>
      </c>
    </row>
    <row r="465">
      <c r="A465" s="10" t="n"/>
      <c r="B465" s="12">
        <f>IF(A465="","",IFERROR(INDEX(DATA!$E$2:$E$500,MATCH(A465,DATA!$D$2:$D$500,0)),""))</f>
        <v/>
      </c>
      <c r="C465" s="10" t="n"/>
      <c r="D465" s="10" t="n"/>
      <c r="E465" s="10" t="n"/>
      <c r="F465" s="10" t="n"/>
      <c r="G465" s="10" t="n"/>
      <c r="H465" s="10" t="n"/>
      <c r="I465" s="10" t="n"/>
      <c r="J465" s="12">
        <f>IF(OR(A465="",COUNT(C465:E465)&lt;3),"",IFERROR(MAX(0,FLOOR(($N$2-$N$3)/E465,1))*MAX(1,MIN(IF(G465="",1,G465),FLOOR($N$4/D465,1)))*IF(F465="",1,F465),""))</f>
        <v/>
      </c>
      <c r="K465" s="12">
        <f>IF(A465="","",IF(COUNTIF(DATA!$D$2:$D$500,A465)=0,"CEK SKU tidak ada di DATA",IF(COUNT(C465:E465)&lt;3,"CEK dimensi belum lengkap",IF(OR(C465&lt;=0,D465&lt;=0,E465&lt;=0),"CEK dimensi harus lebih dari 0",IF(COUNTIF($A$2:$A$500,A465)&gt;1,"CEK SKU dobel","OK")))))</f>
        <v/>
      </c>
    </row>
    <row r="466">
      <c r="A466" s="10" t="n"/>
      <c r="B466" s="12">
        <f>IF(A466="","",IFERROR(INDEX(DATA!$E$2:$E$500,MATCH(A466,DATA!$D$2:$D$500,0)),""))</f>
        <v/>
      </c>
      <c r="C466" s="10" t="n"/>
      <c r="D466" s="10" t="n"/>
      <c r="E466" s="10" t="n"/>
      <c r="F466" s="10" t="n"/>
      <c r="G466" s="10" t="n"/>
      <c r="H466" s="10" t="n"/>
      <c r="I466" s="10" t="n"/>
      <c r="J466" s="12">
        <f>IF(OR(A466="",COUNT(C466:E466)&lt;3),"",IFERROR(MAX(0,FLOOR(($N$2-$N$3)/E466,1))*MAX(1,MIN(IF(G466="",1,G466),FLOOR($N$4/D466,1)))*IF(F466="",1,F466),""))</f>
        <v/>
      </c>
      <c r="K466" s="12">
        <f>IF(A466="","",IF(COUNTIF(DATA!$D$2:$D$500,A466)=0,"CEK SKU tidak ada di DATA",IF(COUNT(C466:E466)&lt;3,"CEK dimensi belum lengkap",IF(OR(C466&lt;=0,D466&lt;=0,E466&lt;=0),"CEK dimensi harus lebih dari 0",IF(COUNTIF($A$2:$A$500,A466)&gt;1,"CEK SKU dobel","OK")))))</f>
        <v/>
      </c>
    </row>
    <row r="467">
      <c r="A467" s="10" t="n"/>
      <c r="B467" s="12">
        <f>IF(A467="","",IFERROR(INDEX(DATA!$E$2:$E$500,MATCH(A467,DATA!$D$2:$D$500,0)),""))</f>
        <v/>
      </c>
      <c r="C467" s="10" t="n"/>
      <c r="D467" s="10" t="n"/>
      <c r="E467" s="10" t="n"/>
      <c r="F467" s="10" t="n"/>
      <c r="G467" s="10" t="n"/>
      <c r="H467" s="10" t="n"/>
      <c r="I467" s="10" t="n"/>
      <c r="J467" s="12">
        <f>IF(OR(A467="",COUNT(C467:E467)&lt;3),"",IFERROR(MAX(0,FLOOR(($N$2-$N$3)/E467,1))*MAX(1,MIN(IF(G467="",1,G467),FLOOR($N$4/D467,1)))*IF(F467="",1,F467),""))</f>
        <v/>
      </c>
      <c r="K467" s="12">
        <f>IF(A467="","",IF(COUNTIF(DATA!$D$2:$D$500,A467)=0,"CEK SKU tidak ada di DATA",IF(COUNT(C467:E467)&lt;3,"CEK dimensi belum lengkap",IF(OR(C467&lt;=0,D467&lt;=0,E467&lt;=0),"CEK dimensi harus lebih dari 0",IF(COUNTIF($A$2:$A$500,A467)&gt;1,"CEK SKU dobel","OK")))))</f>
        <v/>
      </c>
    </row>
    <row r="468">
      <c r="A468" s="10" t="n"/>
      <c r="B468" s="12">
        <f>IF(A468="","",IFERROR(INDEX(DATA!$E$2:$E$500,MATCH(A468,DATA!$D$2:$D$500,0)),""))</f>
        <v/>
      </c>
      <c r="C468" s="10" t="n"/>
      <c r="D468" s="10" t="n"/>
      <c r="E468" s="10" t="n"/>
      <c r="F468" s="10" t="n"/>
      <c r="G468" s="10" t="n"/>
      <c r="H468" s="10" t="n"/>
      <c r="I468" s="10" t="n"/>
      <c r="J468" s="12">
        <f>IF(OR(A468="",COUNT(C468:E468)&lt;3),"",IFERROR(MAX(0,FLOOR(($N$2-$N$3)/E468,1))*MAX(1,MIN(IF(G468="",1,G468),FLOOR($N$4/D468,1)))*IF(F468="",1,F468),""))</f>
        <v/>
      </c>
      <c r="K468" s="12">
        <f>IF(A468="","",IF(COUNTIF(DATA!$D$2:$D$500,A468)=0,"CEK SKU tidak ada di DATA",IF(COUNT(C468:E468)&lt;3,"CEK dimensi belum lengkap",IF(OR(C468&lt;=0,D468&lt;=0,E468&lt;=0),"CEK dimensi harus lebih dari 0",IF(COUNTIF($A$2:$A$500,A468)&gt;1,"CEK SKU dobel","OK")))))</f>
        <v/>
      </c>
    </row>
    <row r="469">
      <c r="A469" s="10" t="n"/>
      <c r="B469" s="12">
        <f>IF(A469="","",IFERROR(INDEX(DATA!$E$2:$E$500,MATCH(A469,DATA!$D$2:$D$500,0)),""))</f>
        <v/>
      </c>
      <c r="C469" s="10" t="n"/>
      <c r="D469" s="10" t="n"/>
      <c r="E469" s="10" t="n"/>
      <c r="F469" s="10" t="n"/>
      <c r="G469" s="10" t="n"/>
      <c r="H469" s="10" t="n"/>
      <c r="I469" s="10" t="n"/>
      <c r="J469" s="12">
        <f>IF(OR(A469="",COUNT(C469:E469)&lt;3),"",IFERROR(MAX(0,FLOOR(($N$2-$N$3)/E469,1))*MAX(1,MIN(IF(G469="",1,G469),FLOOR($N$4/D469,1)))*IF(F469="",1,F469),""))</f>
        <v/>
      </c>
      <c r="K469" s="12">
        <f>IF(A469="","",IF(COUNTIF(DATA!$D$2:$D$500,A469)=0,"CEK SKU tidak ada di DATA",IF(COUNT(C469:E469)&lt;3,"CEK dimensi belum lengkap",IF(OR(C469&lt;=0,D469&lt;=0,E469&lt;=0),"CEK dimensi harus lebih dari 0",IF(COUNTIF($A$2:$A$500,A469)&gt;1,"CEK SKU dobel","OK")))))</f>
        <v/>
      </c>
    </row>
    <row r="470">
      <c r="A470" s="10" t="n"/>
      <c r="B470" s="12">
        <f>IF(A470="","",IFERROR(INDEX(DATA!$E$2:$E$500,MATCH(A470,DATA!$D$2:$D$500,0)),""))</f>
        <v/>
      </c>
      <c r="C470" s="10" t="n"/>
      <c r="D470" s="10" t="n"/>
      <c r="E470" s="10" t="n"/>
      <c r="F470" s="10" t="n"/>
      <c r="G470" s="10" t="n"/>
      <c r="H470" s="10" t="n"/>
      <c r="I470" s="10" t="n"/>
      <c r="J470" s="12">
        <f>IF(OR(A470="",COUNT(C470:E470)&lt;3),"",IFERROR(MAX(0,FLOOR(($N$2-$N$3)/E470,1))*MAX(1,MIN(IF(G470="",1,G470),FLOOR($N$4/D470,1)))*IF(F470="",1,F470),""))</f>
        <v/>
      </c>
      <c r="K470" s="12">
        <f>IF(A470="","",IF(COUNTIF(DATA!$D$2:$D$500,A470)=0,"CEK SKU tidak ada di DATA",IF(COUNT(C470:E470)&lt;3,"CEK dimensi belum lengkap",IF(OR(C470&lt;=0,D470&lt;=0,E470&lt;=0),"CEK dimensi harus lebih dari 0",IF(COUNTIF($A$2:$A$500,A470)&gt;1,"CEK SKU dobel","OK")))))</f>
        <v/>
      </c>
    </row>
    <row r="471">
      <c r="A471" s="10" t="n"/>
      <c r="B471" s="12">
        <f>IF(A471="","",IFERROR(INDEX(DATA!$E$2:$E$500,MATCH(A471,DATA!$D$2:$D$500,0)),""))</f>
        <v/>
      </c>
      <c r="C471" s="10" t="n"/>
      <c r="D471" s="10" t="n"/>
      <c r="E471" s="10" t="n"/>
      <c r="F471" s="10" t="n"/>
      <c r="G471" s="10" t="n"/>
      <c r="H471" s="10" t="n"/>
      <c r="I471" s="10" t="n"/>
      <c r="J471" s="12">
        <f>IF(OR(A471="",COUNT(C471:E471)&lt;3),"",IFERROR(MAX(0,FLOOR(($N$2-$N$3)/E471,1))*MAX(1,MIN(IF(G471="",1,G471),FLOOR($N$4/D471,1)))*IF(F471="",1,F471),""))</f>
        <v/>
      </c>
      <c r="K471" s="12">
        <f>IF(A471="","",IF(COUNTIF(DATA!$D$2:$D$500,A471)=0,"CEK SKU tidak ada di DATA",IF(COUNT(C471:E471)&lt;3,"CEK dimensi belum lengkap",IF(OR(C471&lt;=0,D471&lt;=0,E471&lt;=0),"CEK dimensi harus lebih dari 0",IF(COUNTIF($A$2:$A$500,A471)&gt;1,"CEK SKU dobel","OK")))))</f>
        <v/>
      </c>
    </row>
    <row r="472">
      <c r="A472" s="10" t="n"/>
      <c r="B472" s="12">
        <f>IF(A472="","",IFERROR(INDEX(DATA!$E$2:$E$500,MATCH(A472,DATA!$D$2:$D$500,0)),""))</f>
        <v/>
      </c>
      <c r="C472" s="10" t="n"/>
      <c r="D472" s="10" t="n"/>
      <c r="E472" s="10" t="n"/>
      <c r="F472" s="10" t="n"/>
      <c r="G472" s="10" t="n"/>
      <c r="H472" s="10" t="n"/>
      <c r="I472" s="10" t="n"/>
      <c r="J472" s="12">
        <f>IF(OR(A472="",COUNT(C472:E472)&lt;3),"",IFERROR(MAX(0,FLOOR(($N$2-$N$3)/E472,1))*MAX(1,MIN(IF(G472="",1,G472),FLOOR($N$4/D472,1)))*IF(F472="",1,F472),""))</f>
        <v/>
      </c>
      <c r="K472" s="12">
        <f>IF(A472="","",IF(COUNTIF(DATA!$D$2:$D$500,A472)=0,"CEK SKU tidak ada di DATA",IF(COUNT(C472:E472)&lt;3,"CEK dimensi belum lengkap",IF(OR(C472&lt;=0,D472&lt;=0,E472&lt;=0),"CEK dimensi harus lebih dari 0",IF(COUNTIF($A$2:$A$500,A472)&gt;1,"CEK SKU dobel","OK")))))</f>
        <v/>
      </c>
    </row>
    <row r="473">
      <c r="A473" s="10" t="n"/>
      <c r="B473" s="12">
        <f>IF(A473="","",IFERROR(INDEX(DATA!$E$2:$E$500,MATCH(A473,DATA!$D$2:$D$500,0)),""))</f>
        <v/>
      </c>
      <c r="C473" s="10" t="n"/>
      <c r="D473" s="10" t="n"/>
      <c r="E473" s="10" t="n"/>
      <c r="F473" s="10" t="n"/>
      <c r="G473" s="10" t="n"/>
      <c r="H473" s="10" t="n"/>
      <c r="I473" s="10" t="n"/>
      <c r="J473" s="12">
        <f>IF(OR(A473="",COUNT(C473:E473)&lt;3),"",IFERROR(MAX(0,FLOOR(($N$2-$N$3)/E473,1))*MAX(1,MIN(IF(G473="",1,G473),FLOOR($N$4/D473,1)))*IF(F473="",1,F473),""))</f>
        <v/>
      </c>
      <c r="K473" s="12">
        <f>IF(A473="","",IF(COUNTIF(DATA!$D$2:$D$500,A473)=0,"CEK SKU tidak ada di DATA",IF(COUNT(C473:E473)&lt;3,"CEK dimensi belum lengkap",IF(OR(C473&lt;=0,D473&lt;=0,E473&lt;=0),"CEK dimensi harus lebih dari 0",IF(COUNTIF($A$2:$A$500,A473)&gt;1,"CEK SKU dobel","OK")))))</f>
        <v/>
      </c>
    </row>
    <row r="474">
      <c r="A474" s="10" t="n"/>
      <c r="B474" s="12">
        <f>IF(A474="","",IFERROR(INDEX(DATA!$E$2:$E$500,MATCH(A474,DATA!$D$2:$D$500,0)),""))</f>
        <v/>
      </c>
      <c r="C474" s="10" t="n"/>
      <c r="D474" s="10" t="n"/>
      <c r="E474" s="10" t="n"/>
      <c r="F474" s="10" t="n"/>
      <c r="G474" s="10" t="n"/>
      <c r="H474" s="10" t="n"/>
      <c r="I474" s="10" t="n"/>
      <c r="J474" s="12">
        <f>IF(OR(A474="",COUNT(C474:E474)&lt;3),"",IFERROR(MAX(0,FLOOR(($N$2-$N$3)/E474,1))*MAX(1,MIN(IF(G474="",1,G474),FLOOR($N$4/D474,1)))*IF(F474="",1,F474),""))</f>
        <v/>
      </c>
      <c r="K474" s="12">
        <f>IF(A474="","",IF(COUNTIF(DATA!$D$2:$D$500,A474)=0,"CEK SKU tidak ada di DATA",IF(COUNT(C474:E474)&lt;3,"CEK dimensi belum lengkap",IF(OR(C474&lt;=0,D474&lt;=0,E474&lt;=0),"CEK dimensi harus lebih dari 0",IF(COUNTIF($A$2:$A$500,A474)&gt;1,"CEK SKU dobel","OK")))))</f>
        <v/>
      </c>
    </row>
    <row r="475">
      <c r="A475" s="10" t="n"/>
      <c r="B475" s="12">
        <f>IF(A475="","",IFERROR(INDEX(DATA!$E$2:$E$500,MATCH(A475,DATA!$D$2:$D$500,0)),""))</f>
        <v/>
      </c>
      <c r="C475" s="10" t="n"/>
      <c r="D475" s="10" t="n"/>
      <c r="E475" s="10" t="n"/>
      <c r="F475" s="10" t="n"/>
      <c r="G475" s="10" t="n"/>
      <c r="H475" s="10" t="n"/>
      <c r="I475" s="10" t="n"/>
      <c r="J475" s="12">
        <f>IF(OR(A475="",COUNT(C475:E475)&lt;3),"",IFERROR(MAX(0,FLOOR(($N$2-$N$3)/E475,1))*MAX(1,MIN(IF(G475="",1,G475),FLOOR($N$4/D475,1)))*IF(F475="",1,F475),""))</f>
        <v/>
      </c>
      <c r="K475" s="12">
        <f>IF(A475="","",IF(COUNTIF(DATA!$D$2:$D$500,A475)=0,"CEK SKU tidak ada di DATA",IF(COUNT(C475:E475)&lt;3,"CEK dimensi belum lengkap",IF(OR(C475&lt;=0,D475&lt;=0,E475&lt;=0),"CEK dimensi harus lebih dari 0",IF(COUNTIF($A$2:$A$500,A475)&gt;1,"CEK SKU dobel","OK")))))</f>
        <v/>
      </c>
    </row>
    <row r="476">
      <c r="A476" s="10" t="n"/>
      <c r="B476" s="12">
        <f>IF(A476="","",IFERROR(INDEX(DATA!$E$2:$E$500,MATCH(A476,DATA!$D$2:$D$500,0)),""))</f>
        <v/>
      </c>
      <c r="C476" s="10" t="n"/>
      <c r="D476" s="10" t="n"/>
      <c r="E476" s="10" t="n"/>
      <c r="F476" s="10" t="n"/>
      <c r="G476" s="10" t="n"/>
      <c r="H476" s="10" t="n"/>
      <c r="I476" s="10" t="n"/>
      <c r="J476" s="12">
        <f>IF(OR(A476="",COUNT(C476:E476)&lt;3),"",IFERROR(MAX(0,FLOOR(($N$2-$N$3)/E476,1))*MAX(1,MIN(IF(G476="",1,G476),FLOOR($N$4/D476,1)))*IF(F476="",1,F476),""))</f>
        <v/>
      </c>
      <c r="K476" s="12">
        <f>IF(A476="","",IF(COUNTIF(DATA!$D$2:$D$500,A476)=0,"CEK SKU tidak ada di DATA",IF(COUNT(C476:E476)&lt;3,"CEK dimensi belum lengkap",IF(OR(C476&lt;=0,D476&lt;=0,E476&lt;=0),"CEK dimensi harus lebih dari 0",IF(COUNTIF($A$2:$A$500,A476)&gt;1,"CEK SKU dobel","OK")))))</f>
        <v/>
      </c>
    </row>
    <row r="477">
      <c r="A477" s="10" t="n"/>
      <c r="B477" s="12">
        <f>IF(A477="","",IFERROR(INDEX(DATA!$E$2:$E$500,MATCH(A477,DATA!$D$2:$D$500,0)),""))</f>
        <v/>
      </c>
      <c r="C477" s="10" t="n"/>
      <c r="D477" s="10" t="n"/>
      <c r="E477" s="10" t="n"/>
      <c r="F477" s="10" t="n"/>
      <c r="G477" s="10" t="n"/>
      <c r="H477" s="10" t="n"/>
      <c r="I477" s="10" t="n"/>
      <c r="J477" s="12">
        <f>IF(OR(A477="",COUNT(C477:E477)&lt;3),"",IFERROR(MAX(0,FLOOR(($N$2-$N$3)/E477,1))*MAX(1,MIN(IF(G477="",1,G477),FLOOR($N$4/D477,1)))*IF(F477="",1,F477),""))</f>
        <v/>
      </c>
      <c r="K477" s="12">
        <f>IF(A477="","",IF(COUNTIF(DATA!$D$2:$D$500,A477)=0,"CEK SKU tidak ada di DATA",IF(COUNT(C477:E477)&lt;3,"CEK dimensi belum lengkap",IF(OR(C477&lt;=0,D477&lt;=0,E477&lt;=0),"CEK dimensi harus lebih dari 0",IF(COUNTIF($A$2:$A$500,A477)&gt;1,"CEK SKU dobel","OK")))))</f>
        <v/>
      </c>
    </row>
    <row r="478">
      <c r="A478" s="10" t="n"/>
      <c r="B478" s="12">
        <f>IF(A478="","",IFERROR(INDEX(DATA!$E$2:$E$500,MATCH(A478,DATA!$D$2:$D$500,0)),""))</f>
        <v/>
      </c>
      <c r="C478" s="10" t="n"/>
      <c r="D478" s="10" t="n"/>
      <c r="E478" s="10" t="n"/>
      <c r="F478" s="10" t="n"/>
      <c r="G478" s="10" t="n"/>
      <c r="H478" s="10" t="n"/>
      <c r="I478" s="10" t="n"/>
      <c r="J478" s="12">
        <f>IF(OR(A478="",COUNT(C478:E478)&lt;3),"",IFERROR(MAX(0,FLOOR(($N$2-$N$3)/E478,1))*MAX(1,MIN(IF(G478="",1,G478),FLOOR($N$4/D478,1)))*IF(F478="",1,F478),""))</f>
        <v/>
      </c>
      <c r="K478" s="12">
        <f>IF(A478="","",IF(COUNTIF(DATA!$D$2:$D$500,A478)=0,"CEK SKU tidak ada di DATA",IF(COUNT(C478:E478)&lt;3,"CEK dimensi belum lengkap",IF(OR(C478&lt;=0,D478&lt;=0,E478&lt;=0),"CEK dimensi harus lebih dari 0",IF(COUNTIF($A$2:$A$500,A478)&gt;1,"CEK SKU dobel","OK")))))</f>
        <v/>
      </c>
    </row>
    <row r="479">
      <c r="A479" s="10" t="n"/>
      <c r="B479" s="12">
        <f>IF(A479="","",IFERROR(INDEX(DATA!$E$2:$E$500,MATCH(A479,DATA!$D$2:$D$500,0)),""))</f>
        <v/>
      </c>
      <c r="C479" s="10" t="n"/>
      <c r="D479" s="10" t="n"/>
      <c r="E479" s="10" t="n"/>
      <c r="F479" s="10" t="n"/>
      <c r="G479" s="10" t="n"/>
      <c r="H479" s="10" t="n"/>
      <c r="I479" s="10" t="n"/>
      <c r="J479" s="12">
        <f>IF(OR(A479="",COUNT(C479:E479)&lt;3),"",IFERROR(MAX(0,FLOOR(($N$2-$N$3)/E479,1))*MAX(1,MIN(IF(G479="",1,G479),FLOOR($N$4/D479,1)))*IF(F479="",1,F479),""))</f>
        <v/>
      </c>
      <c r="K479" s="12">
        <f>IF(A479="","",IF(COUNTIF(DATA!$D$2:$D$500,A479)=0,"CEK SKU tidak ada di DATA",IF(COUNT(C479:E479)&lt;3,"CEK dimensi belum lengkap",IF(OR(C479&lt;=0,D479&lt;=0,E479&lt;=0),"CEK dimensi harus lebih dari 0",IF(COUNTIF($A$2:$A$500,A479)&gt;1,"CEK SKU dobel","OK")))))</f>
        <v/>
      </c>
    </row>
    <row r="480">
      <c r="A480" s="10" t="n"/>
      <c r="B480" s="12">
        <f>IF(A480="","",IFERROR(INDEX(DATA!$E$2:$E$500,MATCH(A480,DATA!$D$2:$D$500,0)),""))</f>
        <v/>
      </c>
      <c r="C480" s="10" t="n"/>
      <c r="D480" s="10" t="n"/>
      <c r="E480" s="10" t="n"/>
      <c r="F480" s="10" t="n"/>
      <c r="G480" s="10" t="n"/>
      <c r="H480" s="10" t="n"/>
      <c r="I480" s="10" t="n"/>
      <c r="J480" s="12">
        <f>IF(OR(A480="",COUNT(C480:E480)&lt;3),"",IFERROR(MAX(0,FLOOR(($N$2-$N$3)/E480,1))*MAX(1,MIN(IF(G480="",1,G480),FLOOR($N$4/D480,1)))*IF(F480="",1,F480),""))</f>
        <v/>
      </c>
      <c r="K480" s="12">
        <f>IF(A480="","",IF(COUNTIF(DATA!$D$2:$D$500,A480)=0,"CEK SKU tidak ada di DATA",IF(COUNT(C480:E480)&lt;3,"CEK dimensi belum lengkap",IF(OR(C480&lt;=0,D480&lt;=0,E480&lt;=0),"CEK dimensi harus lebih dari 0",IF(COUNTIF($A$2:$A$500,A480)&gt;1,"CEK SKU dobel","OK")))))</f>
        <v/>
      </c>
    </row>
    <row r="481">
      <c r="A481" s="10" t="n"/>
      <c r="B481" s="12">
        <f>IF(A481="","",IFERROR(INDEX(DATA!$E$2:$E$500,MATCH(A481,DATA!$D$2:$D$500,0)),""))</f>
        <v/>
      </c>
      <c r="C481" s="10" t="n"/>
      <c r="D481" s="10" t="n"/>
      <c r="E481" s="10" t="n"/>
      <c r="F481" s="10" t="n"/>
      <c r="G481" s="10" t="n"/>
      <c r="H481" s="10" t="n"/>
      <c r="I481" s="10" t="n"/>
      <c r="J481" s="12">
        <f>IF(OR(A481="",COUNT(C481:E481)&lt;3),"",IFERROR(MAX(0,FLOOR(($N$2-$N$3)/E481,1))*MAX(1,MIN(IF(G481="",1,G481),FLOOR($N$4/D481,1)))*IF(F481="",1,F481),""))</f>
        <v/>
      </c>
      <c r="K481" s="12">
        <f>IF(A481="","",IF(COUNTIF(DATA!$D$2:$D$500,A481)=0,"CEK SKU tidak ada di DATA",IF(COUNT(C481:E481)&lt;3,"CEK dimensi belum lengkap",IF(OR(C481&lt;=0,D481&lt;=0,E481&lt;=0),"CEK dimensi harus lebih dari 0",IF(COUNTIF($A$2:$A$500,A481)&gt;1,"CEK SKU dobel","OK")))))</f>
        <v/>
      </c>
    </row>
    <row r="482">
      <c r="A482" s="10" t="n"/>
      <c r="B482" s="12">
        <f>IF(A482="","",IFERROR(INDEX(DATA!$E$2:$E$500,MATCH(A482,DATA!$D$2:$D$500,0)),""))</f>
        <v/>
      </c>
      <c r="C482" s="10" t="n"/>
      <c r="D482" s="10" t="n"/>
      <c r="E482" s="10" t="n"/>
      <c r="F482" s="10" t="n"/>
      <c r="G482" s="10" t="n"/>
      <c r="H482" s="10" t="n"/>
      <c r="I482" s="10" t="n"/>
      <c r="J482" s="12">
        <f>IF(OR(A482="",COUNT(C482:E482)&lt;3),"",IFERROR(MAX(0,FLOOR(($N$2-$N$3)/E482,1))*MAX(1,MIN(IF(G482="",1,G482),FLOOR($N$4/D482,1)))*IF(F482="",1,F482),""))</f>
        <v/>
      </c>
      <c r="K482" s="12">
        <f>IF(A482="","",IF(COUNTIF(DATA!$D$2:$D$500,A482)=0,"CEK SKU tidak ada di DATA",IF(COUNT(C482:E482)&lt;3,"CEK dimensi belum lengkap",IF(OR(C482&lt;=0,D482&lt;=0,E482&lt;=0),"CEK dimensi harus lebih dari 0",IF(COUNTIF($A$2:$A$500,A482)&gt;1,"CEK SKU dobel","OK")))))</f>
        <v/>
      </c>
    </row>
    <row r="483">
      <c r="A483" s="10" t="n"/>
      <c r="B483" s="12">
        <f>IF(A483="","",IFERROR(INDEX(DATA!$E$2:$E$500,MATCH(A483,DATA!$D$2:$D$500,0)),""))</f>
        <v/>
      </c>
      <c r="C483" s="10" t="n"/>
      <c r="D483" s="10" t="n"/>
      <c r="E483" s="10" t="n"/>
      <c r="F483" s="10" t="n"/>
      <c r="G483" s="10" t="n"/>
      <c r="H483" s="10" t="n"/>
      <c r="I483" s="10" t="n"/>
      <c r="J483" s="12">
        <f>IF(OR(A483="",COUNT(C483:E483)&lt;3),"",IFERROR(MAX(0,FLOOR(($N$2-$N$3)/E483,1))*MAX(1,MIN(IF(G483="",1,G483),FLOOR($N$4/D483,1)))*IF(F483="",1,F483),""))</f>
        <v/>
      </c>
      <c r="K483" s="12">
        <f>IF(A483="","",IF(COUNTIF(DATA!$D$2:$D$500,A483)=0,"CEK SKU tidak ada di DATA",IF(COUNT(C483:E483)&lt;3,"CEK dimensi belum lengkap",IF(OR(C483&lt;=0,D483&lt;=0,E483&lt;=0),"CEK dimensi harus lebih dari 0",IF(COUNTIF($A$2:$A$500,A483)&gt;1,"CEK SKU dobel","OK")))))</f>
        <v/>
      </c>
    </row>
    <row r="484">
      <c r="A484" s="10" t="n"/>
      <c r="B484" s="12">
        <f>IF(A484="","",IFERROR(INDEX(DATA!$E$2:$E$500,MATCH(A484,DATA!$D$2:$D$500,0)),""))</f>
        <v/>
      </c>
      <c r="C484" s="10" t="n"/>
      <c r="D484" s="10" t="n"/>
      <c r="E484" s="10" t="n"/>
      <c r="F484" s="10" t="n"/>
      <c r="G484" s="10" t="n"/>
      <c r="H484" s="10" t="n"/>
      <c r="I484" s="10" t="n"/>
      <c r="J484" s="12">
        <f>IF(OR(A484="",COUNT(C484:E484)&lt;3),"",IFERROR(MAX(0,FLOOR(($N$2-$N$3)/E484,1))*MAX(1,MIN(IF(G484="",1,G484),FLOOR($N$4/D484,1)))*IF(F484="",1,F484),""))</f>
        <v/>
      </c>
      <c r="K484" s="12">
        <f>IF(A484="","",IF(COUNTIF(DATA!$D$2:$D$500,A484)=0,"CEK SKU tidak ada di DATA",IF(COUNT(C484:E484)&lt;3,"CEK dimensi belum lengkap",IF(OR(C484&lt;=0,D484&lt;=0,E484&lt;=0),"CEK dimensi harus lebih dari 0",IF(COUNTIF($A$2:$A$500,A484)&gt;1,"CEK SKU dobel","OK")))))</f>
        <v/>
      </c>
    </row>
    <row r="485">
      <c r="A485" s="10" t="n"/>
      <c r="B485" s="12">
        <f>IF(A485="","",IFERROR(INDEX(DATA!$E$2:$E$500,MATCH(A485,DATA!$D$2:$D$500,0)),""))</f>
        <v/>
      </c>
      <c r="C485" s="10" t="n"/>
      <c r="D485" s="10" t="n"/>
      <c r="E485" s="10" t="n"/>
      <c r="F485" s="10" t="n"/>
      <c r="G485" s="10" t="n"/>
      <c r="H485" s="10" t="n"/>
      <c r="I485" s="10" t="n"/>
      <c r="J485" s="12">
        <f>IF(OR(A485="",COUNT(C485:E485)&lt;3),"",IFERROR(MAX(0,FLOOR(($N$2-$N$3)/E485,1))*MAX(1,MIN(IF(G485="",1,G485),FLOOR($N$4/D485,1)))*IF(F485="",1,F485),""))</f>
        <v/>
      </c>
      <c r="K485" s="12">
        <f>IF(A485="","",IF(COUNTIF(DATA!$D$2:$D$500,A485)=0,"CEK SKU tidak ada di DATA",IF(COUNT(C485:E485)&lt;3,"CEK dimensi belum lengkap",IF(OR(C485&lt;=0,D485&lt;=0,E485&lt;=0),"CEK dimensi harus lebih dari 0",IF(COUNTIF($A$2:$A$500,A485)&gt;1,"CEK SKU dobel","OK")))))</f>
        <v/>
      </c>
    </row>
    <row r="486">
      <c r="A486" s="10" t="n"/>
      <c r="B486" s="12">
        <f>IF(A486="","",IFERROR(INDEX(DATA!$E$2:$E$500,MATCH(A486,DATA!$D$2:$D$500,0)),""))</f>
        <v/>
      </c>
      <c r="C486" s="10" t="n"/>
      <c r="D486" s="10" t="n"/>
      <c r="E486" s="10" t="n"/>
      <c r="F486" s="10" t="n"/>
      <c r="G486" s="10" t="n"/>
      <c r="H486" s="10" t="n"/>
      <c r="I486" s="10" t="n"/>
      <c r="J486" s="12">
        <f>IF(OR(A486="",COUNT(C486:E486)&lt;3),"",IFERROR(MAX(0,FLOOR(($N$2-$N$3)/E486,1))*MAX(1,MIN(IF(G486="",1,G486),FLOOR($N$4/D486,1)))*IF(F486="",1,F486),""))</f>
        <v/>
      </c>
      <c r="K486" s="12">
        <f>IF(A486="","",IF(COUNTIF(DATA!$D$2:$D$500,A486)=0,"CEK SKU tidak ada di DATA",IF(COUNT(C486:E486)&lt;3,"CEK dimensi belum lengkap",IF(OR(C486&lt;=0,D486&lt;=0,E486&lt;=0),"CEK dimensi harus lebih dari 0",IF(COUNTIF($A$2:$A$500,A486)&gt;1,"CEK SKU dobel","OK")))))</f>
        <v/>
      </c>
    </row>
    <row r="487">
      <c r="A487" s="10" t="n"/>
      <c r="B487" s="12">
        <f>IF(A487="","",IFERROR(INDEX(DATA!$E$2:$E$500,MATCH(A487,DATA!$D$2:$D$500,0)),""))</f>
        <v/>
      </c>
      <c r="C487" s="10" t="n"/>
      <c r="D487" s="10" t="n"/>
      <c r="E487" s="10" t="n"/>
      <c r="F487" s="10" t="n"/>
      <c r="G487" s="10" t="n"/>
      <c r="H487" s="10" t="n"/>
      <c r="I487" s="10" t="n"/>
      <c r="J487" s="12">
        <f>IF(OR(A487="",COUNT(C487:E487)&lt;3),"",IFERROR(MAX(0,FLOOR(($N$2-$N$3)/E487,1))*MAX(1,MIN(IF(G487="",1,G487),FLOOR($N$4/D487,1)))*IF(F487="",1,F487),""))</f>
        <v/>
      </c>
      <c r="K487" s="12">
        <f>IF(A487="","",IF(COUNTIF(DATA!$D$2:$D$500,A487)=0,"CEK SKU tidak ada di DATA",IF(COUNT(C487:E487)&lt;3,"CEK dimensi belum lengkap",IF(OR(C487&lt;=0,D487&lt;=0,E487&lt;=0),"CEK dimensi harus lebih dari 0",IF(COUNTIF($A$2:$A$500,A487)&gt;1,"CEK SKU dobel","OK")))))</f>
        <v/>
      </c>
    </row>
    <row r="488">
      <c r="A488" s="10" t="n"/>
      <c r="B488" s="12">
        <f>IF(A488="","",IFERROR(INDEX(DATA!$E$2:$E$500,MATCH(A488,DATA!$D$2:$D$500,0)),""))</f>
        <v/>
      </c>
      <c r="C488" s="10" t="n"/>
      <c r="D488" s="10" t="n"/>
      <c r="E488" s="10" t="n"/>
      <c r="F488" s="10" t="n"/>
      <c r="G488" s="10" t="n"/>
      <c r="H488" s="10" t="n"/>
      <c r="I488" s="10" t="n"/>
      <c r="J488" s="12">
        <f>IF(OR(A488="",COUNT(C488:E488)&lt;3),"",IFERROR(MAX(0,FLOOR(($N$2-$N$3)/E488,1))*MAX(1,MIN(IF(G488="",1,G488),FLOOR($N$4/D488,1)))*IF(F488="",1,F488),""))</f>
        <v/>
      </c>
      <c r="K488" s="12">
        <f>IF(A488="","",IF(COUNTIF(DATA!$D$2:$D$500,A488)=0,"CEK SKU tidak ada di DATA",IF(COUNT(C488:E488)&lt;3,"CEK dimensi belum lengkap",IF(OR(C488&lt;=0,D488&lt;=0,E488&lt;=0),"CEK dimensi harus lebih dari 0",IF(COUNTIF($A$2:$A$500,A488)&gt;1,"CEK SKU dobel","OK")))))</f>
        <v/>
      </c>
    </row>
    <row r="489">
      <c r="A489" s="10" t="n"/>
      <c r="B489" s="12">
        <f>IF(A489="","",IFERROR(INDEX(DATA!$E$2:$E$500,MATCH(A489,DATA!$D$2:$D$500,0)),""))</f>
        <v/>
      </c>
      <c r="C489" s="10" t="n"/>
      <c r="D489" s="10" t="n"/>
      <c r="E489" s="10" t="n"/>
      <c r="F489" s="10" t="n"/>
      <c r="G489" s="10" t="n"/>
      <c r="H489" s="10" t="n"/>
      <c r="I489" s="10" t="n"/>
      <c r="J489" s="12">
        <f>IF(OR(A489="",COUNT(C489:E489)&lt;3),"",IFERROR(MAX(0,FLOOR(($N$2-$N$3)/E489,1))*MAX(1,MIN(IF(G489="",1,G489),FLOOR($N$4/D489,1)))*IF(F489="",1,F489),""))</f>
        <v/>
      </c>
      <c r="K489" s="12">
        <f>IF(A489="","",IF(COUNTIF(DATA!$D$2:$D$500,A489)=0,"CEK SKU tidak ada di DATA",IF(COUNT(C489:E489)&lt;3,"CEK dimensi belum lengkap",IF(OR(C489&lt;=0,D489&lt;=0,E489&lt;=0),"CEK dimensi harus lebih dari 0",IF(COUNTIF($A$2:$A$500,A489)&gt;1,"CEK SKU dobel","OK")))))</f>
        <v/>
      </c>
    </row>
    <row r="490">
      <c r="A490" s="10" t="n"/>
      <c r="B490" s="12">
        <f>IF(A490="","",IFERROR(INDEX(DATA!$E$2:$E$500,MATCH(A490,DATA!$D$2:$D$500,0)),""))</f>
        <v/>
      </c>
      <c r="C490" s="10" t="n"/>
      <c r="D490" s="10" t="n"/>
      <c r="E490" s="10" t="n"/>
      <c r="F490" s="10" t="n"/>
      <c r="G490" s="10" t="n"/>
      <c r="H490" s="10" t="n"/>
      <c r="I490" s="10" t="n"/>
      <c r="J490" s="12">
        <f>IF(OR(A490="",COUNT(C490:E490)&lt;3),"",IFERROR(MAX(0,FLOOR(($N$2-$N$3)/E490,1))*MAX(1,MIN(IF(G490="",1,G490),FLOOR($N$4/D490,1)))*IF(F490="",1,F490),""))</f>
        <v/>
      </c>
      <c r="K490" s="12">
        <f>IF(A490="","",IF(COUNTIF(DATA!$D$2:$D$500,A490)=0,"CEK SKU tidak ada di DATA",IF(COUNT(C490:E490)&lt;3,"CEK dimensi belum lengkap",IF(OR(C490&lt;=0,D490&lt;=0,E490&lt;=0),"CEK dimensi harus lebih dari 0",IF(COUNTIF($A$2:$A$500,A490)&gt;1,"CEK SKU dobel","OK")))))</f>
        <v/>
      </c>
    </row>
    <row r="491">
      <c r="A491" s="10" t="n"/>
      <c r="B491" s="12">
        <f>IF(A491="","",IFERROR(INDEX(DATA!$E$2:$E$500,MATCH(A491,DATA!$D$2:$D$500,0)),""))</f>
        <v/>
      </c>
      <c r="C491" s="10" t="n"/>
      <c r="D491" s="10" t="n"/>
      <c r="E491" s="10" t="n"/>
      <c r="F491" s="10" t="n"/>
      <c r="G491" s="10" t="n"/>
      <c r="H491" s="10" t="n"/>
      <c r="I491" s="10" t="n"/>
      <c r="J491" s="12">
        <f>IF(OR(A491="",COUNT(C491:E491)&lt;3),"",IFERROR(MAX(0,FLOOR(($N$2-$N$3)/E491,1))*MAX(1,MIN(IF(G491="",1,G491),FLOOR($N$4/D491,1)))*IF(F491="",1,F491),""))</f>
        <v/>
      </c>
      <c r="K491" s="12">
        <f>IF(A491="","",IF(COUNTIF(DATA!$D$2:$D$500,A491)=0,"CEK SKU tidak ada di DATA",IF(COUNT(C491:E491)&lt;3,"CEK dimensi belum lengkap",IF(OR(C491&lt;=0,D491&lt;=0,E491&lt;=0),"CEK dimensi harus lebih dari 0",IF(COUNTIF($A$2:$A$500,A491)&gt;1,"CEK SKU dobel","OK")))))</f>
        <v/>
      </c>
    </row>
    <row r="492">
      <c r="A492" s="10" t="n"/>
      <c r="B492" s="12">
        <f>IF(A492="","",IFERROR(INDEX(DATA!$E$2:$E$500,MATCH(A492,DATA!$D$2:$D$500,0)),""))</f>
        <v/>
      </c>
      <c r="C492" s="10" t="n"/>
      <c r="D492" s="10" t="n"/>
      <c r="E492" s="10" t="n"/>
      <c r="F492" s="10" t="n"/>
      <c r="G492" s="10" t="n"/>
      <c r="H492" s="10" t="n"/>
      <c r="I492" s="10" t="n"/>
      <c r="J492" s="12">
        <f>IF(OR(A492="",COUNT(C492:E492)&lt;3),"",IFERROR(MAX(0,FLOOR(($N$2-$N$3)/E492,1))*MAX(1,MIN(IF(G492="",1,G492),FLOOR($N$4/D492,1)))*IF(F492="",1,F492),""))</f>
        <v/>
      </c>
      <c r="K492" s="12">
        <f>IF(A492="","",IF(COUNTIF(DATA!$D$2:$D$500,A492)=0,"CEK SKU tidak ada di DATA",IF(COUNT(C492:E492)&lt;3,"CEK dimensi belum lengkap",IF(OR(C492&lt;=0,D492&lt;=0,E492&lt;=0),"CEK dimensi harus lebih dari 0",IF(COUNTIF($A$2:$A$500,A492)&gt;1,"CEK SKU dobel","OK")))))</f>
        <v/>
      </c>
    </row>
    <row r="493">
      <c r="A493" s="10" t="n"/>
      <c r="B493" s="12">
        <f>IF(A493="","",IFERROR(INDEX(DATA!$E$2:$E$500,MATCH(A493,DATA!$D$2:$D$500,0)),""))</f>
        <v/>
      </c>
      <c r="C493" s="10" t="n"/>
      <c r="D493" s="10" t="n"/>
      <c r="E493" s="10" t="n"/>
      <c r="F493" s="10" t="n"/>
      <c r="G493" s="10" t="n"/>
      <c r="H493" s="10" t="n"/>
      <c r="I493" s="10" t="n"/>
      <c r="J493" s="12">
        <f>IF(OR(A493="",COUNT(C493:E493)&lt;3),"",IFERROR(MAX(0,FLOOR(($N$2-$N$3)/E493,1))*MAX(1,MIN(IF(G493="",1,G493),FLOOR($N$4/D493,1)))*IF(F493="",1,F493),""))</f>
        <v/>
      </c>
      <c r="K493" s="12">
        <f>IF(A493="","",IF(COUNTIF(DATA!$D$2:$D$500,A493)=0,"CEK SKU tidak ada di DATA",IF(COUNT(C493:E493)&lt;3,"CEK dimensi belum lengkap",IF(OR(C493&lt;=0,D493&lt;=0,E493&lt;=0),"CEK dimensi harus lebih dari 0",IF(COUNTIF($A$2:$A$500,A493)&gt;1,"CEK SKU dobel","OK")))))</f>
        <v/>
      </c>
    </row>
    <row r="494">
      <c r="A494" s="10" t="n"/>
      <c r="B494" s="12">
        <f>IF(A494="","",IFERROR(INDEX(DATA!$E$2:$E$500,MATCH(A494,DATA!$D$2:$D$500,0)),""))</f>
        <v/>
      </c>
      <c r="C494" s="10" t="n"/>
      <c r="D494" s="10" t="n"/>
      <c r="E494" s="10" t="n"/>
      <c r="F494" s="10" t="n"/>
      <c r="G494" s="10" t="n"/>
      <c r="H494" s="10" t="n"/>
      <c r="I494" s="10" t="n"/>
      <c r="J494" s="12">
        <f>IF(OR(A494="",COUNT(C494:E494)&lt;3),"",IFERROR(MAX(0,FLOOR(($N$2-$N$3)/E494,1))*MAX(1,MIN(IF(G494="",1,G494),FLOOR($N$4/D494,1)))*IF(F494="",1,F494),""))</f>
        <v/>
      </c>
      <c r="K494" s="12">
        <f>IF(A494="","",IF(COUNTIF(DATA!$D$2:$D$500,A494)=0,"CEK SKU tidak ada di DATA",IF(COUNT(C494:E494)&lt;3,"CEK dimensi belum lengkap",IF(OR(C494&lt;=0,D494&lt;=0,E494&lt;=0),"CEK dimensi harus lebih dari 0",IF(COUNTIF($A$2:$A$500,A494)&gt;1,"CEK SKU dobel","OK")))))</f>
        <v/>
      </c>
    </row>
    <row r="495">
      <c r="A495" s="10" t="n"/>
      <c r="B495" s="12">
        <f>IF(A495="","",IFERROR(INDEX(DATA!$E$2:$E$500,MATCH(A495,DATA!$D$2:$D$500,0)),""))</f>
        <v/>
      </c>
      <c r="C495" s="10" t="n"/>
      <c r="D495" s="10" t="n"/>
      <c r="E495" s="10" t="n"/>
      <c r="F495" s="10" t="n"/>
      <c r="G495" s="10" t="n"/>
      <c r="H495" s="10" t="n"/>
      <c r="I495" s="10" t="n"/>
      <c r="J495" s="12">
        <f>IF(OR(A495="",COUNT(C495:E495)&lt;3),"",IFERROR(MAX(0,FLOOR(($N$2-$N$3)/E495,1))*MAX(1,MIN(IF(G495="",1,G495),FLOOR($N$4/D495,1)))*IF(F495="",1,F495),""))</f>
        <v/>
      </c>
      <c r="K495" s="12">
        <f>IF(A495="","",IF(COUNTIF(DATA!$D$2:$D$500,A495)=0,"CEK SKU tidak ada di DATA",IF(COUNT(C495:E495)&lt;3,"CEK dimensi belum lengkap",IF(OR(C495&lt;=0,D495&lt;=0,E495&lt;=0),"CEK dimensi harus lebih dari 0",IF(COUNTIF($A$2:$A$500,A495)&gt;1,"CEK SKU dobel","OK")))))</f>
        <v/>
      </c>
    </row>
    <row r="496">
      <c r="A496" s="10" t="n"/>
      <c r="B496" s="12">
        <f>IF(A496="","",IFERROR(INDEX(DATA!$E$2:$E$500,MATCH(A496,DATA!$D$2:$D$500,0)),""))</f>
        <v/>
      </c>
      <c r="C496" s="10" t="n"/>
      <c r="D496" s="10" t="n"/>
      <c r="E496" s="10" t="n"/>
      <c r="F496" s="10" t="n"/>
      <c r="G496" s="10" t="n"/>
      <c r="H496" s="10" t="n"/>
      <c r="I496" s="10" t="n"/>
      <c r="J496" s="12">
        <f>IF(OR(A496="",COUNT(C496:E496)&lt;3),"",IFERROR(MAX(0,FLOOR(($N$2-$N$3)/E496,1))*MAX(1,MIN(IF(G496="",1,G496),FLOOR($N$4/D496,1)))*IF(F496="",1,F496),""))</f>
        <v/>
      </c>
      <c r="K496" s="12">
        <f>IF(A496="","",IF(COUNTIF(DATA!$D$2:$D$500,A496)=0,"CEK SKU tidak ada di DATA",IF(COUNT(C496:E496)&lt;3,"CEK dimensi belum lengkap",IF(OR(C496&lt;=0,D496&lt;=0,E496&lt;=0),"CEK dimensi harus lebih dari 0",IF(COUNTIF($A$2:$A$500,A496)&gt;1,"CEK SKU dobel","OK")))))</f>
        <v/>
      </c>
    </row>
    <row r="497">
      <c r="A497" s="10" t="n"/>
      <c r="B497" s="12">
        <f>IF(A497="","",IFERROR(INDEX(DATA!$E$2:$E$500,MATCH(A497,DATA!$D$2:$D$500,0)),""))</f>
        <v/>
      </c>
      <c r="C497" s="10" t="n"/>
      <c r="D497" s="10" t="n"/>
      <c r="E497" s="10" t="n"/>
      <c r="F497" s="10" t="n"/>
      <c r="G497" s="10" t="n"/>
      <c r="H497" s="10" t="n"/>
      <c r="I497" s="10" t="n"/>
      <c r="J497" s="12">
        <f>IF(OR(A497="",COUNT(C497:E497)&lt;3),"",IFERROR(MAX(0,FLOOR(($N$2-$N$3)/E497,1))*MAX(1,MIN(IF(G497="",1,G497),FLOOR($N$4/D497,1)))*IF(F497="",1,F497),""))</f>
        <v/>
      </c>
      <c r="K497" s="12">
        <f>IF(A497="","",IF(COUNTIF(DATA!$D$2:$D$500,A497)=0,"CEK SKU tidak ada di DATA",IF(COUNT(C497:E497)&lt;3,"CEK dimensi belum lengkap",IF(OR(C497&lt;=0,D497&lt;=0,E497&lt;=0),"CEK dimensi harus lebih dari 0",IF(COUNTIF($A$2:$A$500,A497)&gt;1,"CEK SKU dobel","OK")))))</f>
        <v/>
      </c>
    </row>
    <row r="498">
      <c r="A498" s="10" t="n"/>
      <c r="B498" s="12">
        <f>IF(A498="","",IFERROR(INDEX(DATA!$E$2:$E$500,MATCH(A498,DATA!$D$2:$D$500,0)),""))</f>
        <v/>
      </c>
      <c r="C498" s="10" t="n"/>
      <c r="D498" s="10" t="n"/>
      <c r="E498" s="10" t="n"/>
      <c r="F498" s="10" t="n"/>
      <c r="G498" s="10" t="n"/>
      <c r="H498" s="10" t="n"/>
      <c r="I498" s="10" t="n"/>
      <c r="J498" s="12">
        <f>IF(OR(A498="",COUNT(C498:E498)&lt;3),"",IFERROR(MAX(0,FLOOR(($N$2-$N$3)/E498,1))*MAX(1,MIN(IF(G498="",1,G498),FLOOR($N$4/D498,1)))*IF(F498="",1,F498),""))</f>
        <v/>
      </c>
      <c r="K498" s="12">
        <f>IF(A498="","",IF(COUNTIF(DATA!$D$2:$D$500,A498)=0,"CEK SKU tidak ada di DATA",IF(COUNT(C498:E498)&lt;3,"CEK dimensi belum lengkap",IF(OR(C498&lt;=0,D498&lt;=0,E498&lt;=0),"CEK dimensi harus lebih dari 0",IF(COUNTIF($A$2:$A$500,A498)&gt;1,"CEK SKU dobel","OK")))))</f>
        <v/>
      </c>
    </row>
    <row r="499">
      <c r="A499" s="10" t="n"/>
      <c r="B499" s="12">
        <f>IF(A499="","",IFERROR(INDEX(DATA!$E$2:$E$500,MATCH(A499,DATA!$D$2:$D$500,0)),""))</f>
        <v/>
      </c>
      <c r="C499" s="10" t="n"/>
      <c r="D499" s="10" t="n"/>
      <c r="E499" s="10" t="n"/>
      <c r="F499" s="10" t="n"/>
      <c r="G499" s="10" t="n"/>
      <c r="H499" s="10" t="n"/>
      <c r="I499" s="10" t="n"/>
      <c r="J499" s="12">
        <f>IF(OR(A499="",COUNT(C499:E499)&lt;3),"",IFERROR(MAX(0,FLOOR(($N$2-$N$3)/E499,1))*MAX(1,MIN(IF(G499="",1,G499),FLOOR($N$4/D499,1)))*IF(F499="",1,F499),""))</f>
        <v/>
      </c>
      <c r="K499" s="12">
        <f>IF(A499="","",IF(COUNTIF(DATA!$D$2:$D$500,A499)=0,"CEK SKU tidak ada di DATA",IF(COUNT(C499:E499)&lt;3,"CEK dimensi belum lengkap",IF(OR(C499&lt;=0,D499&lt;=0,E499&lt;=0),"CEK dimensi harus lebih dari 0",IF(COUNTIF($A$2:$A$500,A499)&gt;1,"CEK SKU dobel","OK")))))</f>
        <v/>
      </c>
    </row>
    <row r="500">
      <c r="A500" s="10" t="n"/>
      <c r="B500" s="12">
        <f>IF(A500="","",IFERROR(INDEX(DATA!$E$2:$E$500,MATCH(A500,DATA!$D$2:$D$500,0)),""))</f>
        <v/>
      </c>
      <c r="C500" s="10" t="n"/>
      <c r="D500" s="10" t="n"/>
      <c r="E500" s="10" t="n"/>
      <c r="F500" s="10" t="n"/>
      <c r="G500" s="10" t="n"/>
      <c r="H500" s="10" t="n"/>
      <c r="I500" s="10" t="n"/>
      <c r="J500" s="12">
        <f>IF(OR(A500="",COUNT(C500:E500)&lt;3),"",IFERROR(MAX(0,FLOOR(($N$2-$N$3)/E500,1))*MAX(1,MIN(IF(G500="",1,G500),FLOOR($N$4/D500,1)))*IF(F500="",1,F500),""))</f>
        <v/>
      </c>
      <c r="K500" s="12">
        <f>IF(A500="","",IF(COUNTIF(DATA!$D$2:$D$500,A500)=0,"CEK SKU tidak ada di DATA",IF(COUNT(C500:E500)&lt;3,"CEK dimensi belum lengkap",IF(OR(C500&lt;=0,D500&lt;=0,E500&lt;=0),"CEK dimensi harus lebih dari 0",IF(COUNTIF($A$2:$A$500,A500)&gt;1,"CEK SKU dobel","OK")))))</f>
        <v/>
      </c>
    </row>
  </sheetData>
  <autoFilter ref="A1:K500"/>
  <mergeCells count="1">
    <mergeCell ref="M7:N10"/>
  </mergeCells>
  <conditionalFormatting sqref="K2:K500">
    <cfRule type="expression" priority="1" dxfId="3">
      <formula>LEFT($K2,3)="CEK"</formula>
    </cfRule>
    <cfRule type="expression" priority="2" dxfId="4">
      <formula>$K2="OK"</formula>
    </cfRule>
  </conditionalFormatting>
  <dataValidations count="3">
    <dataValidation sqref="C2:E500" showDropDown="0" showInputMessage="0" showErrorMessage="1" allowBlank="1" errorTitle="Dimensi" error="Isi angka lebih dari 0 (cm)." type="decimal" operator="greaterThan">
      <formula1>0</formula1>
    </dataValidation>
    <dataValidation sqref="F2:G500" showDropDown="0" showInputMessage="0" showErrorMessage="1" allowBlank="1" errorTitle="Angka bulat" error="Isi angka bulat mulai 1." type="whole" operator="greaterThanOrEqual">
      <formula1>1</formula1>
    </dataValidation>
    <dataValidation sqref="H2:H5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24" customWidth="1" min="5" max="5"/>
    <col width="32" customWidth="1" min="6" max="6"/>
    <col width="32" customWidth="1" min="7" max="7"/>
    <col width="18" customWidth="1" min="8" max="8"/>
    <col width="40" customWidth="1" min="9" max="9"/>
  </cols>
  <sheetData>
    <row r="1" ht="40" customHeight="1">
      <c r="A1" s="7" t="inlineStr">
        <is>
          <t>SAMBUNGAN *</t>
        </is>
      </c>
      <c r="B1" s="7" t="inlineStr">
        <is>
          <t>KATEGORI *</t>
        </is>
      </c>
      <c r="C1" s="7" t="inlineStr">
        <is>
          <t>URUTAN *</t>
        </is>
      </c>
      <c r="D1" s="8" t="inlineStr">
        <is>
          <t>ID FIXTURE *</t>
        </is>
      </c>
      <c r="E1" s="7" t="inlineStr">
        <is>
          <t>SERIES (opsional)</t>
        </is>
      </c>
      <c r="F1" s="7" t="inlineStr">
        <is>
          <t>CATATAN (opsional)</t>
        </is>
      </c>
      <c r="G1" s="9" t="inlineStr">
        <is>
          <t>JENIS FIXTURE (otomatis)</t>
        </is>
      </c>
      <c r="H1" s="9" t="inlineStr">
        <is>
          <t>KATEGORI FIXTURE (otomatis)</t>
        </is>
      </c>
      <c r="I1" s="9" t="inlineStr">
        <is>
          <t>STATUS (otomatis)</t>
        </is>
      </c>
    </row>
    <row r="2">
      <c r="A2" s="10" t="inlineStr">
        <is>
          <t>WALL-RUN-1</t>
        </is>
      </c>
      <c r="B2" s="10" t="inlineStr">
        <is>
          <t>Wall</t>
        </is>
      </c>
      <c r="C2" s="10" t="n">
        <v>1</v>
      </c>
      <c r="D2" s="11" t="inlineStr">
        <is>
          <t>WLL-03</t>
        </is>
      </c>
      <c r="E2" s="10" t="inlineStr"/>
      <c r="F2" s="10" t="inlineStr">
        <is>
          <t>kosong = tampilkan semua isi fixture</t>
        </is>
      </c>
      <c r="G2" s="12">
        <f>IF(D2="","",IFERROR(INDEX(DAFTAR_FIXTURE!$B$2:$B$51,MATCH(D2,DAFTAR_FIXTURE!$A$2:$A$51,0)),""))</f>
        <v/>
      </c>
      <c r="H2" s="12">
        <f>IF(G2="","",IF(LEFT(G2,4)="Wall","Wall",IF(LEFT(G2,7)="Gondola","Gondola",IF(LEFT(G2,6)="Pallet","Pallet",IF(LEFT(G2,6)="Endcap","Endcap","")))))</f>
        <v/>
      </c>
      <c r="I2" s="12">
        <f>IF(A2="","",IF(D2="","CEK ID FIXTURE kosong",IF(G2="","CEK ID FIXTURE tidak ada di DAFTAR_FIXTURE",IF(H2="Endcap","CEK Endcap tidak ikut sambung",IF(H2&lt;&gt;B2,"CEK kategori fixture tidak sama dengan KATEGORI",IF(C2="","CEK URUTAN kosong",IF(AND(E2&lt;&gt;"",COUNTIFS(DATA!$I$2:$I$500,E2)=0),"CEK Series tidak ada di DATA","OK")))))))</f>
        <v/>
      </c>
    </row>
    <row r="3">
      <c r="A3" s="10" t="inlineStr">
        <is>
          <t>WALL-RUN-1</t>
        </is>
      </c>
      <c r="B3" s="10" t="inlineStr">
        <is>
          <t>Wall</t>
        </is>
      </c>
      <c r="C3" s="10" t="n">
        <v>2</v>
      </c>
      <c r="D3" s="11" t="inlineStr">
        <is>
          <t>WLL-02</t>
        </is>
      </c>
      <c r="E3" s="10" t="inlineStr"/>
      <c r="F3" s="10" t="inlineStr"/>
      <c r="G3" s="12">
        <f>IF(D3="","",IFERROR(INDEX(DAFTAR_FIXTURE!$B$2:$B$51,MATCH(D3,DAFTAR_FIXTURE!$A$2:$A$51,0)),""))</f>
        <v/>
      </c>
      <c r="H3" s="12">
        <f>IF(G3="","",IF(LEFT(G3,4)="Wall","Wall",IF(LEFT(G3,7)="Gondola","Gondola",IF(LEFT(G3,6)="Pallet","Pallet",IF(LEFT(G3,6)="Endcap","Endcap","")))))</f>
        <v/>
      </c>
      <c r="I3" s="12">
        <f>IF(A3="","",IF(D3="","CEK ID FIXTURE kosong",IF(G3="","CEK ID FIXTURE tidak ada di DAFTAR_FIXTURE",IF(H3="Endcap","CEK Endcap tidak ikut sambung",IF(H3&lt;&gt;B3,"CEK kategori fixture tidak sama dengan KATEGORI",IF(C3="","CEK URUTAN kosong",IF(AND(E3&lt;&gt;"",COUNTIFS(DATA!$I$2:$I$500,E3)=0),"CEK Series tidak ada di DATA","OK")))))))</f>
        <v/>
      </c>
    </row>
    <row r="4">
      <c r="A4" s="10" t="inlineStr">
        <is>
          <t>WALL-RUN-1</t>
        </is>
      </c>
      <c r="B4" s="10" t="inlineStr">
        <is>
          <t>Wall</t>
        </is>
      </c>
      <c r="C4" s="10" t="n">
        <v>3</v>
      </c>
      <c r="D4" s="11" t="inlineStr">
        <is>
          <t>WLL-01</t>
        </is>
      </c>
      <c r="E4" s="10" t="inlineStr"/>
      <c r="F4" s="10" t="inlineStr"/>
      <c r="G4" s="12">
        <f>IF(D4="","",IFERROR(INDEX(DAFTAR_FIXTURE!$B$2:$B$51,MATCH(D4,DAFTAR_FIXTURE!$A$2:$A$51,0)),""))</f>
        <v/>
      </c>
      <c r="H4" s="12">
        <f>IF(G4="","",IF(LEFT(G4,4)="Wall","Wall",IF(LEFT(G4,7)="Gondola","Gondola",IF(LEFT(G4,6)="Pallet","Pallet",IF(LEFT(G4,6)="Endcap","Endcap","")))))</f>
        <v/>
      </c>
      <c r="I4" s="12">
        <f>IF(A4="","",IF(D4="","CEK ID FIXTURE kosong",IF(G4="","CEK ID FIXTURE tidak ada di DAFTAR_FIXTURE",IF(H4="Endcap","CEK Endcap tidak ikut sambung",IF(H4&lt;&gt;B4,"CEK kategori fixture tidak sama dengan KATEGORI",IF(C4="","CEK URUTAN kosong",IF(AND(E4&lt;&gt;"",COUNTIFS(DATA!$I$2:$I$500,E4)=0),"CEK Series tidak ada di DATA","OK")))))))</f>
        <v/>
      </c>
    </row>
    <row r="5">
      <c r="A5" s="10" t="inlineStr">
        <is>
          <t>GONDOLA-RUN-1</t>
        </is>
      </c>
      <c r="B5" s="10" t="inlineStr">
        <is>
          <t>Gondola</t>
        </is>
      </c>
      <c r="C5" s="10" t="n">
        <v>1</v>
      </c>
      <c r="D5" s="11" t="inlineStr">
        <is>
          <t>GND-04</t>
        </is>
      </c>
      <c r="E5" s="10" t="inlineStr"/>
      <c r="F5" s="10" t="inlineStr"/>
      <c r="G5" s="12">
        <f>IF(D5="","",IFERROR(INDEX(DAFTAR_FIXTURE!$B$2:$B$51,MATCH(D5,DAFTAR_FIXTURE!$A$2:$A$51,0)),""))</f>
        <v/>
      </c>
      <c r="H5" s="12">
        <f>IF(G5="","",IF(LEFT(G5,4)="Wall","Wall",IF(LEFT(G5,7)="Gondola","Gondola",IF(LEFT(G5,6)="Pallet","Pallet",IF(LEFT(G5,6)="Endcap","Endcap","")))))</f>
        <v/>
      </c>
      <c r="I5" s="12">
        <f>IF(A5="","",IF(D5="","CEK ID FIXTURE kosong",IF(G5="","CEK ID FIXTURE tidak ada di DAFTAR_FIXTURE",IF(H5="Endcap","CEK Endcap tidak ikut sambung",IF(H5&lt;&gt;B5,"CEK kategori fixture tidak sama dengan KATEGORI",IF(C5="","CEK URUTAN kosong",IF(AND(E5&lt;&gt;"",COUNTIFS(DATA!$I$2:$I$500,E5)=0),"CEK Series tidak ada di DATA","OK")))))))</f>
        <v/>
      </c>
    </row>
    <row r="6">
      <c r="A6" s="10" t="inlineStr">
        <is>
          <t>GONDOLA-RUN-1</t>
        </is>
      </c>
      <c r="B6" s="10" t="inlineStr">
        <is>
          <t>Gondola</t>
        </is>
      </c>
      <c r="C6" s="10" t="n">
        <v>2</v>
      </c>
      <c r="D6" s="11" t="inlineStr">
        <is>
          <t>GND-05</t>
        </is>
      </c>
      <c r="E6" s="10" t="inlineStr"/>
      <c r="F6" s="10" t="inlineStr"/>
      <c r="G6" s="12">
        <f>IF(D6="","",IFERROR(INDEX(DAFTAR_FIXTURE!$B$2:$B$51,MATCH(D6,DAFTAR_FIXTURE!$A$2:$A$51,0)),""))</f>
        <v/>
      </c>
      <c r="H6" s="12">
        <f>IF(G6="","",IF(LEFT(G6,4)="Wall","Wall",IF(LEFT(G6,7)="Gondola","Gondola",IF(LEFT(G6,6)="Pallet","Pallet",IF(LEFT(G6,6)="Endcap","Endcap","")))))</f>
        <v/>
      </c>
      <c r="I6" s="12">
        <f>IF(A6="","",IF(D6="","CEK ID FIXTURE kosong",IF(G6="","CEK ID FIXTURE tidak ada di DAFTAR_FIXTURE",IF(H6="Endcap","CEK Endcap tidak ikut sambung",IF(H6&lt;&gt;B6,"CEK kategori fixture tidak sama dengan KATEGORI",IF(C6="","CEK URUTAN kosong",IF(AND(E6&lt;&gt;"",COUNTIFS(DATA!$I$2:$I$500,E6)=0),"CEK Series tidak ada di DATA","OK")))))))</f>
        <v/>
      </c>
    </row>
    <row r="7">
      <c r="A7" s="10" t="inlineStr">
        <is>
          <t>GONDOLA-RUN-1</t>
        </is>
      </c>
      <c r="B7" s="10" t="inlineStr">
        <is>
          <t>Gondola</t>
        </is>
      </c>
      <c r="C7" s="10" t="n">
        <v>3</v>
      </c>
      <c r="D7" s="11" t="inlineStr">
        <is>
          <t>GND-06</t>
        </is>
      </c>
      <c r="E7" s="10" t="inlineStr"/>
      <c r="F7" s="10" t="inlineStr"/>
      <c r="G7" s="12">
        <f>IF(D7="","",IFERROR(INDEX(DAFTAR_FIXTURE!$B$2:$B$51,MATCH(D7,DAFTAR_FIXTURE!$A$2:$A$51,0)),""))</f>
        <v/>
      </c>
      <c r="H7" s="12">
        <f>IF(G7="","",IF(LEFT(G7,4)="Wall","Wall",IF(LEFT(G7,7)="Gondola","Gondola",IF(LEFT(G7,6)="Pallet","Pallet",IF(LEFT(G7,6)="Endcap","Endcap","")))))</f>
        <v/>
      </c>
      <c r="I7" s="12">
        <f>IF(A7="","",IF(D7="","CEK ID FIXTURE kosong",IF(G7="","CEK ID FIXTURE tidak ada di DAFTAR_FIXTURE",IF(H7="Endcap","CEK Endcap tidak ikut sambung",IF(H7&lt;&gt;B7,"CEK kategori fixture tidak sama dengan KATEGORI",IF(C7="","CEK URUTAN kosong",IF(AND(E7&lt;&gt;"",COUNTIFS(DATA!$I$2:$I$500,E7)=0),"CEK Series tidak ada di DATA","OK")))))))</f>
        <v/>
      </c>
    </row>
    <row r="8">
      <c r="A8" s="10" t="inlineStr">
        <is>
          <t>GONDOLA-RUN-2</t>
        </is>
      </c>
      <c r="B8" s="10" t="inlineStr">
        <is>
          <t>Gondola</t>
        </is>
      </c>
      <c r="C8" s="10" t="n">
        <v>1</v>
      </c>
      <c r="D8" s="11" t="inlineStr">
        <is>
          <t>GND-02</t>
        </is>
      </c>
      <c r="E8" s="10" t="inlineStr">
        <is>
          <t>TANTA NYLON</t>
        </is>
      </c>
      <c r="F8" s="10" t="inlineStr">
        <is>
          <t>isi SERIES = hanya series itu yang tampil</t>
        </is>
      </c>
      <c r="G8" s="12">
        <f>IF(D8="","",IFERROR(INDEX(DAFTAR_FIXTURE!$B$2:$B$51,MATCH(D8,DAFTAR_FIXTURE!$A$2:$A$51,0)),""))</f>
        <v/>
      </c>
      <c r="H8" s="12">
        <f>IF(G8="","",IF(LEFT(G8,4)="Wall","Wall",IF(LEFT(G8,7)="Gondola","Gondola",IF(LEFT(G8,6)="Pallet","Pallet",IF(LEFT(G8,6)="Endcap","Endcap","")))))</f>
        <v/>
      </c>
      <c r="I8" s="12">
        <f>IF(A8="","",IF(D8="","CEK ID FIXTURE kosong",IF(G8="","CEK ID FIXTURE tidak ada di DAFTAR_FIXTURE",IF(H8="Endcap","CEK Endcap tidak ikut sambung",IF(H8&lt;&gt;B8,"CEK kategori fixture tidak sama dengan KATEGORI",IF(C8="","CEK URUTAN kosong",IF(AND(E8&lt;&gt;"",COUNTIFS(DATA!$I$2:$I$500,E8)=0),"CEK Series tidak ada di DATA","OK")))))))</f>
        <v/>
      </c>
    </row>
    <row r="9">
      <c r="A9" s="10" t="inlineStr">
        <is>
          <t>GONDOLA-RUN-2</t>
        </is>
      </c>
      <c r="B9" s="10" t="inlineStr">
        <is>
          <t>Gondola</t>
        </is>
      </c>
      <c r="C9" s="10" t="n">
        <v>2</v>
      </c>
      <c r="D9" s="11" t="inlineStr">
        <is>
          <t>GND-03</t>
        </is>
      </c>
      <c r="E9" s="10" t="inlineStr">
        <is>
          <t>TANTA S/S</t>
        </is>
      </c>
      <c r="F9" s="10" t="inlineStr"/>
      <c r="G9" s="12">
        <f>IF(D9="","",IFERROR(INDEX(DAFTAR_FIXTURE!$B$2:$B$51,MATCH(D9,DAFTAR_FIXTURE!$A$2:$A$51,0)),""))</f>
        <v/>
      </c>
      <c r="H9" s="12">
        <f>IF(G9="","",IF(LEFT(G9,4)="Wall","Wall",IF(LEFT(G9,7)="Gondola","Gondola",IF(LEFT(G9,6)="Pallet","Pallet",IF(LEFT(G9,6)="Endcap","Endcap","")))))</f>
        <v/>
      </c>
      <c r="I9" s="12">
        <f>IF(A9="","",IF(D9="","CEK ID FIXTURE kosong",IF(G9="","CEK ID FIXTURE tidak ada di DAFTAR_FIXTURE",IF(H9="Endcap","CEK Endcap tidak ikut sambung",IF(H9&lt;&gt;B9,"CEK kategori fixture tidak sama dengan KATEGORI",IF(C9="","CEK URUTAN kosong",IF(AND(E9&lt;&gt;"",COUNTIFS(DATA!$I$2:$I$500,E9)=0),"CEK Series tidak ada di DATA","OK")))))))</f>
        <v/>
      </c>
    </row>
    <row r="10">
      <c r="A10" s="10" t="inlineStr">
        <is>
          <t>GONDOLA-RUN-2</t>
        </is>
      </c>
      <c r="B10" s="10" t="inlineStr">
        <is>
          <t>Gondola</t>
        </is>
      </c>
      <c r="C10" s="10" t="n">
        <v>3</v>
      </c>
      <c r="D10" s="11" t="inlineStr">
        <is>
          <t>GND-01</t>
        </is>
      </c>
      <c r="E10" s="10" t="inlineStr">
        <is>
          <t>GOLD MARBLE</t>
        </is>
      </c>
      <c r="F10" s="10" t="inlineStr"/>
      <c r="G10" s="12">
        <f>IF(D10="","",IFERROR(INDEX(DAFTAR_FIXTURE!$B$2:$B$51,MATCH(D10,DAFTAR_FIXTURE!$A$2:$A$51,0)),""))</f>
        <v/>
      </c>
      <c r="H10" s="12">
        <f>IF(G10="","",IF(LEFT(G10,4)="Wall","Wall",IF(LEFT(G10,7)="Gondola","Gondola",IF(LEFT(G10,6)="Pallet","Pallet",IF(LEFT(G10,6)="Endcap","Endcap","")))))</f>
        <v/>
      </c>
      <c r="I10" s="12">
        <f>IF(A10="","",IF(D10="","CEK ID FIXTURE kosong",IF(G10="","CEK ID FIXTURE tidak ada di DAFTAR_FIXTURE",IF(H10="Endcap","CEK Endcap tidak ikut sambung",IF(H10&lt;&gt;B10,"CEK kategori fixture tidak sama dengan KATEGORI",IF(C10="","CEK URUTAN kosong",IF(AND(E10&lt;&gt;"",COUNTIFS(DATA!$I$2:$I$500,E10)=0),"CEK Series tidak ada di DATA","OK")))))))</f>
        <v/>
      </c>
    </row>
    <row r="11">
      <c r="A11" s="10" t="inlineStr">
        <is>
          <t>PALLET-RUN-1</t>
        </is>
      </c>
      <c r="B11" s="10" t="inlineStr">
        <is>
          <t>Pallet</t>
        </is>
      </c>
      <c r="C11" s="10" t="n">
        <v>1</v>
      </c>
      <c r="D11" s="11" t="inlineStr">
        <is>
          <t>PLT-01</t>
        </is>
      </c>
      <c r="E11" s="10" t="inlineStr"/>
      <c r="F11" s="10" t="inlineStr"/>
      <c r="G11" s="12">
        <f>IF(D11="","",IFERROR(INDEX(DAFTAR_FIXTURE!$B$2:$B$51,MATCH(D11,DAFTAR_FIXTURE!$A$2:$A$51,0)),""))</f>
        <v/>
      </c>
      <c r="H11" s="12">
        <f>IF(G11="","",IF(LEFT(G11,4)="Wall","Wall",IF(LEFT(G11,7)="Gondola","Gondola",IF(LEFT(G11,6)="Pallet","Pallet",IF(LEFT(G11,6)="Endcap","Endcap","")))))</f>
        <v/>
      </c>
      <c r="I11" s="12">
        <f>IF(A11="","",IF(D11="","CEK ID FIXTURE kosong",IF(G11="","CEK ID FIXTURE tidak ada di DAFTAR_FIXTURE",IF(H11="Endcap","CEK Endcap tidak ikut sambung",IF(H11&lt;&gt;B11,"CEK kategori fixture tidak sama dengan KATEGORI",IF(C11="","CEK URUTAN kosong",IF(AND(E11&lt;&gt;"",COUNTIFS(DATA!$I$2:$I$500,E11)=0),"CEK Series tidak ada di DATA","OK")))))))</f>
        <v/>
      </c>
    </row>
    <row r="12">
      <c r="A12" s="10" t="inlineStr">
        <is>
          <t>PALLET-RUN-1</t>
        </is>
      </c>
      <c r="B12" s="10" t="inlineStr">
        <is>
          <t>Pallet</t>
        </is>
      </c>
      <c r="C12" s="10" t="n">
        <v>2</v>
      </c>
      <c r="D12" s="11" t="inlineStr">
        <is>
          <t>PLT-02</t>
        </is>
      </c>
      <c r="E12" s="10" t="inlineStr"/>
      <c r="F12" s="10" t="inlineStr"/>
      <c r="G12" s="12">
        <f>IF(D12="","",IFERROR(INDEX(DAFTAR_FIXTURE!$B$2:$B$51,MATCH(D12,DAFTAR_FIXTURE!$A$2:$A$51,0)),""))</f>
        <v/>
      </c>
      <c r="H12" s="12">
        <f>IF(G12="","",IF(LEFT(G12,4)="Wall","Wall",IF(LEFT(G12,7)="Gondola","Gondola",IF(LEFT(G12,6)="Pallet","Pallet",IF(LEFT(G12,6)="Endcap","Endcap","")))))</f>
        <v/>
      </c>
      <c r="I12" s="12">
        <f>IF(A12="","",IF(D12="","CEK ID FIXTURE kosong",IF(G12="","CEK ID FIXTURE tidak ada di DAFTAR_FIXTURE",IF(H12="Endcap","CEK Endcap tidak ikut sambung",IF(H12&lt;&gt;B12,"CEK kategori fixture tidak sama dengan KATEGORI",IF(C12="","CEK URUTAN kosong",IF(AND(E12&lt;&gt;"",COUNTIFS(DATA!$I$2:$I$500,E12)=0),"CEK Series tidak ada di DATA","OK")))))))</f>
        <v/>
      </c>
    </row>
    <row r="13">
      <c r="A13" s="10" t="n"/>
      <c r="B13" s="10" t="n"/>
      <c r="C13" s="10" t="n"/>
      <c r="D13" s="11" t="n"/>
      <c r="E13" s="10" t="n"/>
      <c r="F13" s="10" t="n"/>
      <c r="G13" s="12">
        <f>IF(D13="","",IFERROR(INDEX(DAFTAR_FIXTURE!$B$2:$B$51,MATCH(D13,DAFTAR_FIXTURE!$A$2:$A$51,0)),""))</f>
        <v/>
      </c>
      <c r="H13" s="12">
        <f>IF(G13="","",IF(LEFT(G13,4)="Wall","Wall",IF(LEFT(G13,7)="Gondola","Gondola",IF(LEFT(G13,6)="Pallet","Pallet",IF(LEFT(G13,6)="Endcap","Endcap","")))))</f>
        <v/>
      </c>
      <c r="I13" s="12">
        <f>IF(A13="","",IF(D13="","CEK ID FIXTURE kosong",IF(G13="","CEK ID FIXTURE tidak ada di DAFTAR_FIXTURE",IF(H13="Endcap","CEK Endcap tidak ikut sambung",IF(H13&lt;&gt;B13,"CEK kategori fixture tidak sama dengan KATEGORI",IF(C13="","CEK URUTAN kosong",IF(AND(E13&lt;&gt;"",COUNTIFS(DATA!$I$2:$I$500,E13)=0),"CEK Series tidak ada di DATA","OK")))))))</f>
        <v/>
      </c>
    </row>
    <row r="14">
      <c r="A14" s="10" t="n"/>
      <c r="B14" s="10" t="n"/>
      <c r="C14" s="10" t="n"/>
      <c r="D14" s="11" t="n"/>
      <c r="E14" s="10" t="n"/>
      <c r="F14" s="10" t="n"/>
      <c r="G14" s="12">
        <f>IF(D14="","",IFERROR(INDEX(DAFTAR_FIXTURE!$B$2:$B$51,MATCH(D14,DAFTAR_FIXTURE!$A$2:$A$51,0)),""))</f>
        <v/>
      </c>
      <c r="H14" s="12">
        <f>IF(G14="","",IF(LEFT(G14,4)="Wall","Wall",IF(LEFT(G14,7)="Gondola","Gondola",IF(LEFT(G14,6)="Pallet","Pallet",IF(LEFT(G14,6)="Endcap","Endcap","")))))</f>
        <v/>
      </c>
      <c r="I14" s="12">
        <f>IF(A14="","",IF(D14="","CEK ID FIXTURE kosong",IF(G14="","CEK ID FIXTURE tidak ada di DAFTAR_FIXTURE",IF(H14="Endcap","CEK Endcap tidak ikut sambung",IF(H14&lt;&gt;B14,"CEK kategori fixture tidak sama dengan KATEGORI",IF(C14="","CEK URUTAN kosong",IF(AND(E14&lt;&gt;"",COUNTIFS(DATA!$I$2:$I$500,E14)=0),"CEK Series tidak ada di DATA","OK")))))))</f>
        <v/>
      </c>
    </row>
    <row r="15">
      <c r="A15" s="10" t="n"/>
      <c r="B15" s="10" t="n"/>
      <c r="C15" s="10" t="n"/>
      <c r="D15" s="11" t="n"/>
      <c r="E15" s="10" t="n"/>
      <c r="F15" s="10" t="n"/>
      <c r="G15" s="12">
        <f>IF(D15="","",IFERROR(INDEX(DAFTAR_FIXTURE!$B$2:$B$51,MATCH(D15,DAFTAR_FIXTURE!$A$2:$A$51,0)),""))</f>
        <v/>
      </c>
      <c r="H15" s="12">
        <f>IF(G15="","",IF(LEFT(G15,4)="Wall","Wall",IF(LEFT(G15,7)="Gondola","Gondola",IF(LEFT(G15,6)="Pallet","Pallet",IF(LEFT(G15,6)="Endcap","Endcap","")))))</f>
        <v/>
      </c>
      <c r="I15" s="12">
        <f>IF(A15="","",IF(D15="","CEK ID FIXTURE kosong",IF(G15="","CEK ID FIXTURE tidak ada di DAFTAR_FIXTURE",IF(H15="Endcap","CEK Endcap tidak ikut sambung",IF(H15&lt;&gt;B15,"CEK kategori fixture tidak sama dengan KATEGORI",IF(C15="","CEK URUTAN kosong",IF(AND(E15&lt;&gt;"",COUNTIFS(DATA!$I$2:$I$500,E15)=0),"CEK Series tidak ada di DATA","OK")))))))</f>
        <v/>
      </c>
    </row>
    <row r="16">
      <c r="A16" s="10" t="n"/>
      <c r="B16" s="10" t="n"/>
      <c r="C16" s="10" t="n"/>
      <c r="D16" s="11" t="n"/>
      <c r="E16" s="10" t="n"/>
      <c r="F16" s="10" t="n"/>
      <c r="G16" s="12">
        <f>IF(D16="","",IFERROR(INDEX(DAFTAR_FIXTURE!$B$2:$B$51,MATCH(D16,DAFTAR_FIXTURE!$A$2:$A$51,0)),""))</f>
        <v/>
      </c>
      <c r="H16" s="12">
        <f>IF(G16="","",IF(LEFT(G16,4)="Wall","Wall",IF(LEFT(G16,7)="Gondola","Gondola",IF(LEFT(G16,6)="Pallet","Pallet",IF(LEFT(G16,6)="Endcap","Endcap","")))))</f>
        <v/>
      </c>
      <c r="I16" s="12">
        <f>IF(A16="","",IF(D16="","CEK ID FIXTURE kosong",IF(G16="","CEK ID FIXTURE tidak ada di DAFTAR_FIXTURE",IF(H16="Endcap","CEK Endcap tidak ikut sambung",IF(H16&lt;&gt;B16,"CEK kategori fixture tidak sama dengan KATEGORI",IF(C16="","CEK URUTAN kosong",IF(AND(E16&lt;&gt;"",COUNTIFS(DATA!$I$2:$I$500,E16)=0),"CEK Series tidak ada di DATA","OK")))))))</f>
        <v/>
      </c>
    </row>
    <row r="17">
      <c r="A17" s="10" t="n"/>
      <c r="B17" s="10" t="n"/>
      <c r="C17" s="10" t="n"/>
      <c r="D17" s="11" t="n"/>
      <c r="E17" s="10" t="n"/>
      <c r="F17" s="10" t="n"/>
      <c r="G17" s="12">
        <f>IF(D17="","",IFERROR(INDEX(DAFTAR_FIXTURE!$B$2:$B$51,MATCH(D17,DAFTAR_FIXTURE!$A$2:$A$51,0)),""))</f>
        <v/>
      </c>
      <c r="H17" s="12">
        <f>IF(G17="","",IF(LEFT(G17,4)="Wall","Wall",IF(LEFT(G17,7)="Gondola","Gondola",IF(LEFT(G17,6)="Pallet","Pallet",IF(LEFT(G17,6)="Endcap","Endcap","")))))</f>
        <v/>
      </c>
      <c r="I17" s="12">
        <f>IF(A17="","",IF(D17="","CEK ID FIXTURE kosong",IF(G17="","CEK ID FIXTURE tidak ada di DAFTAR_FIXTURE",IF(H17="Endcap","CEK Endcap tidak ikut sambung",IF(H17&lt;&gt;B17,"CEK kategori fixture tidak sama dengan KATEGORI",IF(C17="","CEK URUTAN kosong",IF(AND(E17&lt;&gt;"",COUNTIFS(DATA!$I$2:$I$500,E17)=0),"CEK Series tidak ada di DATA","OK")))))))</f>
        <v/>
      </c>
    </row>
    <row r="18">
      <c r="A18" s="10" t="n"/>
      <c r="B18" s="10" t="n"/>
      <c r="C18" s="10" t="n"/>
      <c r="D18" s="11" t="n"/>
      <c r="E18" s="10" t="n"/>
      <c r="F18" s="10" t="n"/>
      <c r="G18" s="12">
        <f>IF(D18="","",IFERROR(INDEX(DAFTAR_FIXTURE!$B$2:$B$51,MATCH(D18,DAFTAR_FIXTURE!$A$2:$A$51,0)),""))</f>
        <v/>
      </c>
      <c r="H18" s="12">
        <f>IF(G18="","",IF(LEFT(G18,4)="Wall","Wall",IF(LEFT(G18,7)="Gondola","Gondola",IF(LEFT(G18,6)="Pallet","Pallet",IF(LEFT(G18,6)="Endcap","Endcap","")))))</f>
        <v/>
      </c>
      <c r="I18" s="12">
        <f>IF(A18="","",IF(D18="","CEK ID FIXTURE kosong",IF(G18="","CEK ID FIXTURE tidak ada di DAFTAR_FIXTURE",IF(H18="Endcap","CEK Endcap tidak ikut sambung",IF(H18&lt;&gt;B18,"CEK kategori fixture tidak sama dengan KATEGORI",IF(C18="","CEK URUTAN kosong",IF(AND(E18&lt;&gt;"",COUNTIFS(DATA!$I$2:$I$500,E18)=0),"CEK Series tidak ada di DATA","OK")))))))</f>
        <v/>
      </c>
    </row>
    <row r="19">
      <c r="A19" s="10" t="n"/>
      <c r="B19" s="10" t="n"/>
      <c r="C19" s="10" t="n"/>
      <c r="D19" s="11" t="n"/>
      <c r="E19" s="10" t="n"/>
      <c r="F19" s="10" t="n"/>
      <c r="G19" s="12">
        <f>IF(D19="","",IFERROR(INDEX(DAFTAR_FIXTURE!$B$2:$B$51,MATCH(D19,DAFTAR_FIXTURE!$A$2:$A$51,0)),""))</f>
        <v/>
      </c>
      <c r="H19" s="12">
        <f>IF(G19="","",IF(LEFT(G19,4)="Wall","Wall",IF(LEFT(G19,7)="Gondola","Gondola",IF(LEFT(G19,6)="Pallet","Pallet",IF(LEFT(G19,6)="Endcap","Endcap","")))))</f>
        <v/>
      </c>
      <c r="I19" s="12">
        <f>IF(A19="","",IF(D19="","CEK ID FIXTURE kosong",IF(G19="","CEK ID FIXTURE tidak ada di DAFTAR_FIXTURE",IF(H19="Endcap","CEK Endcap tidak ikut sambung",IF(H19&lt;&gt;B19,"CEK kategori fixture tidak sama dengan KATEGORI",IF(C19="","CEK URUTAN kosong",IF(AND(E19&lt;&gt;"",COUNTIFS(DATA!$I$2:$I$500,E19)=0),"CEK Series tidak ada di DATA","OK")))))))</f>
        <v/>
      </c>
    </row>
    <row r="20">
      <c r="A20" s="10" t="n"/>
      <c r="B20" s="10" t="n"/>
      <c r="C20" s="10" t="n"/>
      <c r="D20" s="11" t="n"/>
      <c r="E20" s="10" t="n"/>
      <c r="F20" s="10" t="n"/>
      <c r="G20" s="12">
        <f>IF(D20="","",IFERROR(INDEX(DAFTAR_FIXTURE!$B$2:$B$51,MATCH(D20,DAFTAR_FIXTURE!$A$2:$A$51,0)),""))</f>
        <v/>
      </c>
      <c r="H20" s="12">
        <f>IF(G20="","",IF(LEFT(G20,4)="Wall","Wall",IF(LEFT(G20,7)="Gondola","Gondola",IF(LEFT(G20,6)="Pallet","Pallet",IF(LEFT(G20,6)="Endcap","Endcap","")))))</f>
        <v/>
      </c>
      <c r="I20" s="12">
        <f>IF(A20="","",IF(D20="","CEK ID FIXTURE kosong",IF(G20="","CEK ID FIXTURE tidak ada di DAFTAR_FIXTURE",IF(H20="Endcap","CEK Endcap tidak ikut sambung",IF(H20&lt;&gt;B20,"CEK kategori fixture tidak sama dengan KATEGORI",IF(C20="","CEK URUTAN kosong",IF(AND(E20&lt;&gt;"",COUNTIFS(DATA!$I$2:$I$500,E20)=0),"CEK Series tidak ada di DATA","OK")))))))</f>
        <v/>
      </c>
    </row>
    <row r="21">
      <c r="A21" s="10" t="n"/>
      <c r="B21" s="10" t="n"/>
      <c r="C21" s="10" t="n"/>
      <c r="D21" s="11" t="n"/>
      <c r="E21" s="10" t="n"/>
      <c r="F21" s="10" t="n"/>
      <c r="G21" s="12">
        <f>IF(D21="","",IFERROR(INDEX(DAFTAR_FIXTURE!$B$2:$B$51,MATCH(D21,DAFTAR_FIXTURE!$A$2:$A$51,0)),""))</f>
        <v/>
      </c>
      <c r="H21" s="12">
        <f>IF(G21="","",IF(LEFT(G21,4)="Wall","Wall",IF(LEFT(G21,7)="Gondola","Gondola",IF(LEFT(G21,6)="Pallet","Pallet",IF(LEFT(G21,6)="Endcap","Endcap","")))))</f>
        <v/>
      </c>
      <c r="I21" s="12">
        <f>IF(A21="","",IF(D21="","CEK ID FIXTURE kosong",IF(G21="","CEK ID FIXTURE tidak ada di DAFTAR_FIXTURE",IF(H21="Endcap","CEK Endcap tidak ikut sambung",IF(H21&lt;&gt;B21,"CEK kategori fixture tidak sama dengan KATEGORI",IF(C21="","CEK URUTAN kosong",IF(AND(E21&lt;&gt;"",COUNTIFS(DATA!$I$2:$I$500,E21)=0),"CEK Series tidak ada di DATA","OK")))))))</f>
        <v/>
      </c>
    </row>
    <row r="22">
      <c r="A22" s="10" t="n"/>
      <c r="B22" s="10" t="n"/>
      <c r="C22" s="10" t="n"/>
      <c r="D22" s="11" t="n"/>
      <c r="E22" s="10" t="n"/>
      <c r="F22" s="10" t="n"/>
      <c r="G22" s="12">
        <f>IF(D22="","",IFERROR(INDEX(DAFTAR_FIXTURE!$B$2:$B$51,MATCH(D22,DAFTAR_FIXTURE!$A$2:$A$51,0)),""))</f>
        <v/>
      </c>
      <c r="H22" s="12">
        <f>IF(G22="","",IF(LEFT(G22,4)="Wall","Wall",IF(LEFT(G22,7)="Gondola","Gondola",IF(LEFT(G22,6)="Pallet","Pallet",IF(LEFT(G22,6)="Endcap","Endcap","")))))</f>
        <v/>
      </c>
      <c r="I22" s="12">
        <f>IF(A22="","",IF(D22="","CEK ID FIXTURE kosong",IF(G22="","CEK ID FIXTURE tidak ada di DAFTAR_FIXTURE",IF(H22="Endcap","CEK Endcap tidak ikut sambung",IF(H22&lt;&gt;B22,"CEK kategori fixture tidak sama dengan KATEGORI",IF(C22="","CEK URUTAN kosong",IF(AND(E22&lt;&gt;"",COUNTIFS(DATA!$I$2:$I$500,E22)=0),"CEK Series tidak ada di DATA","OK")))))))</f>
        <v/>
      </c>
    </row>
    <row r="23">
      <c r="A23" s="10" t="n"/>
      <c r="B23" s="10" t="n"/>
      <c r="C23" s="10" t="n"/>
      <c r="D23" s="11" t="n"/>
      <c r="E23" s="10" t="n"/>
      <c r="F23" s="10" t="n"/>
      <c r="G23" s="12">
        <f>IF(D23="","",IFERROR(INDEX(DAFTAR_FIXTURE!$B$2:$B$51,MATCH(D23,DAFTAR_FIXTURE!$A$2:$A$51,0)),""))</f>
        <v/>
      </c>
      <c r="H23" s="12">
        <f>IF(G23="","",IF(LEFT(G23,4)="Wall","Wall",IF(LEFT(G23,7)="Gondola","Gondola",IF(LEFT(G23,6)="Pallet","Pallet",IF(LEFT(G23,6)="Endcap","Endcap","")))))</f>
        <v/>
      </c>
      <c r="I23" s="12">
        <f>IF(A23="","",IF(D23="","CEK ID FIXTURE kosong",IF(G23="","CEK ID FIXTURE tidak ada di DAFTAR_FIXTURE",IF(H23="Endcap","CEK Endcap tidak ikut sambung",IF(H23&lt;&gt;B23,"CEK kategori fixture tidak sama dengan KATEGORI",IF(C23="","CEK URUTAN kosong",IF(AND(E23&lt;&gt;"",COUNTIFS(DATA!$I$2:$I$500,E23)=0),"CEK Series tidak ada di DATA","OK")))))))</f>
        <v/>
      </c>
    </row>
    <row r="24">
      <c r="A24" s="10" t="n"/>
      <c r="B24" s="10" t="n"/>
      <c r="C24" s="10" t="n"/>
      <c r="D24" s="11" t="n"/>
      <c r="E24" s="10" t="n"/>
      <c r="F24" s="10" t="n"/>
      <c r="G24" s="12">
        <f>IF(D24="","",IFERROR(INDEX(DAFTAR_FIXTURE!$B$2:$B$51,MATCH(D24,DAFTAR_FIXTURE!$A$2:$A$51,0)),""))</f>
        <v/>
      </c>
      <c r="H24" s="12">
        <f>IF(G24="","",IF(LEFT(G24,4)="Wall","Wall",IF(LEFT(G24,7)="Gondola","Gondola",IF(LEFT(G24,6)="Pallet","Pallet",IF(LEFT(G24,6)="Endcap","Endcap","")))))</f>
        <v/>
      </c>
      <c r="I24" s="12">
        <f>IF(A24="","",IF(D24="","CEK ID FIXTURE kosong",IF(G24="","CEK ID FIXTURE tidak ada di DAFTAR_FIXTURE",IF(H24="Endcap","CEK Endcap tidak ikut sambung",IF(H24&lt;&gt;B24,"CEK kategori fixture tidak sama dengan KATEGORI",IF(C24="","CEK URUTAN kosong",IF(AND(E24&lt;&gt;"",COUNTIFS(DATA!$I$2:$I$500,E24)=0),"CEK Series tidak ada di DATA","OK")))))))</f>
        <v/>
      </c>
    </row>
    <row r="25">
      <c r="A25" s="10" t="n"/>
      <c r="B25" s="10" t="n"/>
      <c r="C25" s="10" t="n"/>
      <c r="D25" s="11" t="n"/>
      <c r="E25" s="10" t="n"/>
      <c r="F25" s="10" t="n"/>
      <c r="G25" s="12">
        <f>IF(D25="","",IFERROR(INDEX(DAFTAR_FIXTURE!$B$2:$B$51,MATCH(D25,DAFTAR_FIXTURE!$A$2:$A$51,0)),""))</f>
        <v/>
      </c>
      <c r="H25" s="12">
        <f>IF(G25="","",IF(LEFT(G25,4)="Wall","Wall",IF(LEFT(G25,7)="Gondola","Gondola",IF(LEFT(G25,6)="Pallet","Pallet",IF(LEFT(G25,6)="Endcap","Endcap","")))))</f>
        <v/>
      </c>
      <c r="I25" s="12">
        <f>IF(A25="","",IF(D25="","CEK ID FIXTURE kosong",IF(G25="","CEK ID FIXTURE tidak ada di DAFTAR_FIXTURE",IF(H25="Endcap","CEK Endcap tidak ikut sambung",IF(H25&lt;&gt;B25,"CEK kategori fixture tidak sama dengan KATEGORI",IF(C25="","CEK URUTAN kosong",IF(AND(E25&lt;&gt;"",COUNTIFS(DATA!$I$2:$I$500,E25)=0),"CEK Series tidak ada di DATA","OK")))))))</f>
        <v/>
      </c>
    </row>
    <row r="26">
      <c r="A26" s="10" t="n"/>
      <c r="B26" s="10" t="n"/>
      <c r="C26" s="10" t="n"/>
      <c r="D26" s="11" t="n"/>
      <c r="E26" s="10" t="n"/>
      <c r="F26" s="10" t="n"/>
      <c r="G26" s="12">
        <f>IF(D26="","",IFERROR(INDEX(DAFTAR_FIXTURE!$B$2:$B$51,MATCH(D26,DAFTAR_FIXTURE!$A$2:$A$51,0)),""))</f>
        <v/>
      </c>
      <c r="H26" s="12">
        <f>IF(G26="","",IF(LEFT(G26,4)="Wall","Wall",IF(LEFT(G26,7)="Gondola","Gondola",IF(LEFT(G26,6)="Pallet","Pallet",IF(LEFT(G26,6)="Endcap","Endcap","")))))</f>
        <v/>
      </c>
      <c r="I26" s="12">
        <f>IF(A26="","",IF(D26="","CEK ID FIXTURE kosong",IF(G26="","CEK ID FIXTURE tidak ada di DAFTAR_FIXTURE",IF(H26="Endcap","CEK Endcap tidak ikut sambung",IF(H26&lt;&gt;B26,"CEK kategori fixture tidak sama dengan KATEGORI",IF(C26="","CEK URUTAN kosong",IF(AND(E26&lt;&gt;"",COUNTIFS(DATA!$I$2:$I$500,E26)=0),"CEK Series tidak ada di DATA","OK")))))))</f>
        <v/>
      </c>
    </row>
    <row r="27">
      <c r="A27" s="10" t="n"/>
      <c r="B27" s="10" t="n"/>
      <c r="C27" s="10" t="n"/>
      <c r="D27" s="11" t="n"/>
      <c r="E27" s="10" t="n"/>
      <c r="F27" s="10" t="n"/>
      <c r="G27" s="12">
        <f>IF(D27="","",IFERROR(INDEX(DAFTAR_FIXTURE!$B$2:$B$51,MATCH(D27,DAFTAR_FIXTURE!$A$2:$A$51,0)),""))</f>
        <v/>
      </c>
      <c r="H27" s="12">
        <f>IF(G27="","",IF(LEFT(G27,4)="Wall","Wall",IF(LEFT(G27,7)="Gondola","Gondola",IF(LEFT(G27,6)="Pallet","Pallet",IF(LEFT(G27,6)="Endcap","Endcap","")))))</f>
        <v/>
      </c>
      <c r="I27" s="12">
        <f>IF(A27="","",IF(D27="","CEK ID FIXTURE kosong",IF(G27="","CEK ID FIXTURE tidak ada di DAFTAR_FIXTURE",IF(H27="Endcap","CEK Endcap tidak ikut sambung",IF(H27&lt;&gt;B27,"CEK kategori fixture tidak sama dengan KATEGORI",IF(C27="","CEK URUTAN kosong",IF(AND(E27&lt;&gt;"",COUNTIFS(DATA!$I$2:$I$500,E27)=0),"CEK Series tidak ada di DATA","OK")))))))</f>
        <v/>
      </c>
    </row>
    <row r="28">
      <c r="A28" s="10" t="n"/>
      <c r="B28" s="10" t="n"/>
      <c r="C28" s="10" t="n"/>
      <c r="D28" s="11" t="n"/>
      <c r="E28" s="10" t="n"/>
      <c r="F28" s="10" t="n"/>
      <c r="G28" s="12">
        <f>IF(D28="","",IFERROR(INDEX(DAFTAR_FIXTURE!$B$2:$B$51,MATCH(D28,DAFTAR_FIXTURE!$A$2:$A$51,0)),""))</f>
        <v/>
      </c>
      <c r="H28" s="12">
        <f>IF(G28="","",IF(LEFT(G28,4)="Wall","Wall",IF(LEFT(G28,7)="Gondola","Gondola",IF(LEFT(G28,6)="Pallet","Pallet",IF(LEFT(G28,6)="Endcap","Endcap","")))))</f>
        <v/>
      </c>
      <c r="I28" s="12">
        <f>IF(A28="","",IF(D28="","CEK ID FIXTURE kosong",IF(G28="","CEK ID FIXTURE tidak ada di DAFTAR_FIXTURE",IF(H28="Endcap","CEK Endcap tidak ikut sambung",IF(H28&lt;&gt;B28,"CEK kategori fixture tidak sama dengan KATEGORI",IF(C28="","CEK URUTAN kosong",IF(AND(E28&lt;&gt;"",COUNTIFS(DATA!$I$2:$I$500,E28)=0),"CEK Series tidak ada di DATA","OK")))))))</f>
        <v/>
      </c>
    </row>
    <row r="29">
      <c r="A29" s="10" t="n"/>
      <c r="B29" s="10" t="n"/>
      <c r="C29" s="10" t="n"/>
      <c r="D29" s="11" t="n"/>
      <c r="E29" s="10" t="n"/>
      <c r="F29" s="10" t="n"/>
      <c r="G29" s="12">
        <f>IF(D29="","",IFERROR(INDEX(DAFTAR_FIXTURE!$B$2:$B$51,MATCH(D29,DAFTAR_FIXTURE!$A$2:$A$51,0)),""))</f>
        <v/>
      </c>
      <c r="H29" s="12">
        <f>IF(G29="","",IF(LEFT(G29,4)="Wall","Wall",IF(LEFT(G29,7)="Gondola","Gondola",IF(LEFT(G29,6)="Pallet","Pallet",IF(LEFT(G29,6)="Endcap","Endcap","")))))</f>
        <v/>
      </c>
      <c r="I29" s="12">
        <f>IF(A29="","",IF(D29="","CEK ID FIXTURE kosong",IF(G29="","CEK ID FIXTURE tidak ada di DAFTAR_FIXTURE",IF(H29="Endcap","CEK Endcap tidak ikut sambung",IF(H29&lt;&gt;B29,"CEK kategori fixture tidak sama dengan KATEGORI",IF(C29="","CEK URUTAN kosong",IF(AND(E29&lt;&gt;"",COUNTIFS(DATA!$I$2:$I$500,E29)=0),"CEK Series tidak ada di DATA","OK")))))))</f>
        <v/>
      </c>
    </row>
    <row r="30">
      <c r="A30" s="10" t="n"/>
      <c r="B30" s="10" t="n"/>
      <c r="C30" s="10" t="n"/>
      <c r="D30" s="11" t="n"/>
      <c r="E30" s="10" t="n"/>
      <c r="F30" s="10" t="n"/>
      <c r="G30" s="12">
        <f>IF(D30="","",IFERROR(INDEX(DAFTAR_FIXTURE!$B$2:$B$51,MATCH(D30,DAFTAR_FIXTURE!$A$2:$A$51,0)),""))</f>
        <v/>
      </c>
      <c r="H30" s="12">
        <f>IF(G30="","",IF(LEFT(G30,4)="Wall","Wall",IF(LEFT(G30,7)="Gondola","Gondola",IF(LEFT(G30,6)="Pallet","Pallet",IF(LEFT(G30,6)="Endcap","Endcap","")))))</f>
        <v/>
      </c>
      <c r="I30" s="12">
        <f>IF(A30="","",IF(D30="","CEK ID FIXTURE kosong",IF(G30="","CEK ID FIXTURE tidak ada di DAFTAR_FIXTURE",IF(H30="Endcap","CEK Endcap tidak ikut sambung",IF(H30&lt;&gt;B30,"CEK kategori fixture tidak sama dengan KATEGORI",IF(C30="","CEK URUTAN kosong",IF(AND(E30&lt;&gt;"",COUNTIFS(DATA!$I$2:$I$500,E30)=0),"CEK Series tidak ada di DATA","OK")))))))</f>
        <v/>
      </c>
    </row>
    <row r="31">
      <c r="A31" s="10" t="n"/>
      <c r="B31" s="10" t="n"/>
      <c r="C31" s="10" t="n"/>
      <c r="D31" s="11" t="n"/>
      <c r="E31" s="10" t="n"/>
      <c r="F31" s="10" t="n"/>
      <c r="G31" s="12">
        <f>IF(D31="","",IFERROR(INDEX(DAFTAR_FIXTURE!$B$2:$B$51,MATCH(D31,DAFTAR_FIXTURE!$A$2:$A$51,0)),""))</f>
        <v/>
      </c>
      <c r="H31" s="12">
        <f>IF(G31="","",IF(LEFT(G31,4)="Wall","Wall",IF(LEFT(G31,7)="Gondola","Gondola",IF(LEFT(G31,6)="Pallet","Pallet",IF(LEFT(G31,6)="Endcap","Endcap","")))))</f>
        <v/>
      </c>
      <c r="I31" s="12">
        <f>IF(A31="","",IF(D31="","CEK ID FIXTURE kosong",IF(G31="","CEK ID FIXTURE tidak ada di DAFTAR_FIXTURE",IF(H31="Endcap","CEK Endcap tidak ikut sambung",IF(H31&lt;&gt;B31,"CEK kategori fixture tidak sama dengan KATEGORI",IF(C31="","CEK URUTAN kosong",IF(AND(E31&lt;&gt;"",COUNTIFS(DATA!$I$2:$I$500,E31)=0),"CEK Series tidak ada di DATA","OK")))))))</f>
        <v/>
      </c>
    </row>
    <row r="32">
      <c r="A32" s="10" t="n"/>
      <c r="B32" s="10" t="n"/>
      <c r="C32" s="10" t="n"/>
      <c r="D32" s="11" t="n"/>
      <c r="E32" s="10" t="n"/>
      <c r="F32" s="10" t="n"/>
      <c r="G32" s="12">
        <f>IF(D32="","",IFERROR(INDEX(DAFTAR_FIXTURE!$B$2:$B$51,MATCH(D32,DAFTAR_FIXTURE!$A$2:$A$51,0)),""))</f>
        <v/>
      </c>
      <c r="H32" s="12">
        <f>IF(G32="","",IF(LEFT(G32,4)="Wall","Wall",IF(LEFT(G32,7)="Gondola","Gondola",IF(LEFT(G32,6)="Pallet","Pallet",IF(LEFT(G32,6)="Endcap","Endcap","")))))</f>
        <v/>
      </c>
      <c r="I32" s="12">
        <f>IF(A32="","",IF(D32="","CEK ID FIXTURE kosong",IF(G32="","CEK ID FIXTURE tidak ada di DAFTAR_FIXTURE",IF(H32="Endcap","CEK Endcap tidak ikut sambung",IF(H32&lt;&gt;B32,"CEK kategori fixture tidak sama dengan KATEGORI",IF(C32="","CEK URUTAN kosong",IF(AND(E32&lt;&gt;"",COUNTIFS(DATA!$I$2:$I$500,E32)=0),"CEK Series tidak ada di DATA","OK")))))))</f>
        <v/>
      </c>
    </row>
    <row r="33">
      <c r="A33" s="10" t="n"/>
      <c r="B33" s="10" t="n"/>
      <c r="C33" s="10" t="n"/>
      <c r="D33" s="11" t="n"/>
      <c r="E33" s="10" t="n"/>
      <c r="F33" s="10" t="n"/>
      <c r="G33" s="12">
        <f>IF(D33="","",IFERROR(INDEX(DAFTAR_FIXTURE!$B$2:$B$51,MATCH(D33,DAFTAR_FIXTURE!$A$2:$A$51,0)),""))</f>
        <v/>
      </c>
      <c r="H33" s="12">
        <f>IF(G33="","",IF(LEFT(G33,4)="Wall","Wall",IF(LEFT(G33,7)="Gondola","Gondola",IF(LEFT(G33,6)="Pallet","Pallet",IF(LEFT(G33,6)="Endcap","Endcap","")))))</f>
        <v/>
      </c>
      <c r="I33" s="12">
        <f>IF(A33="","",IF(D33="","CEK ID FIXTURE kosong",IF(G33="","CEK ID FIXTURE tidak ada di DAFTAR_FIXTURE",IF(H33="Endcap","CEK Endcap tidak ikut sambung",IF(H33&lt;&gt;B33,"CEK kategori fixture tidak sama dengan KATEGORI",IF(C33="","CEK URUTAN kosong",IF(AND(E33&lt;&gt;"",COUNTIFS(DATA!$I$2:$I$500,E33)=0),"CEK Series tidak ada di DATA","OK")))))))</f>
        <v/>
      </c>
    </row>
    <row r="34">
      <c r="A34" s="10" t="n"/>
      <c r="B34" s="10" t="n"/>
      <c r="C34" s="10" t="n"/>
      <c r="D34" s="11" t="n"/>
      <c r="E34" s="10" t="n"/>
      <c r="F34" s="10" t="n"/>
      <c r="G34" s="12">
        <f>IF(D34="","",IFERROR(INDEX(DAFTAR_FIXTURE!$B$2:$B$51,MATCH(D34,DAFTAR_FIXTURE!$A$2:$A$51,0)),""))</f>
        <v/>
      </c>
      <c r="H34" s="12">
        <f>IF(G34="","",IF(LEFT(G34,4)="Wall","Wall",IF(LEFT(G34,7)="Gondola","Gondola",IF(LEFT(G34,6)="Pallet","Pallet",IF(LEFT(G34,6)="Endcap","Endcap","")))))</f>
        <v/>
      </c>
      <c r="I34" s="12">
        <f>IF(A34="","",IF(D34="","CEK ID FIXTURE kosong",IF(G34="","CEK ID FIXTURE tidak ada di DAFTAR_FIXTURE",IF(H34="Endcap","CEK Endcap tidak ikut sambung",IF(H34&lt;&gt;B34,"CEK kategori fixture tidak sama dengan KATEGORI",IF(C34="","CEK URUTAN kosong",IF(AND(E34&lt;&gt;"",COUNTIFS(DATA!$I$2:$I$500,E34)=0),"CEK Series tidak ada di DATA","OK")))))))</f>
        <v/>
      </c>
    </row>
    <row r="35">
      <c r="A35" s="10" t="n"/>
      <c r="B35" s="10" t="n"/>
      <c r="C35" s="10" t="n"/>
      <c r="D35" s="11" t="n"/>
      <c r="E35" s="10" t="n"/>
      <c r="F35" s="10" t="n"/>
      <c r="G35" s="12">
        <f>IF(D35="","",IFERROR(INDEX(DAFTAR_FIXTURE!$B$2:$B$51,MATCH(D35,DAFTAR_FIXTURE!$A$2:$A$51,0)),""))</f>
        <v/>
      </c>
      <c r="H35" s="12">
        <f>IF(G35="","",IF(LEFT(G35,4)="Wall","Wall",IF(LEFT(G35,7)="Gondola","Gondola",IF(LEFT(G35,6)="Pallet","Pallet",IF(LEFT(G35,6)="Endcap","Endcap","")))))</f>
        <v/>
      </c>
      <c r="I35" s="12">
        <f>IF(A35="","",IF(D35="","CEK ID FIXTURE kosong",IF(G35="","CEK ID FIXTURE tidak ada di DAFTAR_FIXTURE",IF(H35="Endcap","CEK Endcap tidak ikut sambung",IF(H35&lt;&gt;B35,"CEK kategori fixture tidak sama dengan KATEGORI",IF(C35="","CEK URUTAN kosong",IF(AND(E35&lt;&gt;"",COUNTIFS(DATA!$I$2:$I$500,E35)=0),"CEK Series tidak ada di DATA","OK")))))))</f>
        <v/>
      </c>
    </row>
    <row r="36">
      <c r="A36" s="10" t="n"/>
      <c r="B36" s="10" t="n"/>
      <c r="C36" s="10" t="n"/>
      <c r="D36" s="11" t="n"/>
      <c r="E36" s="10" t="n"/>
      <c r="F36" s="10" t="n"/>
      <c r="G36" s="12">
        <f>IF(D36="","",IFERROR(INDEX(DAFTAR_FIXTURE!$B$2:$B$51,MATCH(D36,DAFTAR_FIXTURE!$A$2:$A$51,0)),""))</f>
        <v/>
      </c>
      <c r="H36" s="12">
        <f>IF(G36="","",IF(LEFT(G36,4)="Wall","Wall",IF(LEFT(G36,7)="Gondola","Gondola",IF(LEFT(G36,6)="Pallet","Pallet",IF(LEFT(G36,6)="Endcap","Endcap","")))))</f>
        <v/>
      </c>
      <c r="I36" s="12">
        <f>IF(A36="","",IF(D36="","CEK ID FIXTURE kosong",IF(G36="","CEK ID FIXTURE tidak ada di DAFTAR_FIXTURE",IF(H36="Endcap","CEK Endcap tidak ikut sambung",IF(H36&lt;&gt;B36,"CEK kategori fixture tidak sama dengan KATEGORI",IF(C36="","CEK URUTAN kosong",IF(AND(E36&lt;&gt;"",COUNTIFS(DATA!$I$2:$I$500,E36)=0),"CEK Series tidak ada di DATA","OK")))))))</f>
        <v/>
      </c>
    </row>
    <row r="37">
      <c r="A37" s="10" t="n"/>
      <c r="B37" s="10" t="n"/>
      <c r="C37" s="10" t="n"/>
      <c r="D37" s="11" t="n"/>
      <c r="E37" s="10" t="n"/>
      <c r="F37" s="10" t="n"/>
      <c r="G37" s="12">
        <f>IF(D37="","",IFERROR(INDEX(DAFTAR_FIXTURE!$B$2:$B$51,MATCH(D37,DAFTAR_FIXTURE!$A$2:$A$51,0)),""))</f>
        <v/>
      </c>
      <c r="H37" s="12">
        <f>IF(G37="","",IF(LEFT(G37,4)="Wall","Wall",IF(LEFT(G37,7)="Gondola","Gondola",IF(LEFT(G37,6)="Pallet","Pallet",IF(LEFT(G37,6)="Endcap","Endcap","")))))</f>
        <v/>
      </c>
      <c r="I37" s="12">
        <f>IF(A37="","",IF(D37="","CEK ID FIXTURE kosong",IF(G37="","CEK ID FIXTURE tidak ada di DAFTAR_FIXTURE",IF(H37="Endcap","CEK Endcap tidak ikut sambung",IF(H37&lt;&gt;B37,"CEK kategori fixture tidak sama dengan KATEGORI",IF(C37="","CEK URUTAN kosong",IF(AND(E37&lt;&gt;"",COUNTIFS(DATA!$I$2:$I$500,E37)=0),"CEK Series tidak ada di DATA","OK")))))))</f>
        <v/>
      </c>
    </row>
    <row r="38">
      <c r="A38" s="10" t="n"/>
      <c r="B38" s="10" t="n"/>
      <c r="C38" s="10" t="n"/>
      <c r="D38" s="11" t="n"/>
      <c r="E38" s="10" t="n"/>
      <c r="F38" s="10" t="n"/>
      <c r="G38" s="12">
        <f>IF(D38="","",IFERROR(INDEX(DAFTAR_FIXTURE!$B$2:$B$51,MATCH(D38,DAFTAR_FIXTURE!$A$2:$A$51,0)),""))</f>
        <v/>
      </c>
      <c r="H38" s="12">
        <f>IF(G38="","",IF(LEFT(G38,4)="Wall","Wall",IF(LEFT(G38,7)="Gondola","Gondola",IF(LEFT(G38,6)="Pallet","Pallet",IF(LEFT(G38,6)="Endcap","Endcap","")))))</f>
        <v/>
      </c>
      <c r="I38" s="12">
        <f>IF(A38="","",IF(D38="","CEK ID FIXTURE kosong",IF(G38="","CEK ID FIXTURE tidak ada di DAFTAR_FIXTURE",IF(H38="Endcap","CEK Endcap tidak ikut sambung",IF(H38&lt;&gt;B38,"CEK kategori fixture tidak sama dengan KATEGORI",IF(C38="","CEK URUTAN kosong",IF(AND(E38&lt;&gt;"",COUNTIFS(DATA!$I$2:$I$500,E38)=0),"CEK Series tidak ada di DATA","OK")))))))</f>
        <v/>
      </c>
    </row>
    <row r="39">
      <c r="A39" s="10" t="n"/>
      <c r="B39" s="10" t="n"/>
      <c r="C39" s="10" t="n"/>
      <c r="D39" s="11" t="n"/>
      <c r="E39" s="10" t="n"/>
      <c r="F39" s="10" t="n"/>
      <c r="G39" s="12">
        <f>IF(D39="","",IFERROR(INDEX(DAFTAR_FIXTURE!$B$2:$B$51,MATCH(D39,DAFTAR_FIXTURE!$A$2:$A$51,0)),""))</f>
        <v/>
      </c>
      <c r="H39" s="12">
        <f>IF(G39="","",IF(LEFT(G39,4)="Wall","Wall",IF(LEFT(G39,7)="Gondola","Gondola",IF(LEFT(G39,6)="Pallet","Pallet",IF(LEFT(G39,6)="Endcap","Endcap","")))))</f>
        <v/>
      </c>
      <c r="I39" s="12">
        <f>IF(A39="","",IF(D39="","CEK ID FIXTURE kosong",IF(G39="","CEK ID FIXTURE tidak ada di DAFTAR_FIXTURE",IF(H39="Endcap","CEK Endcap tidak ikut sambung",IF(H39&lt;&gt;B39,"CEK kategori fixture tidak sama dengan KATEGORI",IF(C39="","CEK URUTAN kosong",IF(AND(E39&lt;&gt;"",COUNTIFS(DATA!$I$2:$I$500,E39)=0),"CEK Series tidak ada di DATA","OK")))))))</f>
        <v/>
      </c>
    </row>
    <row r="40">
      <c r="A40" s="10" t="n"/>
      <c r="B40" s="10" t="n"/>
      <c r="C40" s="10" t="n"/>
      <c r="D40" s="11" t="n"/>
      <c r="E40" s="10" t="n"/>
      <c r="F40" s="10" t="n"/>
      <c r="G40" s="12">
        <f>IF(D40="","",IFERROR(INDEX(DAFTAR_FIXTURE!$B$2:$B$51,MATCH(D40,DAFTAR_FIXTURE!$A$2:$A$51,0)),""))</f>
        <v/>
      </c>
      <c r="H40" s="12">
        <f>IF(G40="","",IF(LEFT(G40,4)="Wall","Wall",IF(LEFT(G40,7)="Gondola","Gondola",IF(LEFT(G40,6)="Pallet","Pallet",IF(LEFT(G40,6)="Endcap","Endcap","")))))</f>
        <v/>
      </c>
      <c r="I40" s="12">
        <f>IF(A40="","",IF(D40="","CEK ID FIXTURE kosong",IF(G40="","CEK ID FIXTURE tidak ada di DAFTAR_FIXTURE",IF(H40="Endcap","CEK Endcap tidak ikut sambung",IF(H40&lt;&gt;B40,"CEK kategori fixture tidak sama dengan KATEGORI",IF(C40="","CEK URUTAN kosong",IF(AND(E40&lt;&gt;"",COUNTIFS(DATA!$I$2:$I$500,E40)=0),"CEK Series tidak ada di DATA","OK")))))))</f>
        <v/>
      </c>
    </row>
    <row r="41">
      <c r="A41" s="10" t="n"/>
      <c r="B41" s="10" t="n"/>
      <c r="C41" s="10" t="n"/>
      <c r="D41" s="11" t="n"/>
      <c r="E41" s="10" t="n"/>
      <c r="F41" s="10" t="n"/>
      <c r="G41" s="12">
        <f>IF(D41="","",IFERROR(INDEX(DAFTAR_FIXTURE!$B$2:$B$51,MATCH(D41,DAFTAR_FIXTURE!$A$2:$A$51,0)),""))</f>
        <v/>
      </c>
      <c r="H41" s="12">
        <f>IF(G41="","",IF(LEFT(G41,4)="Wall","Wall",IF(LEFT(G41,7)="Gondola","Gondola",IF(LEFT(G41,6)="Pallet","Pallet",IF(LEFT(G41,6)="Endcap","Endcap","")))))</f>
        <v/>
      </c>
      <c r="I41" s="12">
        <f>IF(A41="","",IF(D41="","CEK ID FIXTURE kosong",IF(G41="","CEK ID FIXTURE tidak ada di DAFTAR_FIXTURE",IF(H41="Endcap","CEK Endcap tidak ikut sambung",IF(H41&lt;&gt;B41,"CEK kategori fixture tidak sama dengan KATEGORI",IF(C41="","CEK URUTAN kosong",IF(AND(E41&lt;&gt;"",COUNTIFS(DATA!$I$2:$I$500,E41)=0),"CEK Series tidak ada di DATA","OK")))))))</f>
        <v/>
      </c>
    </row>
    <row r="42">
      <c r="A42" s="10" t="n"/>
      <c r="B42" s="10" t="n"/>
      <c r="C42" s="10" t="n"/>
      <c r="D42" s="11" t="n"/>
      <c r="E42" s="10" t="n"/>
      <c r="F42" s="10" t="n"/>
      <c r="G42" s="12">
        <f>IF(D42="","",IFERROR(INDEX(DAFTAR_FIXTURE!$B$2:$B$51,MATCH(D42,DAFTAR_FIXTURE!$A$2:$A$51,0)),""))</f>
        <v/>
      </c>
      <c r="H42" s="12">
        <f>IF(G42="","",IF(LEFT(G42,4)="Wall","Wall",IF(LEFT(G42,7)="Gondola","Gondola",IF(LEFT(G42,6)="Pallet","Pallet",IF(LEFT(G42,6)="Endcap","Endcap","")))))</f>
        <v/>
      </c>
      <c r="I42" s="12">
        <f>IF(A42="","",IF(D42="","CEK ID FIXTURE kosong",IF(G42="","CEK ID FIXTURE tidak ada di DAFTAR_FIXTURE",IF(H42="Endcap","CEK Endcap tidak ikut sambung",IF(H42&lt;&gt;B42,"CEK kategori fixture tidak sama dengan KATEGORI",IF(C42="","CEK URUTAN kosong",IF(AND(E42&lt;&gt;"",COUNTIFS(DATA!$I$2:$I$500,E42)=0),"CEK Series tidak ada di DATA","OK")))))))</f>
        <v/>
      </c>
    </row>
    <row r="43">
      <c r="A43" s="10" t="n"/>
      <c r="B43" s="10" t="n"/>
      <c r="C43" s="10" t="n"/>
      <c r="D43" s="11" t="n"/>
      <c r="E43" s="10" t="n"/>
      <c r="F43" s="10" t="n"/>
      <c r="G43" s="12">
        <f>IF(D43="","",IFERROR(INDEX(DAFTAR_FIXTURE!$B$2:$B$51,MATCH(D43,DAFTAR_FIXTURE!$A$2:$A$51,0)),""))</f>
        <v/>
      </c>
      <c r="H43" s="12">
        <f>IF(G43="","",IF(LEFT(G43,4)="Wall","Wall",IF(LEFT(G43,7)="Gondola","Gondola",IF(LEFT(G43,6)="Pallet","Pallet",IF(LEFT(G43,6)="Endcap","Endcap","")))))</f>
        <v/>
      </c>
      <c r="I43" s="12">
        <f>IF(A43="","",IF(D43="","CEK ID FIXTURE kosong",IF(G43="","CEK ID FIXTURE tidak ada di DAFTAR_FIXTURE",IF(H43="Endcap","CEK Endcap tidak ikut sambung",IF(H43&lt;&gt;B43,"CEK kategori fixture tidak sama dengan KATEGORI",IF(C43="","CEK URUTAN kosong",IF(AND(E43&lt;&gt;"",COUNTIFS(DATA!$I$2:$I$500,E43)=0),"CEK Series tidak ada di DATA","OK")))))))</f>
        <v/>
      </c>
    </row>
    <row r="44">
      <c r="A44" s="10" t="n"/>
      <c r="B44" s="10" t="n"/>
      <c r="C44" s="10" t="n"/>
      <c r="D44" s="11" t="n"/>
      <c r="E44" s="10" t="n"/>
      <c r="F44" s="10" t="n"/>
      <c r="G44" s="12">
        <f>IF(D44="","",IFERROR(INDEX(DAFTAR_FIXTURE!$B$2:$B$51,MATCH(D44,DAFTAR_FIXTURE!$A$2:$A$51,0)),""))</f>
        <v/>
      </c>
      <c r="H44" s="12">
        <f>IF(G44="","",IF(LEFT(G44,4)="Wall","Wall",IF(LEFT(G44,7)="Gondola","Gondola",IF(LEFT(G44,6)="Pallet","Pallet",IF(LEFT(G44,6)="Endcap","Endcap","")))))</f>
        <v/>
      </c>
      <c r="I44" s="12">
        <f>IF(A44="","",IF(D44="","CEK ID FIXTURE kosong",IF(G44="","CEK ID FIXTURE tidak ada di DAFTAR_FIXTURE",IF(H44="Endcap","CEK Endcap tidak ikut sambung",IF(H44&lt;&gt;B44,"CEK kategori fixture tidak sama dengan KATEGORI",IF(C44="","CEK URUTAN kosong",IF(AND(E44&lt;&gt;"",COUNTIFS(DATA!$I$2:$I$500,E44)=0),"CEK Series tidak ada di DATA","OK")))))))</f>
        <v/>
      </c>
    </row>
    <row r="45">
      <c r="A45" s="10" t="n"/>
      <c r="B45" s="10" t="n"/>
      <c r="C45" s="10" t="n"/>
      <c r="D45" s="11" t="n"/>
      <c r="E45" s="10" t="n"/>
      <c r="F45" s="10" t="n"/>
      <c r="G45" s="12">
        <f>IF(D45="","",IFERROR(INDEX(DAFTAR_FIXTURE!$B$2:$B$51,MATCH(D45,DAFTAR_FIXTURE!$A$2:$A$51,0)),""))</f>
        <v/>
      </c>
      <c r="H45" s="12">
        <f>IF(G45="","",IF(LEFT(G45,4)="Wall","Wall",IF(LEFT(G45,7)="Gondola","Gondola",IF(LEFT(G45,6)="Pallet","Pallet",IF(LEFT(G45,6)="Endcap","Endcap","")))))</f>
        <v/>
      </c>
      <c r="I45" s="12">
        <f>IF(A45="","",IF(D45="","CEK ID FIXTURE kosong",IF(G45="","CEK ID FIXTURE tidak ada di DAFTAR_FIXTURE",IF(H45="Endcap","CEK Endcap tidak ikut sambung",IF(H45&lt;&gt;B45,"CEK kategori fixture tidak sama dengan KATEGORI",IF(C45="","CEK URUTAN kosong",IF(AND(E45&lt;&gt;"",COUNTIFS(DATA!$I$2:$I$500,E45)=0),"CEK Series tidak ada di DATA","OK")))))))</f>
        <v/>
      </c>
    </row>
    <row r="46">
      <c r="A46" s="10" t="n"/>
      <c r="B46" s="10" t="n"/>
      <c r="C46" s="10" t="n"/>
      <c r="D46" s="11" t="n"/>
      <c r="E46" s="10" t="n"/>
      <c r="F46" s="10" t="n"/>
      <c r="G46" s="12">
        <f>IF(D46="","",IFERROR(INDEX(DAFTAR_FIXTURE!$B$2:$B$51,MATCH(D46,DAFTAR_FIXTURE!$A$2:$A$51,0)),""))</f>
        <v/>
      </c>
      <c r="H46" s="12">
        <f>IF(G46="","",IF(LEFT(G46,4)="Wall","Wall",IF(LEFT(G46,7)="Gondola","Gondola",IF(LEFT(G46,6)="Pallet","Pallet",IF(LEFT(G46,6)="Endcap","Endcap","")))))</f>
        <v/>
      </c>
      <c r="I46" s="12">
        <f>IF(A46="","",IF(D46="","CEK ID FIXTURE kosong",IF(G46="","CEK ID FIXTURE tidak ada di DAFTAR_FIXTURE",IF(H46="Endcap","CEK Endcap tidak ikut sambung",IF(H46&lt;&gt;B46,"CEK kategori fixture tidak sama dengan KATEGORI",IF(C46="","CEK URUTAN kosong",IF(AND(E46&lt;&gt;"",COUNTIFS(DATA!$I$2:$I$500,E46)=0),"CEK Series tidak ada di DATA","OK")))))))</f>
        <v/>
      </c>
    </row>
    <row r="47">
      <c r="A47" s="10" t="n"/>
      <c r="B47" s="10" t="n"/>
      <c r="C47" s="10" t="n"/>
      <c r="D47" s="11" t="n"/>
      <c r="E47" s="10" t="n"/>
      <c r="F47" s="10" t="n"/>
      <c r="G47" s="12">
        <f>IF(D47="","",IFERROR(INDEX(DAFTAR_FIXTURE!$B$2:$B$51,MATCH(D47,DAFTAR_FIXTURE!$A$2:$A$51,0)),""))</f>
        <v/>
      </c>
      <c r="H47" s="12">
        <f>IF(G47="","",IF(LEFT(G47,4)="Wall","Wall",IF(LEFT(G47,7)="Gondola","Gondola",IF(LEFT(G47,6)="Pallet","Pallet",IF(LEFT(G47,6)="Endcap","Endcap","")))))</f>
        <v/>
      </c>
      <c r="I47" s="12">
        <f>IF(A47="","",IF(D47="","CEK ID FIXTURE kosong",IF(G47="","CEK ID FIXTURE tidak ada di DAFTAR_FIXTURE",IF(H47="Endcap","CEK Endcap tidak ikut sambung",IF(H47&lt;&gt;B47,"CEK kategori fixture tidak sama dengan KATEGORI",IF(C47="","CEK URUTAN kosong",IF(AND(E47&lt;&gt;"",COUNTIFS(DATA!$I$2:$I$500,E47)=0),"CEK Series tidak ada di DATA","OK")))))))</f>
        <v/>
      </c>
    </row>
    <row r="48">
      <c r="A48" s="10" t="n"/>
      <c r="B48" s="10" t="n"/>
      <c r="C48" s="10" t="n"/>
      <c r="D48" s="11" t="n"/>
      <c r="E48" s="10" t="n"/>
      <c r="F48" s="10" t="n"/>
      <c r="G48" s="12">
        <f>IF(D48="","",IFERROR(INDEX(DAFTAR_FIXTURE!$B$2:$B$51,MATCH(D48,DAFTAR_FIXTURE!$A$2:$A$51,0)),""))</f>
        <v/>
      </c>
      <c r="H48" s="12">
        <f>IF(G48="","",IF(LEFT(G48,4)="Wall","Wall",IF(LEFT(G48,7)="Gondola","Gondola",IF(LEFT(G48,6)="Pallet","Pallet",IF(LEFT(G48,6)="Endcap","Endcap","")))))</f>
        <v/>
      </c>
      <c r="I48" s="12">
        <f>IF(A48="","",IF(D48="","CEK ID FIXTURE kosong",IF(G48="","CEK ID FIXTURE tidak ada di DAFTAR_FIXTURE",IF(H48="Endcap","CEK Endcap tidak ikut sambung",IF(H48&lt;&gt;B48,"CEK kategori fixture tidak sama dengan KATEGORI",IF(C48="","CEK URUTAN kosong",IF(AND(E48&lt;&gt;"",COUNTIFS(DATA!$I$2:$I$500,E48)=0),"CEK Series tidak ada di DATA","OK")))))))</f>
        <v/>
      </c>
    </row>
    <row r="49">
      <c r="A49" s="10" t="n"/>
      <c r="B49" s="10" t="n"/>
      <c r="C49" s="10" t="n"/>
      <c r="D49" s="11" t="n"/>
      <c r="E49" s="10" t="n"/>
      <c r="F49" s="10" t="n"/>
      <c r="G49" s="12">
        <f>IF(D49="","",IFERROR(INDEX(DAFTAR_FIXTURE!$B$2:$B$51,MATCH(D49,DAFTAR_FIXTURE!$A$2:$A$51,0)),""))</f>
        <v/>
      </c>
      <c r="H49" s="12">
        <f>IF(G49="","",IF(LEFT(G49,4)="Wall","Wall",IF(LEFT(G49,7)="Gondola","Gondola",IF(LEFT(G49,6)="Pallet","Pallet",IF(LEFT(G49,6)="Endcap","Endcap","")))))</f>
        <v/>
      </c>
      <c r="I49" s="12">
        <f>IF(A49="","",IF(D49="","CEK ID FIXTURE kosong",IF(G49="","CEK ID FIXTURE tidak ada di DAFTAR_FIXTURE",IF(H49="Endcap","CEK Endcap tidak ikut sambung",IF(H49&lt;&gt;B49,"CEK kategori fixture tidak sama dengan KATEGORI",IF(C49="","CEK URUTAN kosong",IF(AND(E49&lt;&gt;"",COUNTIFS(DATA!$I$2:$I$500,E49)=0),"CEK Series tidak ada di DATA","OK")))))))</f>
        <v/>
      </c>
    </row>
    <row r="50">
      <c r="A50" s="10" t="n"/>
      <c r="B50" s="10" t="n"/>
      <c r="C50" s="10" t="n"/>
      <c r="D50" s="11" t="n"/>
      <c r="E50" s="10" t="n"/>
      <c r="F50" s="10" t="n"/>
      <c r="G50" s="12">
        <f>IF(D50="","",IFERROR(INDEX(DAFTAR_FIXTURE!$B$2:$B$51,MATCH(D50,DAFTAR_FIXTURE!$A$2:$A$51,0)),""))</f>
        <v/>
      </c>
      <c r="H50" s="12">
        <f>IF(G50="","",IF(LEFT(G50,4)="Wall","Wall",IF(LEFT(G50,7)="Gondola","Gondola",IF(LEFT(G50,6)="Pallet","Pallet",IF(LEFT(G50,6)="Endcap","Endcap","")))))</f>
        <v/>
      </c>
      <c r="I50" s="12">
        <f>IF(A50="","",IF(D50="","CEK ID FIXTURE kosong",IF(G50="","CEK ID FIXTURE tidak ada di DAFTAR_FIXTURE",IF(H50="Endcap","CEK Endcap tidak ikut sambung",IF(H50&lt;&gt;B50,"CEK kategori fixture tidak sama dengan KATEGORI",IF(C50="","CEK URUTAN kosong",IF(AND(E50&lt;&gt;"",COUNTIFS(DATA!$I$2:$I$500,E50)=0),"CEK Series tidak ada di DATA","OK")))))))</f>
        <v/>
      </c>
    </row>
    <row r="51">
      <c r="A51" s="10" t="n"/>
      <c r="B51" s="10" t="n"/>
      <c r="C51" s="10" t="n"/>
      <c r="D51" s="11" t="n"/>
      <c r="E51" s="10" t="n"/>
      <c r="F51" s="10" t="n"/>
      <c r="G51" s="12">
        <f>IF(D51="","",IFERROR(INDEX(DAFTAR_FIXTURE!$B$2:$B$51,MATCH(D51,DAFTAR_FIXTURE!$A$2:$A$51,0)),""))</f>
        <v/>
      </c>
      <c r="H51" s="12">
        <f>IF(G51="","",IF(LEFT(G51,4)="Wall","Wall",IF(LEFT(G51,7)="Gondola","Gondola",IF(LEFT(G51,6)="Pallet","Pallet",IF(LEFT(G51,6)="Endcap","Endcap","")))))</f>
        <v/>
      </c>
      <c r="I51" s="12">
        <f>IF(A51="","",IF(D51="","CEK ID FIXTURE kosong",IF(G51="","CEK ID FIXTURE tidak ada di DAFTAR_FIXTURE",IF(H51="Endcap","CEK Endcap tidak ikut sambung",IF(H51&lt;&gt;B51,"CEK kategori fixture tidak sama dengan KATEGORI",IF(C51="","CEK URUTAN kosong",IF(AND(E51&lt;&gt;"",COUNTIFS(DATA!$I$2:$I$500,E51)=0),"CEK Series tidak ada di DATA","OK")))))))</f>
        <v/>
      </c>
    </row>
    <row r="52">
      <c r="A52" s="10" t="n"/>
      <c r="B52" s="10" t="n"/>
      <c r="C52" s="10" t="n"/>
      <c r="D52" s="11" t="n"/>
      <c r="E52" s="10" t="n"/>
      <c r="F52" s="10" t="n"/>
      <c r="G52" s="12">
        <f>IF(D52="","",IFERROR(INDEX(DAFTAR_FIXTURE!$B$2:$B$51,MATCH(D52,DAFTAR_FIXTURE!$A$2:$A$51,0)),""))</f>
        <v/>
      </c>
      <c r="H52" s="12">
        <f>IF(G52="","",IF(LEFT(G52,4)="Wall","Wall",IF(LEFT(G52,7)="Gondola","Gondola",IF(LEFT(G52,6)="Pallet","Pallet",IF(LEFT(G52,6)="Endcap","Endcap","")))))</f>
        <v/>
      </c>
      <c r="I52" s="12">
        <f>IF(A52="","",IF(D52="","CEK ID FIXTURE kosong",IF(G52="","CEK ID FIXTURE tidak ada di DAFTAR_FIXTURE",IF(H52="Endcap","CEK Endcap tidak ikut sambung",IF(H52&lt;&gt;B52,"CEK kategori fixture tidak sama dengan KATEGORI",IF(C52="","CEK URUTAN kosong",IF(AND(E52&lt;&gt;"",COUNTIFS(DATA!$I$2:$I$500,E52)=0),"CEK Series tidak ada di DATA","OK")))))))</f>
        <v/>
      </c>
    </row>
    <row r="53">
      <c r="A53" s="10" t="n"/>
      <c r="B53" s="10" t="n"/>
      <c r="C53" s="10" t="n"/>
      <c r="D53" s="11" t="n"/>
      <c r="E53" s="10" t="n"/>
      <c r="F53" s="10" t="n"/>
      <c r="G53" s="12">
        <f>IF(D53="","",IFERROR(INDEX(DAFTAR_FIXTURE!$B$2:$B$51,MATCH(D53,DAFTAR_FIXTURE!$A$2:$A$51,0)),""))</f>
        <v/>
      </c>
      <c r="H53" s="12">
        <f>IF(G53="","",IF(LEFT(G53,4)="Wall","Wall",IF(LEFT(G53,7)="Gondola","Gondola",IF(LEFT(G53,6)="Pallet","Pallet",IF(LEFT(G53,6)="Endcap","Endcap","")))))</f>
        <v/>
      </c>
      <c r="I53" s="12">
        <f>IF(A53="","",IF(D53="","CEK ID FIXTURE kosong",IF(G53="","CEK ID FIXTURE tidak ada di DAFTAR_FIXTURE",IF(H53="Endcap","CEK Endcap tidak ikut sambung",IF(H53&lt;&gt;B53,"CEK kategori fixture tidak sama dengan KATEGORI",IF(C53="","CEK URUTAN kosong",IF(AND(E53&lt;&gt;"",COUNTIFS(DATA!$I$2:$I$500,E53)=0),"CEK Series tidak ada di DATA","OK")))))))</f>
        <v/>
      </c>
    </row>
    <row r="54">
      <c r="A54" s="10" t="n"/>
      <c r="B54" s="10" t="n"/>
      <c r="C54" s="10" t="n"/>
      <c r="D54" s="11" t="n"/>
      <c r="E54" s="10" t="n"/>
      <c r="F54" s="10" t="n"/>
      <c r="G54" s="12">
        <f>IF(D54="","",IFERROR(INDEX(DAFTAR_FIXTURE!$B$2:$B$51,MATCH(D54,DAFTAR_FIXTURE!$A$2:$A$51,0)),""))</f>
        <v/>
      </c>
      <c r="H54" s="12">
        <f>IF(G54="","",IF(LEFT(G54,4)="Wall","Wall",IF(LEFT(G54,7)="Gondola","Gondola",IF(LEFT(G54,6)="Pallet","Pallet",IF(LEFT(G54,6)="Endcap","Endcap","")))))</f>
        <v/>
      </c>
      <c r="I54" s="12">
        <f>IF(A54="","",IF(D54="","CEK ID FIXTURE kosong",IF(G54="","CEK ID FIXTURE tidak ada di DAFTAR_FIXTURE",IF(H54="Endcap","CEK Endcap tidak ikut sambung",IF(H54&lt;&gt;B54,"CEK kategori fixture tidak sama dengan KATEGORI",IF(C54="","CEK URUTAN kosong",IF(AND(E54&lt;&gt;"",COUNTIFS(DATA!$I$2:$I$500,E54)=0),"CEK Series tidak ada di DATA","OK")))))))</f>
        <v/>
      </c>
    </row>
    <row r="55">
      <c r="A55" s="10" t="n"/>
      <c r="B55" s="10" t="n"/>
      <c r="C55" s="10" t="n"/>
      <c r="D55" s="11" t="n"/>
      <c r="E55" s="10" t="n"/>
      <c r="F55" s="10" t="n"/>
      <c r="G55" s="12">
        <f>IF(D55="","",IFERROR(INDEX(DAFTAR_FIXTURE!$B$2:$B$51,MATCH(D55,DAFTAR_FIXTURE!$A$2:$A$51,0)),""))</f>
        <v/>
      </c>
      <c r="H55" s="12">
        <f>IF(G55="","",IF(LEFT(G55,4)="Wall","Wall",IF(LEFT(G55,7)="Gondola","Gondola",IF(LEFT(G55,6)="Pallet","Pallet",IF(LEFT(G55,6)="Endcap","Endcap","")))))</f>
        <v/>
      </c>
      <c r="I55" s="12">
        <f>IF(A55="","",IF(D55="","CEK ID FIXTURE kosong",IF(G55="","CEK ID FIXTURE tidak ada di DAFTAR_FIXTURE",IF(H55="Endcap","CEK Endcap tidak ikut sambung",IF(H55&lt;&gt;B55,"CEK kategori fixture tidak sama dengan KATEGORI",IF(C55="","CEK URUTAN kosong",IF(AND(E55&lt;&gt;"",COUNTIFS(DATA!$I$2:$I$500,E55)=0),"CEK Series tidak ada di DATA","OK")))))))</f>
        <v/>
      </c>
    </row>
    <row r="56">
      <c r="A56" s="10" t="n"/>
      <c r="B56" s="10" t="n"/>
      <c r="C56" s="10" t="n"/>
      <c r="D56" s="11" t="n"/>
      <c r="E56" s="10" t="n"/>
      <c r="F56" s="10" t="n"/>
      <c r="G56" s="12">
        <f>IF(D56="","",IFERROR(INDEX(DAFTAR_FIXTURE!$B$2:$B$51,MATCH(D56,DAFTAR_FIXTURE!$A$2:$A$51,0)),""))</f>
        <v/>
      </c>
      <c r="H56" s="12">
        <f>IF(G56="","",IF(LEFT(G56,4)="Wall","Wall",IF(LEFT(G56,7)="Gondola","Gondola",IF(LEFT(G56,6)="Pallet","Pallet",IF(LEFT(G56,6)="Endcap","Endcap","")))))</f>
        <v/>
      </c>
      <c r="I56" s="12">
        <f>IF(A56="","",IF(D56="","CEK ID FIXTURE kosong",IF(G56="","CEK ID FIXTURE tidak ada di DAFTAR_FIXTURE",IF(H56="Endcap","CEK Endcap tidak ikut sambung",IF(H56&lt;&gt;B56,"CEK kategori fixture tidak sama dengan KATEGORI",IF(C56="","CEK URUTAN kosong",IF(AND(E56&lt;&gt;"",COUNTIFS(DATA!$I$2:$I$500,E56)=0),"CEK Series tidak ada di DATA","OK")))))))</f>
        <v/>
      </c>
    </row>
    <row r="57">
      <c r="A57" s="10" t="n"/>
      <c r="B57" s="10" t="n"/>
      <c r="C57" s="10" t="n"/>
      <c r="D57" s="11" t="n"/>
      <c r="E57" s="10" t="n"/>
      <c r="F57" s="10" t="n"/>
      <c r="G57" s="12">
        <f>IF(D57="","",IFERROR(INDEX(DAFTAR_FIXTURE!$B$2:$B$51,MATCH(D57,DAFTAR_FIXTURE!$A$2:$A$51,0)),""))</f>
        <v/>
      </c>
      <c r="H57" s="12">
        <f>IF(G57="","",IF(LEFT(G57,4)="Wall","Wall",IF(LEFT(G57,7)="Gondola","Gondola",IF(LEFT(G57,6)="Pallet","Pallet",IF(LEFT(G57,6)="Endcap","Endcap","")))))</f>
        <v/>
      </c>
      <c r="I57" s="12">
        <f>IF(A57="","",IF(D57="","CEK ID FIXTURE kosong",IF(G57="","CEK ID FIXTURE tidak ada di DAFTAR_FIXTURE",IF(H57="Endcap","CEK Endcap tidak ikut sambung",IF(H57&lt;&gt;B57,"CEK kategori fixture tidak sama dengan KATEGORI",IF(C57="","CEK URUTAN kosong",IF(AND(E57&lt;&gt;"",COUNTIFS(DATA!$I$2:$I$500,E57)=0),"CEK Series tidak ada di DATA","OK")))))))</f>
        <v/>
      </c>
    </row>
    <row r="58">
      <c r="A58" s="10" t="n"/>
      <c r="B58" s="10" t="n"/>
      <c r="C58" s="10" t="n"/>
      <c r="D58" s="11" t="n"/>
      <c r="E58" s="10" t="n"/>
      <c r="F58" s="10" t="n"/>
      <c r="G58" s="12">
        <f>IF(D58="","",IFERROR(INDEX(DAFTAR_FIXTURE!$B$2:$B$51,MATCH(D58,DAFTAR_FIXTURE!$A$2:$A$51,0)),""))</f>
        <v/>
      </c>
      <c r="H58" s="12">
        <f>IF(G58="","",IF(LEFT(G58,4)="Wall","Wall",IF(LEFT(G58,7)="Gondola","Gondola",IF(LEFT(G58,6)="Pallet","Pallet",IF(LEFT(G58,6)="Endcap","Endcap","")))))</f>
        <v/>
      </c>
      <c r="I58" s="12">
        <f>IF(A58="","",IF(D58="","CEK ID FIXTURE kosong",IF(G58="","CEK ID FIXTURE tidak ada di DAFTAR_FIXTURE",IF(H58="Endcap","CEK Endcap tidak ikut sambung",IF(H58&lt;&gt;B58,"CEK kategori fixture tidak sama dengan KATEGORI",IF(C58="","CEK URUTAN kosong",IF(AND(E58&lt;&gt;"",COUNTIFS(DATA!$I$2:$I$500,E58)=0),"CEK Series tidak ada di DATA","OK")))))))</f>
        <v/>
      </c>
    </row>
    <row r="59">
      <c r="A59" s="10" t="n"/>
      <c r="B59" s="10" t="n"/>
      <c r="C59" s="10" t="n"/>
      <c r="D59" s="11" t="n"/>
      <c r="E59" s="10" t="n"/>
      <c r="F59" s="10" t="n"/>
      <c r="G59" s="12">
        <f>IF(D59="","",IFERROR(INDEX(DAFTAR_FIXTURE!$B$2:$B$51,MATCH(D59,DAFTAR_FIXTURE!$A$2:$A$51,0)),""))</f>
        <v/>
      </c>
      <c r="H59" s="12">
        <f>IF(G59="","",IF(LEFT(G59,4)="Wall","Wall",IF(LEFT(G59,7)="Gondola","Gondola",IF(LEFT(G59,6)="Pallet","Pallet",IF(LEFT(G59,6)="Endcap","Endcap","")))))</f>
        <v/>
      </c>
      <c r="I59" s="12">
        <f>IF(A59="","",IF(D59="","CEK ID FIXTURE kosong",IF(G59="","CEK ID FIXTURE tidak ada di DAFTAR_FIXTURE",IF(H59="Endcap","CEK Endcap tidak ikut sambung",IF(H59&lt;&gt;B59,"CEK kategori fixture tidak sama dengan KATEGORI",IF(C59="","CEK URUTAN kosong",IF(AND(E59&lt;&gt;"",COUNTIFS(DATA!$I$2:$I$500,E59)=0),"CEK Series tidak ada di DATA","OK")))))))</f>
        <v/>
      </c>
    </row>
    <row r="60">
      <c r="A60" s="10" t="n"/>
      <c r="B60" s="10" t="n"/>
      <c r="C60" s="10" t="n"/>
      <c r="D60" s="11" t="n"/>
      <c r="E60" s="10" t="n"/>
      <c r="F60" s="10" t="n"/>
      <c r="G60" s="12">
        <f>IF(D60="","",IFERROR(INDEX(DAFTAR_FIXTURE!$B$2:$B$51,MATCH(D60,DAFTAR_FIXTURE!$A$2:$A$51,0)),""))</f>
        <v/>
      </c>
      <c r="H60" s="12">
        <f>IF(G60="","",IF(LEFT(G60,4)="Wall","Wall",IF(LEFT(G60,7)="Gondola","Gondola",IF(LEFT(G60,6)="Pallet","Pallet",IF(LEFT(G60,6)="Endcap","Endcap","")))))</f>
        <v/>
      </c>
      <c r="I60" s="12">
        <f>IF(A60="","",IF(D60="","CEK ID FIXTURE kosong",IF(G60="","CEK ID FIXTURE tidak ada di DAFTAR_FIXTURE",IF(H60="Endcap","CEK Endcap tidak ikut sambung",IF(H60&lt;&gt;B60,"CEK kategori fixture tidak sama dengan KATEGORI",IF(C60="","CEK URUTAN kosong",IF(AND(E60&lt;&gt;"",COUNTIFS(DATA!$I$2:$I$500,E60)=0),"CEK Series tidak ada di DATA","OK")))))))</f>
        <v/>
      </c>
    </row>
    <row r="61">
      <c r="A61" s="10" t="n"/>
      <c r="B61" s="10" t="n"/>
      <c r="C61" s="10" t="n"/>
      <c r="D61" s="11" t="n"/>
      <c r="E61" s="10" t="n"/>
      <c r="F61" s="10" t="n"/>
      <c r="G61" s="12">
        <f>IF(D61="","",IFERROR(INDEX(DAFTAR_FIXTURE!$B$2:$B$51,MATCH(D61,DAFTAR_FIXTURE!$A$2:$A$51,0)),""))</f>
        <v/>
      </c>
      <c r="H61" s="12">
        <f>IF(G61="","",IF(LEFT(G61,4)="Wall","Wall",IF(LEFT(G61,7)="Gondola","Gondola",IF(LEFT(G61,6)="Pallet","Pallet",IF(LEFT(G61,6)="Endcap","Endcap","")))))</f>
        <v/>
      </c>
      <c r="I61" s="12">
        <f>IF(A61="","",IF(D61="","CEK ID FIXTURE kosong",IF(G61="","CEK ID FIXTURE tidak ada di DAFTAR_FIXTURE",IF(H61="Endcap","CEK Endcap tidak ikut sambung",IF(H61&lt;&gt;B61,"CEK kategori fixture tidak sama dengan KATEGORI",IF(C61="","CEK URUTAN kosong",IF(AND(E61&lt;&gt;"",COUNTIFS(DATA!$I$2:$I$500,E61)=0),"CEK Series tidak ada di DATA","OK")))))))</f>
        <v/>
      </c>
    </row>
    <row r="62">
      <c r="A62" s="10" t="n"/>
      <c r="B62" s="10" t="n"/>
      <c r="C62" s="10" t="n"/>
      <c r="D62" s="11" t="n"/>
      <c r="E62" s="10" t="n"/>
      <c r="F62" s="10" t="n"/>
      <c r="G62" s="12">
        <f>IF(D62="","",IFERROR(INDEX(DAFTAR_FIXTURE!$B$2:$B$51,MATCH(D62,DAFTAR_FIXTURE!$A$2:$A$51,0)),""))</f>
        <v/>
      </c>
      <c r="H62" s="12">
        <f>IF(G62="","",IF(LEFT(G62,4)="Wall","Wall",IF(LEFT(G62,7)="Gondola","Gondola",IF(LEFT(G62,6)="Pallet","Pallet",IF(LEFT(G62,6)="Endcap","Endcap","")))))</f>
        <v/>
      </c>
      <c r="I62" s="12">
        <f>IF(A62="","",IF(D62="","CEK ID FIXTURE kosong",IF(G62="","CEK ID FIXTURE tidak ada di DAFTAR_FIXTURE",IF(H62="Endcap","CEK Endcap tidak ikut sambung",IF(H62&lt;&gt;B62,"CEK kategori fixture tidak sama dengan KATEGORI",IF(C62="","CEK URUTAN kosong",IF(AND(E62&lt;&gt;"",COUNTIFS(DATA!$I$2:$I$500,E62)=0),"CEK Series tidak ada di DATA","OK")))))))</f>
        <v/>
      </c>
    </row>
    <row r="63">
      <c r="A63" s="10" t="n"/>
      <c r="B63" s="10" t="n"/>
      <c r="C63" s="10" t="n"/>
      <c r="D63" s="11" t="n"/>
      <c r="E63" s="10" t="n"/>
      <c r="F63" s="10" t="n"/>
      <c r="G63" s="12">
        <f>IF(D63="","",IFERROR(INDEX(DAFTAR_FIXTURE!$B$2:$B$51,MATCH(D63,DAFTAR_FIXTURE!$A$2:$A$51,0)),""))</f>
        <v/>
      </c>
      <c r="H63" s="12">
        <f>IF(G63="","",IF(LEFT(G63,4)="Wall","Wall",IF(LEFT(G63,7)="Gondola","Gondola",IF(LEFT(G63,6)="Pallet","Pallet",IF(LEFT(G63,6)="Endcap","Endcap","")))))</f>
        <v/>
      </c>
      <c r="I63" s="12">
        <f>IF(A63="","",IF(D63="","CEK ID FIXTURE kosong",IF(G63="","CEK ID FIXTURE tidak ada di DAFTAR_FIXTURE",IF(H63="Endcap","CEK Endcap tidak ikut sambung",IF(H63&lt;&gt;B63,"CEK kategori fixture tidak sama dengan KATEGORI",IF(C63="","CEK URUTAN kosong",IF(AND(E63&lt;&gt;"",COUNTIFS(DATA!$I$2:$I$500,E63)=0),"CEK Series tidak ada di DATA","OK")))))))</f>
        <v/>
      </c>
    </row>
    <row r="64">
      <c r="A64" s="10" t="n"/>
      <c r="B64" s="10" t="n"/>
      <c r="C64" s="10" t="n"/>
      <c r="D64" s="11" t="n"/>
      <c r="E64" s="10" t="n"/>
      <c r="F64" s="10" t="n"/>
      <c r="G64" s="12">
        <f>IF(D64="","",IFERROR(INDEX(DAFTAR_FIXTURE!$B$2:$B$51,MATCH(D64,DAFTAR_FIXTURE!$A$2:$A$51,0)),""))</f>
        <v/>
      </c>
      <c r="H64" s="12">
        <f>IF(G64="","",IF(LEFT(G64,4)="Wall","Wall",IF(LEFT(G64,7)="Gondola","Gondola",IF(LEFT(G64,6)="Pallet","Pallet",IF(LEFT(G64,6)="Endcap","Endcap","")))))</f>
        <v/>
      </c>
      <c r="I64" s="12">
        <f>IF(A64="","",IF(D64="","CEK ID FIXTURE kosong",IF(G64="","CEK ID FIXTURE tidak ada di DAFTAR_FIXTURE",IF(H64="Endcap","CEK Endcap tidak ikut sambung",IF(H64&lt;&gt;B64,"CEK kategori fixture tidak sama dengan KATEGORI",IF(C64="","CEK URUTAN kosong",IF(AND(E64&lt;&gt;"",COUNTIFS(DATA!$I$2:$I$500,E64)=0),"CEK Series tidak ada di DATA","OK")))))))</f>
        <v/>
      </c>
    </row>
    <row r="65">
      <c r="A65" s="10" t="n"/>
      <c r="B65" s="10" t="n"/>
      <c r="C65" s="10" t="n"/>
      <c r="D65" s="11" t="n"/>
      <c r="E65" s="10" t="n"/>
      <c r="F65" s="10" t="n"/>
      <c r="G65" s="12">
        <f>IF(D65="","",IFERROR(INDEX(DAFTAR_FIXTURE!$B$2:$B$51,MATCH(D65,DAFTAR_FIXTURE!$A$2:$A$51,0)),""))</f>
        <v/>
      </c>
      <c r="H65" s="12">
        <f>IF(G65="","",IF(LEFT(G65,4)="Wall","Wall",IF(LEFT(G65,7)="Gondola","Gondola",IF(LEFT(G65,6)="Pallet","Pallet",IF(LEFT(G65,6)="Endcap","Endcap","")))))</f>
        <v/>
      </c>
      <c r="I65" s="12">
        <f>IF(A65="","",IF(D65="","CEK ID FIXTURE kosong",IF(G65="","CEK ID FIXTURE tidak ada di DAFTAR_FIXTURE",IF(H65="Endcap","CEK Endcap tidak ikut sambung",IF(H65&lt;&gt;B65,"CEK kategori fixture tidak sama dengan KATEGORI",IF(C65="","CEK URUTAN kosong",IF(AND(E65&lt;&gt;"",COUNTIFS(DATA!$I$2:$I$500,E65)=0),"CEK Series tidak ada di DATA","OK")))))))</f>
        <v/>
      </c>
    </row>
    <row r="66">
      <c r="A66" s="10" t="n"/>
      <c r="B66" s="10" t="n"/>
      <c r="C66" s="10" t="n"/>
      <c r="D66" s="11" t="n"/>
      <c r="E66" s="10" t="n"/>
      <c r="F66" s="10" t="n"/>
      <c r="G66" s="12">
        <f>IF(D66="","",IFERROR(INDEX(DAFTAR_FIXTURE!$B$2:$B$51,MATCH(D66,DAFTAR_FIXTURE!$A$2:$A$51,0)),""))</f>
        <v/>
      </c>
      <c r="H66" s="12">
        <f>IF(G66="","",IF(LEFT(G66,4)="Wall","Wall",IF(LEFT(G66,7)="Gondola","Gondola",IF(LEFT(G66,6)="Pallet","Pallet",IF(LEFT(G66,6)="Endcap","Endcap","")))))</f>
        <v/>
      </c>
      <c r="I66" s="12">
        <f>IF(A66="","",IF(D66="","CEK ID FIXTURE kosong",IF(G66="","CEK ID FIXTURE tidak ada di DAFTAR_FIXTURE",IF(H66="Endcap","CEK Endcap tidak ikut sambung",IF(H66&lt;&gt;B66,"CEK kategori fixture tidak sama dengan KATEGORI",IF(C66="","CEK URUTAN kosong",IF(AND(E66&lt;&gt;"",COUNTIFS(DATA!$I$2:$I$500,E66)=0),"CEK Series tidak ada di DATA","OK")))))))</f>
        <v/>
      </c>
    </row>
    <row r="67">
      <c r="A67" s="10" t="n"/>
      <c r="B67" s="10" t="n"/>
      <c r="C67" s="10" t="n"/>
      <c r="D67" s="11" t="n"/>
      <c r="E67" s="10" t="n"/>
      <c r="F67" s="10" t="n"/>
      <c r="G67" s="12">
        <f>IF(D67="","",IFERROR(INDEX(DAFTAR_FIXTURE!$B$2:$B$51,MATCH(D67,DAFTAR_FIXTURE!$A$2:$A$51,0)),""))</f>
        <v/>
      </c>
      <c r="H67" s="12">
        <f>IF(G67="","",IF(LEFT(G67,4)="Wall","Wall",IF(LEFT(G67,7)="Gondola","Gondola",IF(LEFT(G67,6)="Pallet","Pallet",IF(LEFT(G67,6)="Endcap","Endcap","")))))</f>
        <v/>
      </c>
      <c r="I67" s="12">
        <f>IF(A67="","",IF(D67="","CEK ID FIXTURE kosong",IF(G67="","CEK ID FIXTURE tidak ada di DAFTAR_FIXTURE",IF(H67="Endcap","CEK Endcap tidak ikut sambung",IF(H67&lt;&gt;B67,"CEK kategori fixture tidak sama dengan KATEGORI",IF(C67="","CEK URUTAN kosong",IF(AND(E67&lt;&gt;"",COUNTIFS(DATA!$I$2:$I$500,E67)=0),"CEK Series tidak ada di DATA","OK")))))))</f>
        <v/>
      </c>
    </row>
    <row r="68">
      <c r="A68" s="10" t="n"/>
      <c r="B68" s="10" t="n"/>
      <c r="C68" s="10" t="n"/>
      <c r="D68" s="11" t="n"/>
      <c r="E68" s="10" t="n"/>
      <c r="F68" s="10" t="n"/>
      <c r="G68" s="12">
        <f>IF(D68="","",IFERROR(INDEX(DAFTAR_FIXTURE!$B$2:$B$51,MATCH(D68,DAFTAR_FIXTURE!$A$2:$A$51,0)),""))</f>
        <v/>
      </c>
      <c r="H68" s="12">
        <f>IF(G68="","",IF(LEFT(G68,4)="Wall","Wall",IF(LEFT(G68,7)="Gondola","Gondola",IF(LEFT(G68,6)="Pallet","Pallet",IF(LEFT(G68,6)="Endcap","Endcap","")))))</f>
        <v/>
      </c>
      <c r="I68" s="12">
        <f>IF(A68="","",IF(D68="","CEK ID FIXTURE kosong",IF(G68="","CEK ID FIXTURE tidak ada di DAFTAR_FIXTURE",IF(H68="Endcap","CEK Endcap tidak ikut sambung",IF(H68&lt;&gt;B68,"CEK kategori fixture tidak sama dengan KATEGORI",IF(C68="","CEK URUTAN kosong",IF(AND(E68&lt;&gt;"",COUNTIFS(DATA!$I$2:$I$500,E68)=0),"CEK Series tidak ada di DATA","OK")))))))</f>
        <v/>
      </c>
    </row>
    <row r="69">
      <c r="A69" s="10" t="n"/>
      <c r="B69" s="10" t="n"/>
      <c r="C69" s="10" t="n"/>
      <c r="D69" s="11" t="n"/>
      <c r="E69" s="10" t="n"/>
      <c r="F69" s="10" t="n"/>
      <c r="G69" s="12">
        <f>IF(D69="","",IFERROR(INDEX(DAFTAR_FIXTURE!$B$2:$B$51,MATCH(D69,DAFTAR_FIXTURE!$A$2:$A$51,0)),""))</f>
        <v/>
      </c>
      <c r="H69" s="12">
        <f>IF(G69="","",IF(LEFT(G69,4)="Wall","Wall",IF(LEFT(G69,7)="Gondola","Gondola",IF(LEFT(G69,6)="Pallet","Pallet",IF(LEFT(G69,6)="Endcap","Endcap","")))))</f>
        <v/>
      </c>
      <c r="I69" s="12">
        <f>IF(A69="","",IF(D69="","CEK ID FIXTURE kosong",IF(G69="","CEK ID FIXTURE tidak ada di DAFTAR_FIXTURE",IF(H69="Endcap","CEK Endcap tidak ikut sambung",IF(H69&lt;&gt;B69,"CEK kategori fixture tidak sama dengan KATEGORI",IF(C69="","CEK URUTAN kosong",IF(AND(E69&lt;&gt;"",COUNTIFS(DATA!$I$2:$I$500,E69)=0),"CEK Series tidak ada di DATA","OK")))))))</f>
        <v/>
      </c>
    </row>
    <row r="70">
      <c r="A70" s="10" t="n"/>
      <c r="B70" s="10" t="n"/>
      <c r="C70" s="10" t="n"/>
      <c r="D70" s="11" t="n"/>
      <c r="E70" s="10" t="n"/>
      <c r="F70" s="10" t="n"/>
      <c r="G70" s="12">
        <f>IF(D70="","",IFERROR(INDEX(DAFTAR_FIXTURE!$B$2:$B$51,MATCH(D70,DAFTAR_FIXTURE!$A$2:$A$51,0)),""))</f>
        <v/>
      </c>
      <c r="H70" s="12">
        <f>IF(G70="","",IF(LEFT(G70,4)="Wall","Wall",IF(LEFT(G70,7)="Gondola","Gondola",IF(LEFT(G70,6)="Pallet","Pallet",IF(LEFT(G70,6)="Endcap","Endcap","")))))</f>
        <v/>
      </c>
      <c r="I70" s="12">
        <f>IF(A70="","",IF(D70="","CEK ID FIXTURE kosong",IF(G70="","CEK ID FIXTURE tidak ada di DAFTAR_FIXTURE",IF(H70="Endcap","CEK Endcap tidak ikut sambung",IF(H70&lt;&gt;B70,"CEK kategori fixture tidak sama dengan KATEGORI",IF(C70="","CEK URUTAN kosong",IF(AND(E70&lt;&gt;"",COUNTIFS(DATA!$I$2:$I$500,E70)=0),"CEK Series tidak ada di DATA","OK")))))))</f>
        <v/>
      </c>
    </row>
    <row r="71">
      <c r="A71" s="10" t="n"/>
      <c r="B71" s="10" t="n"/>
      <c r="C71" s="10" t="n"/>
      <c r="D71" s="11" t="n"/>
      <c r="E71" s="10" t="n"/>
      <c r="F71" s="10" t="n"/>
      <c r="G71" s="12">
        <f>IF(D71="","",IFERROR(INDEX(DAFTAR_FIXTURE!$B$2:$B$51,MATCH(D71,DAFTAR_FIXTURE!$A$2:$A$51,0)),""))</f>
        <v/>
      </c>
      <c r="H71" s="12">
        <f>IF(G71="","",IF(LEFT(G71,4)="Wall","Wall",IF(LEFT(G71,7)="Gondola","Gondola",IF(LEFT(G71,6)="Pallet","Pallet",IF(LEFT(G71,6)="Endcap","Endcap","")))))</f>
        <v/>
      </c>
      <c r="I71" s="12">
        <f>IF(A71="","",IF(D71="","CEK ID FIXTURE kosong",IF(G71="","CEK ID FIXTURE tidak ada di DAFTAR_FIXTURE",IF(H71="Endcap","CEK Endcap tidak ikut sambung",IF(H71&lt;&gt;B71,"CEK kategori fixture tidak sama dengan KATEGORI",IF(C71="","CEK URUTAN kosong",IF(AND(E71&lt;&gt;"",COUNTIFS(DATA!$I$2:$I$500,E71)=0),"CEK Series tidak ada di DATA","OK")))))))</f>
        <v/>
      </c>
    </row>
    <row r="72">
      <c r="A72" s="10" t="n"/>
      <c r="B72" s="10" t="n"/>
      <c r="C72" s="10" t="n"/>
      <c r="D72" s="11" t="n"/>
      <c r="E72" s="10" t="n"/>
      <c r="F72" s="10" t="n"/>
      <c r="G72" s="12">
        <f>IF(D72="","",IFERROR(INDEX(DAFTAR_FIXTURE!$B$2:$B$51,MATCH(D72,DAFTAR_FIXTURE!$A$2:$A$51,0)),""))</f>
        <v/>
      </c>
      <c r="H72" s="12">
        <f>IF(G72="","",IF(LEFT(G72,4)="Wall","Wall",IF(LEFT(G72,7)="Gondola","Gondola",IF(LEFT(G72,6)="Pallet","Pallet",IF(LEFT(G72,6)="Endcap","Endcap","")))))</f>
        <v/>
      </c>
      <c r="I72" s="12">
        <f>IF(A72="","",IF(D72="","CEK ID FIXTURE kosong",IF(G72="","CEK ID FIXTURE tidak ada di DAFTAR_FIXTURE",IF(H72="Endcap","CEK Endcap tidak ikut sambung",IF(H72&lt;&gt;B72,"CEK kategori fixture tidak sama dengan KATEGORI",IF(C72="","CEK URUTAN kosong",IF(AND(E72&lt;&gt;"",COUNTIFS(DATA!$I$2:$I$500,E72)=0),"CEK Series tidak ada di DATA","OK")))))))</f>
        <v/>
      </c>
    </row>
    <row r="73">
      <c r="A73" s="10" t="n"/>
      <c r="B73" s="10" t="n"/>
      <c r="C73" s="10" t="n"/>
      <c r="D73" s="11" t="n"/>
      <c r="E73" s="10" t="n"/>
      <c r="F73" s="10" t="n"/>
      <c r="G73" s="12">
        <f>IF(D73="","",IFERROR(INDEX(DAFTAR_FIXTURE!$B$2:$B$51,MATCH(D73,DAFTAR_FIXTURE!$A$2:$A$51,0)),""))</f>
        <v/>
      </c>
      <c r="H73" s="12">
        <f>IF(G73="","",IF(LEFT(G73,4)="Wall","Wall",IF(LEFT(G73,7)="Gondola","Gondola",IF(LEFT(G73,6)="Pallet","Pallet",IF(LEFT(G73,6)="Endcap","Endcap","")))))</f>
        <v/>
      </c>
      <c r="I73" s="12">
        <f>IF(A73="","",IF(D73="","CEK ID FIXTURE kosong",IF(G73="","CEK ID FIXTURE tidak ada di DAFTAR_FIXTURE",IF(H73="Endcap","CEK Endcap tidak ikut sambung",IF(H73&lt;&gt;B73,"CEK kategori fixture tidak sama dengan KATEGORI",IF(C73="","CEK URUTAN kosong",IF(AND(E73&lt;&gt;"",COUNTIFS(DATA!$I$2:$I$500,E73)=0),"CEK Series tidak ada di DATA","OK")))))))</f>
        <v/>
      </c>
    </row>
    <row r="74">
      <c r="A74" s="10" t="n"/>
      <c r="B74" s="10" t="n"/>
      <c r="C74" s="10" t="n"/>
      <c r="D74" s="11" t="n"/>
      <c r="E74" s="10" t="n"/>
      <c r="F74" s="10" t="n"/>
      <c r="G74" s="12">
        <f>IF(D74="","",IFERROR(INDEX(DAFTAR_FIXTURE!$B$2:$B$51,MATCH(D74,DAFTAR_FIXTURE!$A$2:$A$51,0)),""))</f>
        <v/>
      </c>
      <c r="H74" s="12">
        <f>IF(G74="","",IF(LEFT(G74,4)="Wall","Wall",IF(LEFT(G74,7)="Gondola","Gondola",IF(LEFT(G74,6)="Pallet","Pallet",IF(LEFT(G74,6)="Endcap","Endcap","")))))</f>
        <v/>
      </c>
      <c r="I74" s="12">
        <f>IF(A74="","",IF(D74="","CEK ID FIXTURE kosong",IF(G74="","CEK ID FIXTURE tidak ada di DAFTAR_FIXTURE",IF(H74="Endcap","CEK Endcap tidak ikut sambung",IF(H74&lt;&gt;B74,"CEK kategori fixture tidak sama dengan KATEGORI",IF(C74="","CEK URUTAN kosong",IF(AND(E74&lt;&gt;"",COUNTIFS(DATA!$I$2:$I$500,E74)=0),"CEK Series tidak ada di DATA","OK")))))))</f>
        <v/>
      </c>
    </row>
    <row r="75">
      <c r="A75" s="10" t="n"/>
      <c r="B75" s="10" t="n"/>
      <c r="C75" s="10" t="n"/>
      <c r="D75" s="11" t="n"/>
      <c r="E75" s="10" t="n"/>
      <c r="F75" s="10" t="n"/>
      <c r="G75" s="12">
        <f>IF(D75="","",IFERROR(INDEX(DAFTAR_FIXTURE!$B$2:$B$51,MATCH(D75,DAFTAR_FIXTURE!$A$2:$A$51,0)),""))</f>
        <v/>
      </c>
      <c r="H75" s="12">
        <f>IF(G75="","",IF(LEFT(G75,4)="Wall","Wall",IF(LEFT(G75,7)="Gondola","Gondola",IF(LEFT(G75,6)="Pallet","Pallet",IF(LEFT(G75,6)="Endcap","Endcap","")))))</f>
        <v/>
      </c>
      <c r="I75" s="12">
        <f>IF(A75="","",IF(D75="","CEK ID FIXTURE kosong",IF(G75="","CEK ID FIXTURE tidak ada di DAFTAR_FIXTURE",IF(H75="Endcap","CEK Endcap tidak ikut sambung",IF(H75&lt;&gt;B75,"CEK kategori fixture tidak sama dengan KATEGORI",IF(C75="","CEK URUTAN kosong",IF(AND(E75&lt;&gt;"",COUNTIFS(DATA!$I$2:$I$500,E75)=0),"CEK Series tidak ada di DATA","OK")))))))</f>
        <v/>
      </c>
    </row>
    <row r="76">
      <c r="A76" s="10" t="n"/>
      <c r="B76" s="10" t="n"/>
      <c r="C76" s="10" t="n"/>
      <c r="D76" s="11" t="n"/>
      <c r="E76" s="10" t="n"/>
      <c r="F76" s="10" t="n"/>
      <c r="G76" s="12">
        <f>IF(D76="","",IFERROR(INDEX(DAFTAR_FIXTURE!$B$2:$B$51,MATCH(D76,DAFTAR_FIXTURE!$A$2:$A$51,0)),""))</f>
        <v/>
      </c>
      <c r="H76" s="12">
        <f>IF(G76="","",IF(LEFT(G76,4)="Wall","Wall",IF(LEFT(G76,7)="Gondola","Gondola",IF(LEFT(G76,6)="Pallet","Pallet",IF(LEFT(G76,6)="Endcap","Endcap","")))))</f>
        <v/>
      </c>
      <c r="I76" s="12">
        <f>IF(A76="","",IF(D76="","CEK ID FIXTURE kosong",IF(G76="","CEK ID FIXTURE tidak ada di DAFTAR_FIXTURE",IF(H76="Endcap","CEK Endcap tidak ikut sambung",IF(H76&lt;&gt;B76,"CEK kategori fixture tidak sama dengan KATEGORI",IF(C76="","CEK URUTAN kosong",IF(AND(E76&lt;&gt;"",COUNTIFS(DATA!$I$2:$I$500,E76)=0),"CEK Series tidak ada di DATA","OK")))))))</f>
        <v/>
      </c>
    </row>
    <row r="77">
      <c r="A77" s="10" t="n"/>
      <c r="B77" s="10" t="n"/>
      <c r="C77" s="10" t="n"/>
      <c r="D77" s="11" t="n"/>
      <c r="E77" s="10" t="n"/>
      <c r="F77" s="10" t="n"/>
      <c r="G77" s="12">
        <f>IF(D77="","",IFERROR(INDEX(DAFTAR_FIXTURE!$B$2:$B$51,MATCH(D77,DAFTAR_FIXTURE!$A$2:$A$51,0)),""))</f>
        <v/>
      </c>
      <c r="H77" s="12">
        <f>IF(G77="","",IF(LEFT(G77,4)="Wall","Wall",IF(LEFT(G77,7)="Gondola","Gondola",IF(LEFT(G77,6)="Pallet","Pallet",IF(LEFT(G77,6)="Endcap","Endcap","")))))</f>
        <v/>
      </c>
      <c r="I77" s="12">
        <f>IF(A77="","",IF(D77="","CEK ID FIXTURE kosong",IF(G77="","CEK ID FIXTURE tidak ada di DAFTAR_FIXTURE",IF(H77="Endcap","CEK Endcap tidak ikut sambung",IF(H77&lt;&gt;B77,"CEK kategori fixture tidak sama dengan KATEGORI",IF(C77="","CEK URUTAN kosong",IF(AND(E77&lt;&gt;"",COUNTIFS(DATA!$I$2:$I$500,E77)=0),"CEK Series tidak ada di DATA","OK")))))))</f>
        <v/>
      </c>
    </row>
    <row r="78">
      <c r="A78" s="10" t="n"/>
      <c r="B78" s="10" t="n"/>
      <c r="C78" s="10" t="n"/>
      <c r="D78" s="11" t="n"/>
      <c r="E78" s="10" t="n"/>
      <c r="F78" s="10" t="n"/>
      <c r="G78" s="12">
        <f>IF(D78="","",IFERROR(INDEX(DAFTAR_FIXTURE!$B$2:$B$51,MATCH(D78,DAFTAR_FIXTURE!$A$2:$A$51,0)),""))</f>
        <v/>
      </c>
      <c r="H78" s="12">
        <f>IF(G78="","",IF(LEFT(G78,4)="Wall","Wall",IF(LEFT(G78,7)="Gondola","Gondola",IF(LEFT(G78,6)="Pallet","Pallet",IF(LEFT(G78,6)="Endcap","Endcap","")))))</f>
        <v/>
      </c>
      <c r="I78" s="12">
        <f>IF(A78="","",IF(D78="","CEK ID FIXTURE kosong",IF(G78="","CEK ID FIXTURE tidak ada di DAFTAR_FIXTURE",IF(H78="Endcap","CEK Endcap tidak ikut sambung",IF(H78&lt;&gt;B78,"CEK kategori fixture tidak sama dengan KATEGORI",IF(C78="","CEK URUTAN kosong",IF(AND(E78&lt;&gt;"",COUNTIFS(DATA!$I$2:$I$500,E78)=0),"CEK Series tidak ada di DATA","OK")))))))</f>
        <v/>
      </c>
    </row>
    <row r="79">
      <c r="A79" s="10" t="n"/>
      <c r="B79" s="10" t="n"/>
      <c r="C79" s="10" t="n"/>
      <c r="D79" s="11" t="n"/>
      <c r="E79" s="10" t="n"/>
      <c r="F79" s="10" t="n"/>
      <c r="G79" s="12">
        <f>IF(D79="","",IFERROR(INDEX(DAFTAR_FIXTURE!$B$2:$B$51,MATCH(D79,DAFTAR_FIXTURE!$A$2:$A$51,0)),""))</f>
        <v/>
      </c>
      <c r="H79" s="12">
        <f>IF(G79="","",IF(LEFT(G79,4)="Wall","Wall",IF(LEFT(G79,7)="Gondola","Gondola",IF(LEFT(G79,6)="Pallet","Pallet",IF(LEFT(G79,6)="Endcap","Endcap","")))))</f>
        <v/>
      </c>
      <c r="I79" s="12">
        <f>IF(A79="","",IF(D79="","CEK ID FIXTURE kosong",IF(G79="","CEK ID FIXTURE tidak ada di DAFTAR_FIXTURE",IF(H79="Endcap","CEK Endcap tidak ikut sambung",IF(H79&lt;&gt;B79,"CEK kategori fixture tidak sama dengan KATEGORI",IF(C79="","CEK URUTAN kosong",IF(AND(E79&lt;&gt;"",COUNTIFS(DATA!$I$2:$I$500,E79)=0),"CEK Series tidak ada di DATA","OK")))))))</f>
        <v/>
      </c>
    </row>
    <row r="80">
      <c r="A80" s="10" t="n"/>
      <c r="B80" s="10" t="n"/>
      <c r="C80" s="10" t="n"/>
      <c r="D80" s="11" t="n"/>
      <c r="E80" s="10" t="n"/>
      <c r="F80" s="10" t="n"/>
      <c r="G80" s="12">
        <f>IF(D80="","",IFERROR(INDEX(DAFTAR_FIXTURE!$B$2:$B$51,MATCH(D80,DAFTAR_FIXTURE!$A$2:$A$51,0)),""))</f>
        <v/>
      </c>
      <c r="H80" s="12">
        <f>IF(G80="","",IF(LEFT(G80,4)="Wall","Wall",IF(LEFT(G80,7)="Gondola","Gondola",IF(LEFT(G80,6)="Pallet","Pallet",IF(LEFT(G80,6)="Endcap","Endcap","")))))</f>
        <v/>
      </c>
      <c r="I80" s="12">
        <f>IF(A80="","",IF(D80="","CEK ID FIXTURE kosong",IF(G80="","CEK ID FIXTURE tidak ada di DAFTAR_FIXTURE",IF(H80="Endcap","CEK Endcap tidak ikut sambung",IF(H80&lt;&gt;B80,"CEK kategori fixture tidak sama dengan KATEGORI",IF(C80="","CEK URUTAN kosong",IF(AND(E80&lt;&gt;"",COUNTIFS(DATA!$I$2:$I$500,E80)=0),"CEK Series tidak ada di DATA","OK")))))))</f>
        <v/>
      </c>
    </row>
    <row r="81">
      <c r="A81" s="10" t="n"/>
      <c r="B81" s="10" t="n"/>
      <c r="C81" s="10" t="n"/>
      <c r="D81" s="11" t="n"/>
      <c r="E81" s="10" t="n"/>
      <c r="F81" s="10" t="n"/>
      <c r="G81" s="12">
        <f>IF(D81="","",IFERROR(INDEX(DAFTAR_FIXTURE!$B$2:$B$51,MATCH(D81,DAFTAR_FIXTURE!$A$2:$A$51,0)),""))</f>
        <v/>
      </c>
      <c r="H81" s="12">
        <f>IF(G81="","",IF(LEFT(G81,4)="Wall","Wall",IF(LEFT(G81,7)="Gondola","Gondola",IF(LEFT(G81,6)="Pallet","Pallet",IF(LEFT(G81,6)="Endcap","Endcap","")))))</f>
        <v/>
      </c>
      <c r="I81" s="12">
        <f>IF(A81="","",IF(D81="","CEK ID FIXTURE kosong",IF(G81="","CEK ID FIXTURE tidak ada di DAFTAR_FIXTURE",IF(H81="Endcap","CEK Endcap tidak ikut sambung",IF(H81&lt;&gt;B81,"CEK kategori fixture tidak sama dengan KATEGORI",IF(C81="","CEK URUTAN kosong",IF(AND(E81&lt;&gt;"",COUNTIFS(DATA!$I$2:$I$500,E81)=0),"CEK Series tidak ada di DATA","OK")))))))</f>
        <v/>
      </c>
    </row>
    <row r="82">
      <c r="A82" s="10" t="n"/>
      <c r="B82" s="10" t="n"/>
      <c r="C82" s="10" t="n"/>
      <c r="D82" s="11" t="n"/>
      <c r="E82" s="10" t="n"/>
      <c r="F82" s="10" t="n"/>
      <c r="G82" s="12">
        <f>IF(D82="","",IFERROR(INDEX(DAFTAR_FIXTURE!$B$2:$B$51,MATCH(D82,DAFTAR_FIXTURE!$A$2:$A$51,0)),""))</f>
        <v/>
      </c>
      <c r="H82" s="12">
        <f>IF(G82="","",IF(LEFT(G82,4)="Wall","Wall",IF(LEFT(G82,7)="Gondola","Gondola",IF(LEFT(G82,6)="Pallet","Pallet",IF(LEFT(G82,6)="Endcap","Endcap","")))))</f>
        <v/>
      </c>
      <c r="I82" s="12">
        <f>IF(A82="","",IF(D82="","CEK ID FIXTURE kosong",IF(G82="","CEK ID FIXTURE tidak ada di DAFTAR_FIXTURE",IF(H82="Endcap","CEK Endcap tidak ikut sambung",IF(H82&lt;&gt;B82,"CEK kategori fixture tidak sama dengan KATEGORI",IF(C82="","CEK URUTAN kosong",IF(AND(E82&lt;&gt;"",COUNTIFS(DATA!$I$2:$I$500,E82)=0),"CEK Series tidak ada di DATA","OK")))))))</f>
        <v/>
      </c>
    </row>
    <row r="83">
      <c r="A83" s="10" t="n"/>
      <c r="B83" s="10" t="n"/>
      <c r="C83" s="10" t="n"/>
      <c r="D83" s="11" t="n"/>
      <c r="E83" s="10" t="n"/>
      <c r="F83" s="10" t="n"/>
      <c r="G83" s="12">
        <f>IF(D83="","",IFERROR(INDEX(DAFTAR_FIXTURE!$B$2:$B$51,MATCH(D83,DAFTAR_FIXTURE!$A$2:$A$51,0)),""))</f>
        <v/>
      </c>
      <c r="H83" s="12">
        <f>IF(G83="","",IF(LEFT(G83,4)="Wall","Wall",IF(LEFT(G83,7)="Gondola","Gondola",IF(LEFT(G83,6)="Pallet","Pallet",IF(LEFT(G83,6)="Endcap","Endcap","")))))</f>
        <v/>
      </c>
      <c r="I83" s="12">
        <f>IF(A83="","",IF(D83="","CEK ID FIXTURE kosong",IF(G83="","CEK ID FIXTURE tidak ada di DAFTAR_FIXTURE",IF(H83="Endcap","CEK Endcap tidak ikut sambung",IF(H83&lt;&gt;B83,"CEK kategori fixture tidak sama dengan KATEGORI",IF(C83="","CEK URUTAN kosong",IF(AND(E83&lt;&gt;"",COUNTIFS(DATA!$I$2:$I$500,E83)=0),"CEK Series tidak ada di DATA","OK")))))))</f>
        <v/>
      </c>
    </row>
    <row r="84">
      <c r="A84" s="10" t="n"/>
      <c r="B84" s="10" t="n"/>
      <c r="C84" s="10" t="n"/>
      <c r="D84" s="11" t="n"/>
      <c r="E84" s="10" t="n"/>
      <c r="F84" s="10" t="n"/>
      <c r="G84" s="12">
        <f>IF(D84="","",IFERROR(INDEX(DAFTAR_FIXTURE!$B$2:$B$51,MATCH(D84,DAFTAR_FIXTURE!$A$2:$A$51,0)),""))</f>
        <v/>
      </c>
      <c r="H84" s="12">
        <f>IF(G84="","",IF(LEFT(G84,4)="Wall","Wall",IF(LEFT(G84,7)="Gondola","Gondola",IF(LEFT(G84,6)="Pallet","Pallet",IF(LEFT(G84,6)="Endcap","Endcap","")))))</f>
        <v/>
      </c>
      <c r="I84" s="12">
        <f>IF(A84="","",IF(D84="","CEK ID FIXTURE kosong",IF(G84="","CEK ID FIXTURE tidak ada di DAFTAR_FIXTURE",IF(H84="Endcap","CEK Endcap tidak ikut sambung",IF(H84&lt;&gt;B84,"CEK kategori fixture tidak sama dengan KATEGORI",IF(C84="","CEK URUTAN kosong",IF(AND(E84&lt;&gt;"",COUNTIFS(DATA!$I$2:$I$500,E84)=0),"CEK Series tidak ada di DATA","OK")))))))</f>
        <v/>
      </c>
    </row>
    <row r="85">
      <c r="A85" s="10" t="n"/>
      <c r="B85" s="10" t="n"/>
      <c r="C85" s="10" t="n"/>
      <c r="D85" s="11" t="n"/>
      <c r="E85" s="10" t="n"/>
      <c r="F85" s="10" t="n"/>
      <c r="G85" s="12">
        <f>IF(D85="","",IFERROR(INDEX(DAFTAR_FIXTURE!$B$2:$B$51,MATCH(D85,DAFTAR_FIXTURE!$A$2:$A$51,0)),""))</f>
        <v/>
      </c>
      <c r="H85" s="12">
        <f>IF(G85="","",IF(LEFT(G85,4)="Wall","Wall",IF(LEFT(G85,7)="Gondola","Gondola",IF(LEFT(G85,6)="Pallet","Pallet",IF(LEFT(G85,6)="Endcap","Endcap","")))))</f>
        <v/>
      </c>
      <c r="I85" s="12">
        <f>IF(A85="","",IF(D85="","CEK ID FIXTURE kosong",IF(G85="","CEK ID FIXTURE tidak ada di DAFTAR_FIXTURE",IF(H85="Endcap","CEK Endcap tidak ikut sambung",IF(H85&lt;&gt;B85,"CEK kategori fixture tidak sama dengan KATEGORI",IF(C85="","CEK URUTAN kosong",IF(AND(E85&lt;&gt;"",COUNTIFS(DATA!$I$2:$I$500,E85)=0),"CEK Series tidak ada di DATA","OK")))))))</f>
        <v/>
      </c>
    </row>
    <row r="86">
      <c r="A86" s="10" t="n"/>
      <c r="B86" s="10" t="n"/>
      <c r="C86" s="10" t="n"/>
      <c r="D86" s="11" t="n"/>
      <c r="E86" s="10" t="n"/>
      <c r="F86" s="10" t="n"/>
      <c r="G86" s="12">
        <f>IF(D86="","",IFERROR(INDEX(DAFTAR_FIXTURE!$B$2:$B$51,MATCH(D86,DAFTAR_FIXTURE!$A$2:$A$51,0)),""))</f>
        <v/>
      </c>
      <c r="H86" s="12">
        <f>IF(G86="","",IF(LEFT(G86,4)="Wall","Wall",IF(LEFT(G86,7)="Gondola","Gondola",IF(LEFT(G86,6)="Pallet","Pallet",IF(LEFT(G86,6)="Endcap","Endcap","")))))</f>
        <v/>
      </c>
      <c r="I86" s="12">
        <f>IF(A86="","",IF(D86="","CEK ID FIXTURE kosong",IF(G86="","CEK ID FIXTURE tidak ada di DAFTAR_FIXTURE",IF(H86="Endcap","CEK Endcap tidak ikut sambung",IF(H86&lt;&gt;B86,"CEK kategori fixture tidak sama dengan KATEGORI",IF(C86="","CEK URUTAN kosong",IF(AND(E86&lt;&gt;"",COUNTIFS(DATA!$I$2:$I$500,E86)=0),"CEK Series tidak ada di DATA","OK")))))))</f>
        <v/>
      </c>
    </row>
    <row r="87">
      <c r="A87" s="10" t="n"/>
      <c r="B87" s="10" t="n"/>
      <c r="C87" s="10" t="n"/>
      <c r="D87" s="11" t="n"/>
      <c r="E87" s="10" t="n"/>
      <c r="F87" s="10" t="n"/>
      <c r="G87" s="12">
        <f>IF(D87="","",IFERROR(INDEX(DAFTAR_FIXTURE!$B$2:$B$51,MATCH(D87,DAFTAR_FIXTURE!$A$2:$A$51,0)),""))</f>
        <v/>
      </c>
      <c r="H87" s="12">
        <f>IF(G87="","",IF(LEFT(G87,4)="Wall","Wall",IF(LEFT(G87,7)="Gondola","Gondola",IF(LEFT(G87,6)="Pallet","Pallet",IF(LEFT(G87,6)="Endcap","Endcap","")))))</f>
        <v/>
      </c>
      <c r="I87" s="12">
        <f>IF(A87="","",IF(D87="","CEK ID FIXTURE kosong",IF(G87="","CEK ID FIXTURE tidak ada di DAFTAR_FIXTURE",IF(H87="Endcap","CEK Endcap tidak ikut sambung",IF(H87&lt;&gt;B87,"CEK kategori fixture tidak sama dengan KATEGORI",IF(C87="","CEK URUTAN kosong",IF(AND(E87&lt;&gt;"",COUNTIFS(DATA!$I$2:$I$500,E87)=0),"CEK Series tidak ada di DATA","OK")))))))</f>
        <v/>
      </c>
    </row>
    <row r="88">
      <c r="A88" s="10" t="n"/>
      <c r="B88" s="10" t="n"/>
      <c r="C88" s="10" t="n"/>
      <c r="D88" s="11" t="n"/>
      <c r="E88" s="10" t="n"/>
      <c r="F88" s="10" t="n"/>
      <c r="G88" s="12">
        <f>IF(D88="","",IFERROR(INDEX(DAFTAR_FIXTURE!$B$2:$B$51,MATCH(D88,DAFTAR_FIXTURE!$A$2:$A$51,0)),""))</f>
        <v/>
      </c>
      <c r="H88" s="12">
        <f>IF(G88="","",IF(LEFT(G88,4)="Wall","Wall",IF(LEFT(G88,7)="Gondola","Gondola",IF(LEFT(G88,6)="Pallet","Pallet",IF(LEFT(G88,6)="Endcap","Endcap","")))))</f>
        <v/>
      </c>
      <c r="I88" s="12">
        <f>IF(A88="","",IF(D88="","CEK ID FIXTURE kosong",IF(G88="","CEK ID FIXTURE tidak ada di DAFTAR_FIXTURE",IF(H88="Endcap","CEK Endcap tidak ikut sambung",IF(H88&lt;&gt;B88,"CEK kategori fixture tidak sama dengan KATEGORI",IF(C88="","CEK URUTAN kosong",IF(AND(E88&lt;&gt;"",COUNTIFS(DATA!$I$2:$I$500,E88)=0),"CEK Series tidak ada di DATA","OK")))))))</f>
        <v/>
      </c>
    </row>
    <row r="89">
      <c r="A89" s="10" t="n"/>
      <c r="B89" s="10" t="n"/>
      <c r="C89" s="10" t="n"/>
      <c r="D89" s="11" t="n"/>
      <c r="E89" s="10" t="n"/>
      <c r="F89" s="10" t="n"/>
      <c r="G89" s="12">
        <f>IF(D89="","",IFERROR(INDEX(DAFTAR_FIXTURE!$B$2:$B$51,MATCH(D89,DAFTAR_FIXTURE!$A$2:$A$51,0)),""))</f>
        <v/>
      </c>
      <c r="H89" s="12">
        <f>IF(G89="","",IF(LEFT(G89,4)="Wall","Wall",IF(LEFT(G89,7)="Gondola","Gondola",IF(LEFT(G89,6)="Pallet","Pallet",IF(LEFT(G89,6)="Endcap","Endcap","")))))</f>
        <v/>
      </c>
      <c r="I89" s="12">
        <f>IF(A89="","",IF(D89="","CEK ID FIXTURE kosong",IF(G89="","CEK ID FIXTURE tidak ada di DAFTAR_FIXTURE",IF(H89="Endcap","CEK Endcap tidak ikut sambung",IF(H89&lt;&gt;B89,"CEK kategori fixture tidak sama dengan KATEGORI",IF(C89="","CEK URUTAN kosong",IF(AND(E89&lt;&gt;"",COUNTIFS(DATA!$I$2:$I$500,E89)=0),"CEK Series tidak ada di DATA","OK")))))))</f>
        <v/>
      </c>
    </row>
    <row r="90">
      <c r="A90" s="10" t="n"/>
      <c r="B90" s="10" t="n"/>
      <c r="C90" s="10" t="n"/>
      <c r="D90" s="11" t="n"/>
      <c r="E90" s="10" t="n"/>
      <c r="F90" s="10" t="n"/>
      <c r="G90" s="12">
        <f>IF(D90="","",IFERROR(INDEX(DAFTAR_FIXTURE!$B$2:$B$51,MATCH(D90,DAFTAR_FIXTURE!$A$2:$A$51,0)),""))</f>
        <v/>
      </c>
      <c r="H90" s="12">
        <f>IF(G90="","",IF(LEFT(G90,4)="Wall","Wall",IF(LEFT(G90,7)="Gondola","Gondola",IF(LEFT(G90,6)="Pallet","Pallet",IF(LEFT(G90,6)="Endcap","Endcap","")))))</f>
        <v/>
      </c>
      <c r="I90" s="12">
        <f>IF(A90="","",IF(D90="","CEK ID FIXTURE kosong",IF(G90="","CEK ID FIXTURE tidak ada di DAFTAR_FIXTURE",IF(H90="Endcap","CEK Endcap tidak ikut sambung",IF(H90&lt;&gt;B90,"CEK kategori fixture tidak sama dengan KATEGORI",IF(C90="","CEK URUTAN kosong",IF(AND(E90&lt;&gt;"",COUNTIFS(DATA!$I$2:$I$500,E90)=0),"CEK Series tidak ada di DATA","OK")))))))</f>
        <v/>
      </c>
    </row>
    <row r="91">
      <c r="A91" s="10" t="n"/>
      <c r="B91" s="10" t="n"/>
      <c r="C91" s="10" t="n"/>
      <c r="D91" s="11" t="n"/>
      <c r="E91" s="10" t="n"/>
      <c r="F91" s="10" t="n"/>
      <c r="G91" s="12">
        <f>IF(D91="","",IFERROR(INDEX(DAFTAR_FIXTURE!$B$2:$B$51,MATCH(D91,DAFTAR_FIXTURE!$A$2:$A$51,0)),""))</f>
        <v/>
      </c>
      <c r="H91" s="12">
        <f>IF(G91="","",IF(LEFT(G91,4)="Wall","Wall",IF(LEFT(G91,7)="Gondola","Gondola",IF(LEFT(G91,6)="Pallet","Pallet",IF(LEFT(G91,6)="Endcap","Endcap","")))))</f>
        <v/>
      </c>
      <c r="I91" s="12">
        <f>IF(A91="","",IF(D91="","CEK ID FIXTURE kosong",IF(G91="","CEK ID FIXTURE tidak ada di DAFTAR_FIXTURE",IF(H91="Endcap","CEK Endcap tidak ikut sambung",IF(H91&lt;&gt;B91,"CEK kategori fixture tidak sama dengan KATEGORI",IF(C91="","CEK URUTAN kosong",IF(AND(E91&lt;&gt;"",COUNTIFS(DATA!$I$2:$I$500,E91)=0),"CEK Series tidak ada di DATA","OK")))))))</f>
        <v/>
      </c>
    </row>
    <row r="92">
      <c r="A92" s="10" t="n"/>
      <c r="B92" s="10" t="n"/>
      <c r="C92" s="10" t="n"/>
      <c r="D92" s="11" t="n"/>
      <c r="E92" s="10" t="n"/>
      <c r="F92" s="10" t="n"/>
      <c r="G92" s="12">
        <f>IF(D92="","",IFERROR(INDEX(DAFTAR_FIXTURE!$B$2:$B$51,MATCH(D92,DAFTAR_FIXTURE!$A$2:$A$51,0)),""))</f>
        <v/>
      </c>
      <c r="H92" s="12">
        <f>IF(G92="","",IF(LEFT(G92,4)="Wall","Wall",IF(LEFT(G92,7)="Gondola","Gondola",IF(LEFT(G92,6)="Pallet","Pallet",IF(LEFT(G92,6)="Endcap","Endcap","")))))</f>
        <v/>
      </c>
      <c r="I92" s="12">
        <f>IF(A92="","",IF(D92="","CEK ID FIXTURE kosong",IF(G92="","CEK ID FIXTURE tidak ada di DAFTAR_FIXTURE",IF(H92="Endcap","CEK Endcap tidak ikut sambung",IF(H92&lt;&gt;B92,"CEK kategori fixture tidak sama dengan KATEGORI",IF(C92="","CEK URUTAN kosong",IF(AND(E92&lt;&gt;"",COUNTIFS(DATA!$I$2:$I$500,E92)=0),"CEK Series tidak ada di DATA","OK")))))))</f>
        <v/>
      </c>
    </row>
    <row r="93">
      <c r="A93" s="10" t="n"/>
      <c r="B93" s="10" t="n"/>
      <c r="C93" s="10" t="n"/>
      <c r="D93" s="11" t="n"/>
      <c r="E93" s="10" t="n"/>
      <c r="F93" s="10" t="n"/>
      <c r="G93" s="12">
        <f>IF(D93="","",IFERROR(INDEX(DAFTAR_FIXTURE!$B$2:$B$51,MATCH(D93,DAFTAR_FIXTURE!$A$2:$A$51,0)),""))</f>
        <v/>
      </c>
      <c r="H93" s="12">
        <f>IF(G93="","",IF(LEFT(G93,4)="Wall","Wall",IF(LEFT(G93,7)="Gondola","Gondola",IF(LEFT(G93,6)="Pallet","Pallet",IF(LEFT(G93,6)="Endcap","Endcap","")))))</f>
        <v/>
      </c>
      <c r="I93" s="12">
        <f>IF(A93="","",IF(D93="","CEK ID FIXTURE kosong",IF(G93="","CEK ID FIXTURE tidak ada di DAFTAR_FIXTURE",IF(H93="Endcap","CEK Endcap tidak ikut sambung",IF(H93&lt;&gt;B93,"CEK kategori fixture tidak sama dengan KATEGORI",IF(C93="","CEK URUTAN kosong",IF(AND(E93&lt;&gt;"",COUNTIFS(DATA!$I$2:$I$500,E93)=0),"CEK Series tidak ada di DATA","OK")))))))</f>
        <v/>
      </c>
    </row>
    <row r="94">
      <c r="A94" s="10" t="n"/>
      <c r="B94" s="10" t="n"/>
      <c r="C94" s="10" t="n"/>
      <c r="D94" s="11" t="n"/>
      <c r="E94" s="10" t="n"/>
      <c r="F94" s="10" t="n"/>
      <c r="G94" s="12">
        <f>IF(D94="","",IFERROR(INDEX(DAFTAR_FIXTURE!$B$2:$B$51,MATCH(D94,DAFTAR_FIXTURE!$A$2:$A$51,0)),""))</f>
        <v/>
      </c>
      <c r="H94" s="12">
        <f>IF(G94="","",IF(LEFT(G94,4)="Wall","Wall",IF(LEFT(G94,7)="Gondola","Gondola",IF(LEFT(G94,6)="Pallet","Pallet",IF(LEFT(G94,6)="Endcap","Endcap","")))))</f>
        <v/>
      </c>
      <c r="I94" s="12">
        <f>IF(A94="","",IF(D94="","CEK ID FIXTURE kosong",IF(G94="","CEK ID FIXTURE tidak ada di DAFTAR_FIXTURE",IF(H94="Endcap","CEK Endcap tidak ikut sambung",IF(H94&lt;&gt;B94,"CEK kategori fixture tidak sama dengan KATEGORI",IF(C94="","CEK URUTAN kosong",IF(AND(E94&lt;&gt;"",COUNTIFS(DATA!$I$2:$I$500,E94)=0),"CEK Series tidak ada di DATA","OK")))))))</f>
        <v/>
      </c>
    </row>
    <row r="95">
      <c r="A95" s="10" t="n"/>
      <c r="B95" s="10" t="n"/>
      <c r="C95" s="10" t="n"/>
      <c r="D95" s="11" t="n"/>
      <c r="E95" s="10" t="n"/>
      <c r="F95" s="10" t="n"/>
      <c r="G95" s="12">
        <f>IF(D95="","",IFERROR(INDEX(DAFTAR_FIXTURE!$B$2:$B$51,MATCH(D95,DAFTAR_FIXTURE!$A$2:$A$51,0)),""))</f>
        <v/>
      </c>
      <c r="H95" s="12">
        <f>IF(G95="","",IF(LEFT(G95,4)="Wall","Wall",IF(LEFT(G95,7)="Gondola","Gondola",IF(LEFT(G95,6)="Pallet","Pallet",IF(LEFT(G95,6)="Endcap","Endcap","")))))</f>
        <v/>
      </c>
      <c r="I95" s="12">
        <f>IF(A95="","",IF(D95="","CEK ID FIXTURE kosong",IF(G95="","CEK ID FIXTURE tidak ada di DAFTAR_FIXTURE",IF(H95="Endcap","CEK Endcap tidak ikut sambung",IF(H95&lt;&gt;B95,"CEK kategori fixture tidak sama dengan KATEGORI",IF(C95="","CEK URUTAN kosong",IF(AND(E95&lt;&gt;"",COUNTIFS(DATA!$I$2:$I$500,E95)=0),"CEK Series tidak ada di DATA","OK")))))))</f>
        <v/>
      </c>
    </row>
    <row r="96">
      <c r="A96" s="10" t="n"/>
      <c r="B96" s="10" t="n"/>
      <c r="C96" s="10" t="n"/>
      <c r="D96" s="11" t="n"/>
      <c r="E96" s="10" t="n"/>
      <c r="F96" s="10" t="n"/>
      <c r="G96" s="12">
        <f>IF(D96="","",IFERROR(INDEX(DAFTAR_FIXTURE!$B$2:$B$51,MATCH(D96,DAFTAR_FIXTURE!$A$2:$A$51,0)),""))</f>
        <v/>
      </c>
      <c r="H96" s="12">
        <f>IF(G96="","",IF(LEFT(G96,4)="Wall","Wall",IF(LEFT(G96,7)="Gondola","Gondola",IF(LEFT(G96,6)="Pallet","Pallet",IF(LEFT(G96,6)="Endcap","Endcap","")))))</f>
        <v/>
      </c>
      <c r="I96" s="12">
        <f>IF(A96="","",IF(D96="","CEK ID FIXTURE kosong",IF(G96="","CEK ID FIXTURE tidak ada di DAFTAR_FIXTURE",IF(H96="Endcap","CEK Endcap tidak ikut sambung",IF(H96&lt;&gt;B96,"CEK kategori fixture tidak sama dengan KATEGORI",IF(C96="","CEK URUTAN kosong",IF(AND(E96&lt;&gt;"",COUNTIFS(DATA!$I$2:$I$500,E96)=0),"CEK Series tidak ada di DATA","OK")))))))</f>
        <v/>
      </c>
    </row>
    <row r="97">
      <c r="A97" s="10" t="n"/>
      <c r="B97" s="10" t="n"/>
      <c r="C97" s="10" t="n"/>
      <c r="D97" s="11" t="n"/>
      <c r="E97" s="10" t="n"/>
      <c r="F97" s="10" t="n"/>
      <c r="G97" s="12">
        <f>IF(D97="","",IFERROR(INDEX(DAFTAR_FIXTURE!$B$2:$B$51,MATCH(D97,DAFTAR_FIXTURE!$A$2:$A$51,0)),""))</f>
        <v/>
      </c>
      <c r="H97" s="12">
        <f>IF(G97="","",IF(LEFT(G97,4)="Wall","Wall",IF(LEFT(G97,7)="Gondola","Gondola",IF(LEFT(G97,6)="Pallet","Pallet",IF(LEFT(G97,6)="Endcap","Endcap","")))))</f>
        <v/>
      </c>
      <c r="I97" s="12">
        <f>IF(A97="","",IF(D97="","CEK ID FIXTURE kosong",IF(G97="","CEK ID FIXTURE tidak ada di DAFTAR_FIXTURE",IF(H97="Endcap","CEK Endcap tidak ikut sambung",IF(H97&lt;&gt;B97,"CEK kategori fixture tidak sama dengan KATEGORI",IF(C97="","CEK URUTAN kosong",IF(AND(E97&lt;&gt;"",COUNTIFS(DATA!$I$2:$I$500,E97)=0),"CEK Series tidak ada di DATA","OK")))))))</f>
        <v/>
      </c>
    </row>
    <row r="98">
      <c r="A98" s="10" t="n"/>
      <c r="B98" s="10" t="n"/>
      <c r="C98" s="10" t="n"/>
      <c r="D98" s="11" t="n"/>
      <c r="E98" s="10" t="n"/>
      <c r="F98" s="10" t="n"/>
      <c r="G98" s="12">
        <f>IF(D98="","",IFERROR(INDEX(DAFTAR_FIXTURE!$B$2:$B$51,MATCH(D98,DAFTAR_FIXTURE!$A$2:$A$51,0)),""))</f>
        <v/>
      </c>
      <c r="H98" s="12">
        <f>IF(G98="","",IF(LEFT(G98,4)="Wall","Wall",IF(LEFT(G98,7)="Gondola","Gondola",IF(LEFT(G98,6)="Pallet","Pallet",IF(LEFT(G98,6)="Endcap","Endcap","")))))</f>
        <v/>
      </c>
      <c r="I98" s="12">
        <f>IF(A98="","",IF(D98="","CEK ID FIXTURE kosong",IF(G98="","CEK ID FIXTURE tidak ada di DAFTAR_FIXTURE",IF(H98="Endcap","CEK Endcap tidak ikut sambung",IF(H98&lt;&gt;B98,"CEK kategori fixture tidak sama dengan KATEGORI",IF(C98="","CEK URUTAN kosong",IF(AND(E98&lt;&gt;"",COUNTIFS(DATA!$I$2:$I$500,E98)=0),"CEK Series tidak ada di DATA","OK")))))))</f>
        <v/>
      </c>
    </row>
    <row r="99">
      <c r="A99" s="10" t="n"/>
      <c r="B99" s="10" t="n"/>
      <c r="C99" s="10" t="n"/>
      <c r="D99" s="11" t="n"/>
      <c r="E99" s="10" t="n"/>
      <c r="F99" s="10" t="n"/>
      <c r="G99" s="12">
        <f>IF(D99="","",IFERROR(INDEX(DAFTAR_FIXTURE!$B$2:$B$51,MATCH(D99,DAFTAR_FIXTURE!$A$2:$A$51,0)),""))</f>
        <v/>
      </c>
      <c r="H99" s="12">
        <f>IF(G99="","",IF(LEFT(G99,4)="Wall","Wall",IF(LEFT(G99,7)="Gondola","Gondola",IF(LEFT(G99,6)="Pallet","Pallet",IF(LEFT(G99,6)="Endcap","Endcap","")))))</f>
        <v/>
      </c>
      <c r="I99" s="12">
        <f>IF(A99="","",IF(D99="","CEK ID FIXTURE kosong",IF(G99="","CEK ID FIXTURE tidak ada di DAFTAR_FIXTURE",IF(H99="Endcap","CEK Endcap tidak ikut sambung",IF(H99&lt;&gt;B99,"CEK kategori fixture tidak sama dengan KATEGORI",IF(C99="","CEK URUTAN kosong",IF(AND(E99&lt;&gt;"",COUNTIFS(DATA!$I$2:$I$500,E99)=0),"CEK Series tidak ada di DATA","OK")))))))</f>
        <v/>
      </c>
    </row>
    <row r="100">
      <c r="A100" s="10" t="n"/>
      <c r="B100" s="10" t="n"/>
      <c r="C100" s="10" t="n"/>
      <c r="D100" s="11" t="n"/>
      <c r="E100" s="10" t="n"/>
      <c r="F100" s="10" t="n"/>
      <c r="G100" s="12">
        <f>IF(D100="","",IFERROR(INDEX(DAFTAR_FIXTURE!$B$2:$B$51,MATCH(D100,DAFTAR_FIXTURE!$A$2:$A$51,0)),""))</f>
        <v/>
      </c>
      <c r="H100" s="12">
        <f>IF(G100="","",IF(LEFT(G100,4)="Wall","Wall",IF(LEFT(G100,7)="Gondola","Gondola",IF(LEFT(G100,6)="Pallet","Pallet",IF(LEFT(G100,6)="Endcap","Endcap","")))))</f>
        <v/>
      </c>
      <c r="I100" s="12">
        <f>IF(A100="","",IF(D100="","CEK ID FIXTURE kosong",IF(G100="","CEK ID FIXTURE tidak ada di DAFTAR_FIXTURE",IF(H100="Endcap","CEK Endcap tidak ikut sambung",IF(H100&lt;&gt;B100,"CEK kategori fixture tidak sama dengan KATEGORI",IF(C100="","CEK URUTAN kosong",IF(AND(E100&lt;&gt;"",COUNTIFS(DATA!$I$2:$I$500,E100)=0),"CEK Series tidak ada di DATA","OK")))))))</f>
        <v/>
      </c>
    </row>
    <row r="101">
      <c r="A101" s="10" t="n"/>
      <c r="B101" s="10" t="n"/>
      <c r="C101" s="10" t="n"/>
      <c r="D101" s="11" t="n"/>
      <c r="E101" s="10" t="n"/>
      <c r="F101" s="10" t="n"/>
      <c r="G101" s="12">
        <f>IF(D101="","",IFERROR(INDEX(DAFTAR_FIXTURE!$B$2:$B$51,MATCH(D101,DAFTAR_FIXTURE!$A$2:$A$51,0)),""))</f>
        <v/>
      </c>
      <c r="H101" s="12">
        <f>IF(G101="","",IF(LEFT(G101,4)="Wall","Wall",IF(LEFT(G101,7)="Gondola","Gondola",IF(LEFT(G101,6)="Pallet","Pallet",IF(LEFT(G101,6)="Endcap","Endcap","")))))</f>
        <v/>
      </c>
      <c r="I101" s="12">
        <f>IF(A101="","",IF(D101="","CEK ID FIXTURE kosong",IF(G101="","CEK ID FIXTURE tidak ada di DAFTAR_FIXTURE",IF(H101="Endcap","CEK Endcap tidak ikut sambung",IF(H101&lt;&gt;B101,"CEK kategori fixture tidak sama dengan KATEGORI",IF(C101="","CEK URUTAN kosong",IF(AND(E101&lt;&gt;"",COUNTIFS(DATA!$I$2:$I$500,E101)=0),"CEK Series tidak ada di DATA","OK")))))))</f>
        <v/>
      </c>
    </row>
    <row r="102">
      <c r="A102" s="10" t="n"/>
      <c r="B102" s="10" t="n"/>
      <c r="C102" s="10" t="n"/>
      <c r="D102" s="11" t="n"/>
      <c r="E102" s="10" t="n"/>
      <c r="F102" s="10" t="n"/>
      <c r="G102" s="12">
        <f>IF(D102="","",IFERROR(INDEX(DAFTAR_FIXTURE!$B$2:$B$51,MATCH(D102,DAFTAR_FIXTURE!$A$2:$A$51,0)),""))</f>
        <v/>
      </c>
      <c r="H102" s="12">
        <f>IF(G102="","",IF(LEFT(G102,4)="Wall","Wall",IF(LEFT(G102,7)="Gondola","Gondola",IF(LEFT(G102,6)="Pallet","Pallet",IF(LEFT(G102,6)="Endcap","Endcap","")))))</f>
        <v/>
      </c>
      <c r="I102" s="12">
        <f>IF(A102="","",IF(D102="","CEK ID FIXTURE kosong",IF(G102="","CEK ID FIXTURE tidak ada di DAFTAR_FIXTURE",IF(H102="Endcap","CEK Endcap tidak ikut sambung",IF(H102&lt;&gt;B102,"CEK kategori fixture tidak sama dengan KATEGORI",IF(C102="","CEK URUTAN kosong",IF(AND(E102&lt;&gt;"",COUNTIFS(DATA!$I$2:$I$500,E102)=0),"CEK Series tidak ada di DATA","OK")))))))</f>
        <v/>
      </c>
    </row>
    <row r="103">
      <c r="A103" s="10" t="n"/>
      <c r="B103" s="10" t="n"/>
      <c r="C103" s="10" t="n"/>
      <c r="D103" s="11" t="n"/>
      <c r="E103" s="10" t="n"/>
      <c r="F103" s="10" t="n"/>
      <c r="G103" s="12">
        <f>IF(D103="","",IFERROR(INDEX(DAFTAR_FIXTURE!$B$2:$B$51,MATCH(D103,DAFTAR_FIXTURE!$A$2:$A$51,0)),""))</f>
        <v/>
      </c>
      <c r="H103" s="12">
        <f>IF(G103="","",IF(LEFT(G103,4)="Wall","Wall",IF(LEFT(G103,7)="Gondola","Gondola",IF(LEFT(G103,6)="Pallet","Pallet",IF(LEFT(G103,6)="Endcap","Endcap","")))))</f>
        <v/>
      </c>
      <c r="I103" s="12">
        <f>IF(A103="","",IF(D103="","CEK ID FIXTURE kosong",IF(G103="","CEK ID FIXTURE tidak ada di DAFTAR_FIXTURE",IF(H103="Endcap","CEK Endcap tidak ikut sambung",IF(H103&lt;&gt;B103,"CEK kategori fixture tidak sama dengan KATEGORI",IF(C103="","CEK URUTAN kosong",IF(AND(E103&lt;&gt;"",COUNTIFS(DATA!$I$2:$I$500,E103)=0),"CEK Series tidak ada di DATA","OK")))))))</f>
        <v/>
      </c>
    </row>
    <row r="104">
      <c r="A104" s="10" t="n"/>
      <c r="B104" s="10" t="n"/>
      <c r="C104" s="10" t="n"/>
      <c r="D104" s="11" t="n"/>
      <c r="E104" s="10" t="n"/>
      <c r="F104" s="10" t="n"/>
      <c r="G104" s="12">
        <f>IF(D104="","",IFERROR(INDEX(DAFTAR_FIXTURE!$B$2:$B$51,MATCH(D104,DAFTAR_FIXTURE!$A$2:$A$51,0)),""))</f>
        <v/>
      </c>
      <c r="H104" s="12">
        <f>IF(G104="","",IF(LEFT(G104,4)="Wall","Wall",IF(LEFT(G104,7)="Gondola","Gondola",IF(LEFT(G104,6)="Pallet","Pallet",IF(LEFT(G104,6)="Endcap","Endcap","")))))</f>
        <v/>
      </c>
      <c r="I104" s="12">
        <f>IF(A104="","",IF(D104="","CEK ID FIXTURE kosong",IF(G104="","CEK ID FIXTURE tidak ada di DAFTAR_FIXTURE",IF(H104="Endcap","CEK Endcap tidak ikut sambung",IF(H104&lt;&gt;B104,"CEK kategori fixture tidak sama dengan KATEGORI",IF(C104="","CEK URUTAN kosong",IF(AND(E104&lt;&gt;"",COUNTIFS(DATA!$I$2:$I$500,E104)=0),"CEK Series tidak ada di DATA","OK")))))))</f>
        <v/>
      </c>
    </row>
    <row r="105">
      <c r="A105" s="10" t="n"/>
      <c r="B105" s="10" t="n"/>
      <c r="C105" s="10" t="n"/>
      <c r="D105" s="11" t="n"/>
      <c r="E105" s="10" t="n"/>
      <c r="F105" s="10" t="n"/>
      <c r="G105" s="12">
        <f>IF(D105="","",IFERROR(INDEX(DAFTAR_FIXTURE!$B$2:$B$51,MATCH(D105,DAFTAR_FIXTURE!$A$2:$A$51,0)),""))</f>
        <v/>
      </c>
      <c r="H105" s="12">
        <f>IF(G105="","",IF(LEFT(G105,4)="Wall","Wall",IF(LEFT(G105,7)="Gondola","Gondola",IF(LEFT(G105,6)="Pallet","Pallet",IF(LEFT(G105,6)="Endcap","Endcap","")))))</f>
        <v/>
      </c>
      <c r="I105" s="12">
        <f>IF(A105="","",IF(D105="","CEK ID FIXTURE kosong",IF(G105="","CEK ID FIXTURE tidak ada di DAFTAR_FIXTURE",IF(H105="Endcap","CEK Endcap tidak ikut sambung",IF(H105&lt;&gt;B105,"CEK kategori fixture tidak sama dengan KATEGORI",IF(C105="","CEK URUTAN kosong",IF(AND(E105&lt;&gt;"",COUNTIFS(DATA!$I$2:$I$500,E105)=0),"CEK Series tidak ada di DATA","OK")))))))</f>
        <v/>
      </c>
    </row>
    <row r="106">
      <c r="A106" s="10" t="n"/>
      <c r="B106" s="10" t="n"/>
      <c r="C106" s="10" t="n"/>
      <c r="D106" s="11" t="n"/>
      <c r="E106" s="10" t="n"/>
      <c r="F106" s="10" t="n"/>
      <c r="G106" s="12">
        <f>IF(D106="","",IFERROR(INDEX(DAFTAR_FIXTURE!$B$2:$B$51,MATCH(D106,DAFTAR_FIXTURE!$A$2:$A$51,0)),""))</f>
        <v/>
      </c>
      <c r="H106" s="12">
        <f>IF(G106="","",IF(LEFT(G106,4)="Wall","Wall",IF(LEFT(G106,7)="Gondola","Gondola",IF(LEFT(G106,6)="Pallet","Pallet",IF(LEFT(G106,6)="Endcap","Endcap","")))))</f>
        <v/>
      </c>
      <c r="I106" s="12">
        <f>IF(A106="","",IF(D106="","CEK ID FIXTURE kosong",IF(G106="","CEK ID FIXTURE tidak ada di DAFTAR_FIXTURE",IF(H106="Endcap","CEK Endcap tidak ikut sambung",IF(H106&lt;&gt;B106,"CEK kategori fixture tidak sama dengan KATEGORI",IF(C106="","CEK URUTAN kosong",IF(AND(E106&lt;&gt;"",COUNTIFS(DATA!$I$2:$I$500,E106)=0),"CEK Series tidak ada di DATA","OK")))))))</f>
        <v/>
      </c>
    </row>
    <row r="107">
      <c r="A107" s="10" t="n"/>
      <c r="B107" s="10" t="n"/>
      <c r="C107" s="10" t="n"/>
      <c r="D107" s="11" t="n"/>
      <c r="E107" s="10" t="n"/>
      <c r="F107" s="10" t="n"/>
      <c r="G107" s="12">
        <f>IF(D107="","",IFERROR(INDEX(DAFTAR_FIXTURE!$B$2:$B$51,MATCH(D107,DAFTAR_FIXTURE!$A$2:$A$51,0)),""))</f>
        <v/>
      </c>
      <c r="H107" s="12">
        <f>IF(G107="","",IF(LEFT(G107,4)="Wall","Wall",IF(LEFT(G107,7)="Gondola","Gondola",IF(LEFT(G107,6)="Pallet","Pallet",IF(LEFT(G107,6)="Endcap","Endcap","")))))</f>
        <v/>
      </c>
      <c r="I107" s="12">
        <f>IF(A107="","",IF(D107="","CEK ID FIXTURE kosong",IF(G107="","CEK ID FIXTURE tidak ada di DAFTAR_FIXTURE",IF(H107="Endcap","CEK Endcap tidak ikut sambung",IF(H107&lt;&gt;B107,"CEK kategori fixture tidak sama dengan KATEGORI",IF(C107="","CEK URUTAN kosong",IF(AND(E107&lt;&gt;"",COUNTIFS(DATA!$I$2:$I$500,E107)=0),"CEK Series tidak ada di DATA","OK")))))))</f>
        <v/>
      </c>
    </row>
    <row r="108">
      <c r="A108" s="10" t="n"/>
      <c r="B108" s="10" t="n"/>
      <c r="C108" s="10" t="n"/>
      <c r="D108" s="11" t="n"/>
      <c r="E108" s="10" t="n"/>
      <c r="F108" s="10" t="n"/>
      <c r="G108" s="12">
        <f>IF(D108="","",IFERROR(INDEX(DAFTAR_FIXTURE!$B$2:$B$51,MATCH(D108,DAFTAR_FIXTURE!$A$2:$A$51,0)),""))</f>
        <v/>
      </c>
      <c r="H108" s="12">
        <f>IF(G108="","",IF(LEFT(G108,4)="Wall","Wall",IF(LEFT(G108,7)="Gondola","Gondola",IF(LEFT(G108,6)="Pallet","Pallet",IF(LEFT(G108,6)="Endcap","Endcap","")))))</f>
        <v/>
      </c>
      <c r="I108" s="12">
        <f>IF(A108="","",IF(D108="","CEK ID FIXTURE kosong",IF(G108="","CEK ID FIXTURE tidak ada di DAFTAR_FIXTURE",IF(H108="Endcap","CEK Endcap tidak ikut sambung",IF(H108&lt;&gt;B108,"CEK kategori fixture tidak sama dengan KATEGORI",IF(C108="","CEK URUTAN kosong",IF(AND(E108&lt;&gt;"",COUNTIFS(DATA!$I$2:$I$500,E108)=0),"CEK Series tidak ada di DATA","OK")))))))</f>
        <v/>
      </c>
    </row>
    <row r="109">
      <c r="A109" s="10" t="n"/>
      <c r="B109" s="10" t="n"/>
      <c r="C109" s="10" t="n"/>
      <c r="D109" s="11" t="n"/>
      <c r="E109" s="10" t="n"/>
      <c r="F109" s="10" t="n"/>
      <c r="G109" s="12">
        <f>IF(D109="","",IFERROR(INDEX(DAFTAR_FIXTURE!$B$2:$B$51,MATCH(D109,DAFTAR_FIXTURE!$A$2:$A$51,0)),""))</f>
        <v/>
      </c>
      <c r="H109" s="12">
        <f>IF(G109="","",IF(LEFT(G109,4)="Wall","Wall",IF(LEFT(G109,7)="Gondola","Gondola",IF(LEFT(G109,6)="Pallet","Pallet",IF(LEFT(G109,6)="Endcap","Endcap","")))))</f>
        <v/>
      </c>
      <c r="I109" s="12">
        <f>IF(A109="","",IF(D109="","CEK ID FIXTURE kosong",IF(G109="","CEK ID FIXTURE tidak ada di DAFTAR_FIXTURE",IF(H109="Endcap","CEK Endcap tidak ikut sambung",IF(H109&lt;&gt;B109,"CEK kategori fixture tidak sama dengan KATEGORI",IF(C109="","CEK URUTAN kosong",IF(AND(E109&lt;&gt;"",COUNTIFS(DATA!$I$2:$I$500,E109)=0),"CEK Series tidak ada di DATA","OK")))))))</f>
        <v/>
      </c>
    </row>
    <row r="110">
      <c r="A110" s="10" t="n"/>
      <c r="B110" s="10" t="n"/>
      <c r="C110" s="10" t="n"/>
      <c r="D110" s="11" t="n"/>
      <c r="E110" s="10" t="n"/>
      <c r="F110" s="10" t="n"/>
      <c r="G110" s="12">
        <f>IF(D110="","",IFERROR(INDEX(DAFTAR_FIXTURE!$B$2:$B$51,MATCH(D110,DAFTAR_FIXTURE!$A$2:$A$51,0)),""))</f>
        <v/>
      </c>
      <c r="H110" s="12">
        <f>IF(G110="","",IF(LEFT(G110,4)="Wall","Wall",IF(LEFT(G110,7)="Gondola","Gondola",IF(LEFT(G110,6)="Pallet","Pallet",IF(LEFT(G110,6)="Endcap","Endcap","")))))</f>
        <v/>
      </c>
      <c r="I110" s="12">
        <f>IF(A110="","",IF(D110="","CEK ID FIXTURE kosong",IF(G110="","CEK ID FIXTURE tidak ada di DAFTAR_FIXTURE",IF(H110="Endcap","CEK Endcap tidak ikut sambung",IF(H110&lt;&gt;B110,"CEK kategori fixture tidak sama dengan KATEGORI",IF(C110="","CEK URUTAN kosong",IF(AND(E110&lt;&gt;"",COUNTIFS(DATA!$I$2:$I$500,E110)=0),"CEK Series tidak ada di DATA","OK")))))))</f>
        <v/>
      </c>
    </row>
    <row r="111">
      <c r="A111" s="10" t="n"/>
      <c r="B111" s="10" t="n"/>
      <c r="C111" s="10" t="n"/>
      <c r="D111" s="11" t="n"/>
      <c r="E111" s="10" t="n"/>
      <c r="F111" s="10" t="n"/>
      <c r="G111" s="12">
        <f>IF(D111="","",IFERROR(INDEX(DAFTAR_FIXTURE!$B$2:$B$51,MATCH(D111,DAFTAR_FIXTURE!$A$2:$A$51,0)),""))</f>
        <v/>
      </c>
      <c r="H111" s="12">
        <f>IF(G111="","",IF(LEFT(G111,4)="Wall","Wall",IF(LEFT(G111,7)="Gondola","Gondola",IF(LEFT(G111,6)="Pallet","Pallet",IF(LEFT(G111,6)="Endcap","Endcap","")))))</f>
        <v/>
      </c>
      <c r="I111" s="12">
        <f>IF(A111="","",IF(D111="","CEK ID FIXTURE kosong",IF(G111="","CEK ID FIXTURE tidak ada di DAFTAR_FIXTURE",IF(H111="Endcap","CEK Endcap tidak ikut sambung",IF(H111&lt;&gt;B111,"CEK kategori fixture tidak sama dengan KATEGORI",IF(C111="","CEK URUTAN kosong",IF(AND(E111&lt;&gt;"",COUNTIFS(DATA!$I$2:$I$500,E111)=0),"CEK Series tidak ada di DATA","OK")))))))</f>
        <v/>
      </c>
    </row>
    <row r="112">
      <c r="A112" s="10" t="n"/>
      <c r="B112" s="10" t="n"/>
      <c r="C112" s="10" t="n"/>
      <c r="D112" s="11" t="n"/>
      <c r="E112" s="10" t="n"/>
      <c r="F112" s="10" t="n"/>
      <c r="G112" s="12">
        <f>IF(D112="","",IFERROR(INDEX(DAFTAR_FIXTURE!$B$2:$B$51,MATCH(D112,DAFTAR_FIXTURE!$A$2:$A$51,0)),""))</f>
        <v/>
      </c>
      <c r="H112" s="12">
        <f>IF(G112="","",IF(LEFT(G112,4)="Wall","Wall",IF(LEFT(G112,7)="Gondola","Gondola",IF(LEFT(G112,6)="Pallet","Pallet",IF(LEFT(G112,6)="Endcap","Endcap","")))))</f>
        <v/>
      </c>
      <c r="I112" s="12">
        <f>IF(A112="","",IF(D112="","CEK ID FIXTURE kosong",IF(G112="","CEK ID FIXTURE tidak ada di DAFTAR_FIXTURE",IF(H112="Endcap","CEK Endcap tidak ikut sambung",IF(H112&lt;&gt;B112,"CEK kategori fixture tidak sama dengan KATEGORI",IF(C112="","CEK URUTAN kosong",IF(AND(E112&lt;&gt;"",COUNTIFS(DATA!$I$2:$I$500,E112)=0),"CEK Series tidak ada di DATA","OK")))))))</f>
        <v/>
      </c>
    </row>
    <row r="113">
      <c r="A113" s="10" t="n"/>
      <c r="B113" s="10" t="n"/>
      <c r="C113" s="10" t="n"/>
      <c r="D113" s="11" t="n"/>
      <c r="E113" s="10" t="n"/>
      <c r="F113" s="10" t="n"/>
      <c r="G113" s="12">
        <f>IF(D113="","",IFERROR(INDEX(DAFTAR_FIXTURE!$B$2:$B$51,MATCH(D113,DAFTAR_FIXTURE!$A$2:$A$51,0)),""))</f>
        <v/>
      </c>
      <c r="H113" s="12">
        <f>IF(G113="","",IF(LEFT(G113,4)="Wall","Wall",IF(LEFT(G113,7)="Gondola","Gondola",IF(LEFT(G113,6)="Pallet","Pallet",IF(LEFT(G113,6)="Endcap","Endcap","")))))</f>
        <v/>
      </c>
      <c r="I113" s="12">
        <f>IF(A113="","",IF(D113="","CEK ID FIXTURE kosong",IF(G113="","CEK ID FIXTURE tidak ada di DAFTAR_FIXTURE",IF(H113="Endcap","CEK Endcap tidak ikut sambung",IF(H113&lt;&gt;B113,"CEK kategori fixture tidak sama dengan KATEGORI",IF(C113="","CEK URUTAN kosong",IF(AND(E113&lt;&gt;"",COUNTIFS(DATA!$I$2:$I$500,E113)=0),"CEK Series tidak ada di DATA","OK")))))))</f>
        <v/>
      </c>
    </row>
    <row r="114">
      <c r="A114" s="10" t="n"/>
      <c r="B114" s="10" t="n"/>
      <c r="C114" s="10" t="n"/>
      <c r="D114" s="11" t="n"/>
      <c r="E114" s="10" t="n"/>
      <c r="F114" s="10" t="n"/>
      <c r="G114" s="12">
        <f>IF(D114="","",IFERROR(INDEX(DAFTAR_FIXTURE!$B$2:$B$51,MATCH(D114,DAFTAR_FIXTURE!$A$2:$A$51,0)),""))</f>
        <v/>
      </c>
      <c r="H114" s="12">
        <f>IF(G114="","",IF(LEFT(G114,4)="Wall","Wall",IF(LEFT(G114,7)="Gondola","Gondola",IF(LEFT(G114,6)="Pallet","Pallet",IF(LEFT(G114,6)="Endcap","Endcap","")))))</f>
        <v/>
      </c>
      <c r="I114" s="12">
        <f>IF(A114="","",IF(D114="","CEK ID FIXTURE kosong",IF(G114="","CEK ID FIXTURE tidak ada di DAFTAR_FIXTURE",IF(H114="Endcap","CEK Endcap tidak ikut sambung",IF(H114&lt;&gt;B114,"CEK kategori fixture tidak sama dengan KATEGORI",IF(C114="","CEK URUTAN kosong",IF(AND(E114&lt;&gt;"",COUNTIFS(DATA!$I$2:$I$500,E114)=0),"CEK Series tidak ada di DATA","OK")))))))</f>
        <v/>
      </c>
    </row>
    <row r="115">
      <c r="A115" s="10" t="n"/>
      <c r="B115" s="10" t="n"/>
      <c r="C115" s="10" t="n"/>
      <c r="D115" s="11" t="n"/>
      <c r="E115" s="10" t="n"/>
      <c r="F115" s="10" t="n"/>
      <c r="G115" s="12">
        <f>IF(D115="","",IFERROR(INDEX(DAFTAR_FIXTURE!$B$2:$B$51,MATCH(D115,DAFTAR_FIXTURE!$A$2:$A$51,0)),""))</f>
        <v/>
      </c>
      <c r="H115" s="12">
        <f>IF(G115="","",IF(LEFT(G115,4)="Wall","Wall",IF(LEFT(G115,7)="Gondola","Gondola",IF(LEFT(G115,6)="Pallet","Pallet",IF(LEFT(G115,6)="Endcap","Endcap","")))))</f>
        <v/>
      </c>
      <c r="I115" s="12">
        <f>IF(A115="","",IF(D115="","CEK ID FIXTURE kosong",IF(G115="","CEK ID FIXTURE tidak ada di DAFTAR_FIXTURE",IF(H115="Endcap","CEK Endcap tidak ikut sambung",IF(H115&lt;&gt;B115,"CEK kategori fixture tidak sama dengan KATEGORI",IF(C115="","CEK URUTAN kosong",IF(AND(E115&lt;&gt;"",COUNTIFS(DATA!$I$2:$I$500,E115)=0),"CEK Series tidak ada di DATA","OK")))))))</f>
        <v/>
      </c>
    </row>
    <row r="116">
      <c r="A116" s="10" t="n"/>
      <c r="B116" s="10" t="n"/>
      <c r="C116" s="10" t="n"/>
      <c r="D116" s="11" t="n"/>
      <c r="E116" s="10" t="n"/>
      <c r="F116" s="10" t="n"/>
      <c r="G116" s="12">
        <f>IF(D116="","",IFERROR(INDEX(DAFTAR_FIXTURE!$B$2:$B$51,MATCH(D116,DAFTAR_FIXTURE!$A$2:$A$51,0)),""))</f>
        <v/>
      </c>
      <c r="H116" s="12">
        <f>IF(G116="","",IF(LEFT(G116,4)="Wall","Wall",IF(LEFT(G116,7)="Gondola","Gondola",IF(LEFT(G116,6)="Pallet","Pallet",IF(LEFT(G116,6)="Endcap","Endcap","")))))</f>
        <v/>
      </c>
      <c r="I116" s="12">
        <f>IF(A116="","",IF(D116="","CEK ID FIXTURE kosong",IF(G116="","CEK ID FIXTURE tidak ada di DAFTAR_FIXTURE",IF(H116="Endcap","CEK Endcap tidak ikut sambung",IF(H116&lt;&gt;B116,"CEK kategori fixture tidak sama dengan KATEGORI",IF(C116="","CEK URUTAN kosong",IF(AND(E116&lt;&gt;"",COUNTIFS(DATA!$I$2:$I$500,E116)=0),"CEK Series tidak ada di DATA","OK")))))))</f>
        <v/>
      </c>
    </row>
    <row r="117">
      <c r="A117" s="10" t="n"/>
      <c r="B117" s="10" t="n"/>
      <c r="C117" s="10" t="n"/>
      <c r="D117" s="11" t="n"/>
      <c r="E117" s="10" t="n"/>
      <c r="F117" s="10" t="n"/>
      <c r="G117" s="12">
        <f>IF(D117="","",IFERROR(INDEX(DAFTAR_FIXTURE!$B$2:$B$51,MATCH(D117,DAFTAR_FIXTURE!$A$2:$A$51,0)),""))</f>
        <v/>
      </c>
      <c r="H117" s="12">
        <f>IF(G117="","",IF(LEFT(G117,4)="Wall","Wall",IF(LEFT(G117,7)="Gondola","Gondola",IF(LEFT(G117,6)="Pallet","Pallet",IF(LEFT(G117,6)="Endcap","Endcap","")))))</f>
        <v/>
      </c>
      <c r="I117" s="12">
        <f>IF(A117="","",IF(D117="","CEK ID FIXTURE kosong",IF(G117="","CEK ID FIXTURE tidak ada di DAFTAR_FIXTURE",IF(H117="Endcap","CEK Endcap tidak ikut sambung",IF(H117&lt;&gt;B117,"CEK kategori fixture tidak sama dengan KATEGORI",IF(C117="","CEK URUTAN kosong",IF(AND(E117&lt;&gt;"",COUNTIFS(DATA!$I$2:$I$500,E117)=0),"CEK Series tidak ada di DATA","OK")))))))</f>
        <v/>
      </c>
    </row>
    <row r="118">
      <c r="A118" s="10" t="n"/>
      <c r="B118" s="10" t="n"/>
      <c r="C118" s="10" t="n"/>
      <c r="D118" s="11" t="n"/>
      <c r="E118" s="10" t="n"/>
      <c r="F118" s="10" t="n"/>
      <c r="G118" s="12">
        <f>IF(D118="","",IFERROR(INDEX(DAFTAR_FIXTURE!$B$2:$B$51,MATCH(D118,DAFTAR_FIXTURE!$A$2:$A$51,0)),""))</f>
        <v/>
      </c>
      <c r="H118" s="12">
        <f>IF(G118="","",IF(LEFT(G118,4)="Wall","Wall",IF(LEFT(G118,7)="Gondola","Gondola",IF(LEFT(G118,6)="Pallet","Pallet",IF(LEFT(G118,6)="Endcap","Endcap","")))))</f>
        <v/>
      </c>
      <c r="I118" s="12">
        <f>IF(A118="","",IF(D118="","CEK ID FIXTURE kosong",IF(G118="","CEK ID FIXTURE tidak ada di DAFTAR_FIXTURE",IF(H118="Endcap","CEK Endcap tidak ikut sambung",IF(H118&lt;&gt;B118,"CEK kategori fixture tidak sama dengan KATEGORI",IF(C118="","CEK URUTAN kosong",IF(AND(E118&lt;&gt;"",COUNTIFS(DATA!$I$2:$I$500,E118)=0),"CEK Series tidak ada di DATA","OK")))))))</f>
        <v/>
      </c>
    </row>
    <row r="119">
      <c r="A119" s="10" t="n"/>
      <c r="B119" s="10" t="n"/>
      <c r="C119" s="10" t="n"/>
      <c r="D119" s="11" t="n"/>
      <c r="E119" s="10" t="n"/>
      <c r="F119" s="10" t="n"/>
      <c r="G119" s="12">
        <f>IF(D119="","",IFERROR(INDEX(DAFTAR_FIXTURE!$B$2:$B$51,MATCH(D119,DAFTAR_FIXTURE!$A$2:$A$51,0)),""))</f>
        <v/>
      </c>
      <c r="H119" s="12">
        <f>IF(G119="","",IF(LEFT(G119,4)="Wall","Wall",IF(LEFT(G119,7)="Gondola","Gondola",IF(LEFT(G119,6)="Pallet","Pallet",IF(LEFT(G119,6)="Endcap","Endcap","")))))</f>
        <v/>
      </c>
      <c r="I119" s="12">
        <f>IF(A119="","",IF(D119="","CEK ID FIXTURE kosong",IF(G119="","CEK ID FIXTURE tidak ada di DAFTAR_FIXTURE",IF(H119="Endcap","CEK Endcap tidak ikut sambung",IF(H119&lt;&gt;B119,"CEK kategori fixture tidak sama dengan KATEGORI",IF(C119="","CEK URUTAN kosong",IF(AND(E119&lt;&gt;"",COUNTIFS(DATA!$I$2:$I$500,E119)=0),"CEK Series tidak ada di DATA","OK")))))))</f>
        <v/>
      </c>
    </row>
    <row r="120">
      <c r="A120" s="10" t="n"/>
      <c r="B120" s="10" t="n"/>
      <c r="C120" s="10" t="n"/>
      <c r="D120" s="11" t="n"/>
      <c r="E120" s="10" t="n"/>
      <c r="F120" s="10" t="n"/>
      <c r="G120" s="12">
        <f>IF(D120="","",IFERROR(INDEX(DAFTAR_FIXTURE!$B$2:$B$51,MATCH(D120,DAFTAR_FIXTURE!$A$2:$A$51,0)),""))</f>
        <v/>
      </c>
      <c r="H120" s="12">
        <f>IF(G120="","",IF(LEFT(G120,4)="Wall","Wall",IF(LEFT(G120,7)="Gondola","Gondola",IF(LEFT(G120,6)="Pallet","Pallet",IF(LEFT(G120,6)="Endcap","Endcap","")))))</f>
        <v/>
      </c>
      <c r="I120" s="12">
        <f>IF(A120="","",IF(D120="","CEK ID FIXTURE kosong",IF(G120="","CEK ID FIXTURE tidak ada di DAFTAR_FIXTURE",IF(H120="Endcap","CEK Endcap tidak ikut sambung",IF(H120&lt;&gt;B120,"CEK kategori fixture tidak sama dengan KATEGORI",IF(C120="","CEK URUTAN kosong",IF(AND(E120&lt;&gt;"",COUNTIFS(DATA!$I$2:$I$500,E120)=0),"CEK Series tidak ada di DATA","OK")))))))</f>
        <v/>
      </c>
    </row>
    <row r="121">
      <c r="A121" s="10" t="n"/>
      <c r="B121" s="10" t="n"/>
      <c r="C121" s="10" t="n"/>
      <c r="D121" s="11" t="n"/>
      <c r="E121" s="10" t="n"/>
      <c r="F121" s="10" t="n"/>
      <c r="G121" s="12">
        <f>IF(D121="","",IFERROR(INDEX(DAFTAR_FIXTURE!$B$2:$B$51,MATCH(D121,DAFTAR_FIXTURE!$A$2:$A$51,0)),""))</f>
        <v/>
      </c>
      <c r="H121" s="12">
        <f>IF(G121="","",IF(LEFT(G121,4)="Wall","Wall",IF(LEFT(G121,7)="Gondola","Gondola",IF(LEFT(G121,6)="Pallet","Pallet",IF(LEFT(G121,6)="Endcap","Endcap","")))))</f>
        <v/>
      </c>
      <c r="I121" s="12">
        <f>IF(A121="","",IF(D121="","CEK ID FIXTURE kosong",IF(G121="","CEK ID FIXTURE tidak ada di DAFTAR_FIXTURE",IF(H121="Endcap","CEK Endcap tidak ikut sambung",IF(H121&lt;&gt;B121,"CEK kategori fixture tidak sama dengan KATEGORI",IF(C121="","CEK URUTAN kosong",IF(AND(E121&lt;&gt;"",COUNTIFS(DATA!$I$2:$I$500,E121)=0),"CEK Series tidak ada di DATA","OK")))))))</f>
        <v/>
      </c>
    </row>
    <row r="122">
      <c r="A122" s="10" t="n"/>
      <c r="B122" s="10" t="n"/>
      <c r="C122" s="10" t="n"/>
      <c r="D122" s="11" t="n"/>
      <c r="E122" s="10" t="n"/>
      <c r="F122" s="10" t="n"/>
      <c r="G122" s="12">
        <f>IF(D122="","",IFERROR(INDEX(DAFTAR_FIXTURE!$B$2:$B$51,MATCH(D122,DAFTAR_FIXTURE!$A$2:$A$51,0)),""))</f>
        <v/>
      </c>
      <c r="H122" s="12">
        <f>IF(G122="","",IF(LEFT(G122,4)="Wall","Wall",IF(LEFT(G122,7)="Gondola","Gondola",IF(LEFT(G122,6)="Pallet","Pallet",IF(LEFT(G122,6)="Endcap","Endcap","")))))</f>
        <v/>
      </c>
      <c r="I122" s="12">
        <f>IF(A122="","",IF(D122="","CEK ID FIXTURE kosong",IF(G122="","CEK ID FIXTURE tidak ada di DAFTAR_FIXTURE",IF(H122="Endcap","CEK Endcap tidak ikut sambung",IF(H122&lt;&gt;B122,"CEK kategori fixture tidak sama dengan KATEGORI",IF(C122="","CEK URUTAN kosong",IF(AND(E122&lt;&gt;"",COUNTIFS(DATA!$I$2:$I$500,E122)=0),"CEK Series tidak ada di DATA","OK")))))))</f>
        <v/>
      </c>
    </row>
    <row r="123">
      <c r="A123" s="10" t="n"/>
      <c r="B123" s="10" t="n"/>
      <c r="C123" s="10" t="n"/>
      <c r="D123" s="11" t="n"/>
      <c r="E123" s="10" t="n"/>
      <c r="F123" s="10" t="n"/>
      <c r="G123" s="12">
        <f>IF(D123="","",IFERROR(INDEX(DAFTAR_FIXTURE!$B$2:$B$51,MATCH(D123,DAFTAR_FIXTURE!$A$2:$A$51,0)),""))</f>
        <v/>
      </c>
      <c r="H123" s="12">
        <f>IF(G123="","",IF(LEFT(G123,4)="Wall","Wall",IF(LEFT(G123,7)="Gondola","Gondola",IF(LEFT(G123,6)="Pallet","Pallet",IF(LEFT(G123,6)="Endcap","Endcap","")))))</f>
        <v/>
      </c>
      <c r="I123" s="12">
        <f>IF(A123="","",IF(D123="","CEK ID FIXTURE kosong",IF(G123="","CEK ID FIXTURE tidak ada di DAFTAR_FIXTURE",IF(H123="Endcap","CEK Endcap tidak ikut sambung",IF(H123&lt;&gt;B123,"CEK kategori fixture tidak sama dengan KATEGORI",IF(C123="","CEK URUTAN kosong",IF(AND(E123&lt;&gt;"",COUNTIFS(DATA!$I$2:$I$500,E123)=0),"CEK Series tidak ada di DATA","OK")))))))</f>
        <v/>
      </c>
    </row>
    <row r="124">
      <c r="A124" s="10" t="n"/>
      <c r="B124" s="10" t="n"/>
      <c r="C124" s="10" t="n"/>
      <c r="D124" s="11" t="n"/>
      <c r="E124" s="10" t="n"/>
      <c r="F124" s="10" t="n"/>
      <c r="G124" s="12">
        <f>IF(D124="","",IFERROR(INDEX(DAFTAR_FIXTURE!$B$2:$B$51,MATCH(D124,DAFTAR_FIXTURE!$A$2:$A$51,0)),""))</f>
        <v/>
      </c>
      <c r="H124" s="12">
        <f>IF(G124="","",IF(LEFT(G124,4)="Wall","Wall",IF(LEFT(G124,7)="Gondola","Gondola",IF(LEFT(G124,6)="Pallet","Pallet",IF(LEFT(G124,6)="Endcap","Endcap","")))))</f>
        <v/>
      </c>
      <c r="I124" s="12">
        <f>IF(A124="","",IF(D124="","CEK ID FIXTURE kosong",IF(G124="","CEK ID FIXTURE tidak ada di DAFTAR_FIXTURE",IF(H124="Endcap","CEK Endcap tidak ikut sambung",IF(H124&lt;&gt;B124,"CEK kategori fixture tidak sama dengan KATEGORI",IF(C124="","CEK URUTAN kosong",IF(AND(E124&lt;&gt;"",COUNTIFS(DATA!$I$2:$I$500,E124)=0),"CEK Series tidak ada di DATA","OK")))))))</f>
        <v/>
      </c>
    </row>
    <row r="125">
      <c r="A125" s="10" t="n"/>
      <c r="B125" s="10" t="n"/>
      <c r="C125" s="10" t="n"/>
      <c r="D125" s="11" t="n"/>
      <c r="E125" s="10" t="n"/>
      <c r="F125" s="10" t="n"/>
      <c r="G125" s="12">
        <f>IF(D125="","",IFERROR(INDEX(DAFTAR_FIXTURE!$B$2:$B$51,MATCH(D125,DAFTAR_FIXTURE!$A$2:$A$51,0)),""))</f>
        <v/>
      </c>
      <c r="H125" s="12">
        <f>IF(G125="","",IF(LEFT(G125,4)="Wall","Wall",IF(LEFT(G125,7)="Gondola","Gondola",IF(LEFT(G125,6)="Pallet","Pallet",IF(LEFT(G125,6)="Endcap","Endcap","")))))</f>
        <v/>
      </c>
      <c r="I125" s="12">
        <f>IF(A125="","",IF(D125="","CEK ID FIXTURE kosong",IF(G125="","CEK ID FIXTURE tidak ada di DAFTAR_FIXTURE",IF(H125="Endcap","CEK Endcap tidak ikut sambung",IF(H125&lt;&gt;B125,"CEK kategori fixture tidak sama dengan KATEGORI",IF(C125="","CEK URUTAN kosong",IF(AND(E125&lt;&gt;"",COUNTIFS(DATA!$I$2:$I$500,E125)=0),"CEK Series tidak ada di DATA","OK")))))))</f>
        <v/>
      </c>
    </row>
    <row r="126">
      <c r="A126" s="10" t="n"/>
      <c r="B126" s="10" t="n"/>
      <c r="C126" s="10" t="n"/>
      <c r="D126" s="11" t="n"/>
      <c r="E126" s="10" t="n"/>
      <c r="F126" s="10" t="n"/>
      <c r="G126" s="12">
        <f>IF(D126="","",IFERROR(INDEX(DAFTAR_FIXTURE!$B$2:$B$51,MATCH(D126,DAFTAR_FIXTURE!$A$2:$A$51,0)),""))</f>
        <v/>
      </c>
      <c r="H126" s="12">
        <f>IF(G126="","",IF(LEFT(G126,4)="Wall","Wall",IF(LEFT(G126,7)="Gondola","Gondola",IF(LEFT(G126,6)="Pallet","Pallet",IF(LEFT(G126,6)="Endcap","Endcap","")))))</f>
        <v/>
      </c>
      <c r="I126" s="12">
        <f>IF(A126="","",IF(D126="","CEK ID FIXTURE kosong",IF(G126="","CEK ID FIXTURE tidak ada di DAFTAR_FIXTURE",IF(H126="Endcap","CEK Endcap tidak ikut sambung",IF(H126&lt;&gt;B126,"CEK kategori fixture tidak sama dengan KATEGORI",IF(C126="","CEK URUTAN kosong",IF(AND(E126&lt;&gt;"",COUNTIFS(DATA!$I$2:$I$500,E126)=0),"CEK Series tidak ada di DATA","OK")))))))</f>
        <v/>
      </c>
    </row>
    <row r="127">
      <c r="A127" s="10" t="n"/>
      <c r="B127" s="10" t="n"/>
      <c r="C127" s="10" t="n"/>
      <c r="D127" s="11" t="n"/>
      <c r="E127" s="10" t="n"/>
      <c r="F127" s="10" t="n"/>
      <c r="G127" s="12">
        <f>IF(D127="","",IFERROR(INDEX(DAFTAR_FIXTURE!$B$2:$B$51,MATCH(D127,DAFTAR_FIXTURE!$A$2:$A$51,0)),""))</f>
        <v/>
      </c>
      <c r="H127" s="12">
        <f>IF(G127="","",IF(LEFT(G127,4)="Wall","Wall",IF(LEFT(G127,7)="Gondola","Gondola",IF(LEFT(G127,6)="Pallet","Pallet",IF(LEFT(G127,6)="Endcap","Endcap","")))))</f>
        <v/>
      </c>
      <c r="I127" s="12">
        <f>IF(A127="","",IF(D127="","CEK ID FIXTURE kosong",IF(G127="","CEK ID FIXTURE tidak ada di DAFTAR_FIXTURE",IF(H127="Endcap","CEK Endcap tidak ikut sambung",IF(H127&lt;&gt;B127,"CEK kategori fixture tidak sama dengan KATEGORI",IF(C127="","CEK URUTAN kosong",IF(AND(E127&lt;&gt;"",COUNTIFS(DATA!$I$2:$I$500,E127)=0),"CEK Series tidak ada di DATA","OK")))))))</f>
        <v/>
      </c>
    </row>
    <row r="128">
      <c r="A128" s="10" t="n"/>
      <c r="B128" s="10" t="n"/>
      <c r="C128" s="10" t="n"/>
      <c r="D128" s="11" t="n"/>
      <c r="E128" s="10" t="n"/>
      <c r="F128" s="10" t="n"/>
      <c r="G128" s="12">
        <f>IF(D128="","",IFERROR(INDEX(DAFTAR_FIXTURE!$B$2:$B$51,MATCH(D128,DAFTAR_FIXTURE!$A$2:$A$51,0)),""))</f>
        <v/>
      </c>
      <c r="H128" s="12">
        <f>IF(G128="","",IF(LEFT(G128,4)="Wall","Wall",IF(LEFT(G128,7)="Gondola","Gondola",IF(LEFT(G128,6)="Pallet","Pallet",IF(LEFT(G128,6)="Endcap","Endcap","")))))</f>
        <v/>
      </c>
      <c r="I128" s="12">
        <f>IF(A128="","",IF(D128="","CEK ID FIXTURE kosong",IF(G128="","CEK ID FIXTURE tidak ada di DAFTAR_FIXTURE",IF(H128="Endcap","CEK Endcap tidak ikut sambung",IF(H128&lt;&gt;B128,"CEK kategori fixture tidak sama dengan KATEGORI",IF(C128="","CEK URUTAN kosong",IF(AND(E128&lt;&gt;"",COUNTIFS(DATA!$I$2:$I$500,E128)=0),"CEK Series tidak ada di DATA","OK")))))))</f>
        <v/>
      </c>
    </row>
    <row r="129">
      <c r="A129" s="10" t="n"/>
      <c r="B129" s="10" t="n"/>
      <c r="C129" s="10" t="n"/>
      <c r="D129" s="11" t="n"/>
      <c r="E129" s="10" t="n"/>
      <c r="F129" s="10" t="n"/>
      <c r="G129" s="12">
        <f>IF(D129="","",IFERROR(INDEX(DAFTAR_FIXTURE!$B$2:$B$51,MATCH(D129,DAFTAR_FIXTURE!$A$2:$A$51,0)),""))</f>
        <v/>
      </c>
      <c r="H129" s="12">
        <f>IF(G129="","",IF(LEFT(G129,4)="Wall","Wall",IF(LEFT(G129,7)="Gondola","Gondola",IF(LEFT(G129,6)="Pallet","Pallet",IF(LEFT(G129,6)="Endcap","Endcap","")))))</f>
        <v/>
      </c>
      <c r="I129" s="12">
        <f>IF(A129="","",IF(D129="","CEK ID FIXTURE kosong",IF(G129="","CEK ID FIXTURE tidak ada di DAFTAR_FIXTURE",IF(H129="Endcap","CEK Endcap tidak ikut sambung",IF(H129&lt;&gt;B129,"CEK kategori fixture tidak sama dengan KATEGORI",IF(C129="","CEK URUTAN kosong",IF(AND(E129&lt;&gt;"",COUNTIFS(DATA!$I$2:$I$500,E129)=0),"CEK Series tidak ada di DATA","OK")))))))</f>
        <v/>
      </c>
    </row>
    <row r="130">
      <c r="A130" s="10" t="n"/>
      <c r="B130" s="10" t="n"/>
      <c r="C130" s="10" t="n"/>
      <c r="D130" s="11" t="n"/>
      <c r="E130" s="10" t="n"/>
      <c r="F130" s="10" t="n"/>
      <c r="G130" s="12">
        <f>IF(D130="","",IFERROR(INDEX(DAFTAR_FIXTURE!$B$2:$B$51,MATCH(D130,DAFTAR_FIXTURE!$A$2:$A$51,0)),""))</f>
        <v/>
      </c>
      <c r="H130" s="12">
        <f>IF(G130="","",IF(LEFT(G130,4)="Wall","Wall",IF(LEFT(G130,7)="Gondola","Gondola",IF(LEFT(G130,6)="Pallet","Pallet",IF(LEFT(G130,6)="Endcap","Endcap","")))))</f>
        <v/>
      </c>
      <c r="I130" s="12">
        <f>IF(A130="","",IF(D130="","CEK ID FIXTURE kosong",IF(G130="","CEK ID FIXTURE tidak ada di DAFTAR_FIXTURE",IF(H130="Endcap","CEK Endcap tidak ikut sambung",IF(H130&lt;&gt;B130,"CEK kategori fixture tidak sama dengan KATEGORI",IF(C130="","CEK URUTAN kosong",IF(AND(E130&lt;&gt;"",COUNTIFS(DATA!$I$2:$I$500,E130)=0),"CEK Series tidak ada di DATA","OK")))))))</f>
        <v/>
      </c>
    </row>
    <row r="131">
      <c r="A131" s="10" t="n"/>
      <c r="B131" s="10" t="n"/>
      <c r="C131" s="10" t="n"/>
      <c r="D131" s="11" t="n"/>
      <c r="E131" s="10" t="n"/>
      <c r="F131" s="10" t="n"/>
      <c r="G131" s="12">
        <f>IF(D131="","",IFERROR(INDEX(DAFTAR_FIXTURE!$B$2:$B$51,MATCH(D131,DAFTAR_FIXTURE!$A$2:$A$51,0)),""))</f>
        <v/>
      </c>
      <c r="H131" s="12">
        <f>IF(G131="","",IF(LEFT(G131,4)="Wall","Wall",IF(LEFT(G131,7)="Gondola","Gondola",IF(LEFT(G131,6)="Pallet","Pallet",IF(LEFT(G131,6)="Endcap","Endcap","")))))</f>
        <v/>
      </c>
      <c r="I131" s="12">
        <f>IF(A131="","",IF(D131="","CEK ID FIXTURE kosong",IF(G131="","CEK ID FIXTURE tidak ada di DAFTAR_FIXTURE",IF(H131="Endcap","CEK Endcap tidak ikut sambung",IF(H131&lt;&gt;B131,"CEK kategori fixture tidak sama dengan KATEGORI",IF(C131="","CEK URUTAN kosong",IF(AND(E131&lt;&gt;"",COUNTIFS(DATA!$I$2:$I$500,E131)=0),"CEK Series tidak ada di DATA","OK")))))))</f>
        <v/>
      </c>
    </row>
    <row r="132">
      <c r="A132" s="10" t="n"/>
      <c r="B132" s="10" t="n"/>
      <c r="C132" s="10" t="n"/>
      <c r="D132" s="11" t="n"/>
      <c r="E132" s="10" t="n"/>
      <c r="F132" s="10" t="n"/>
      <c r="G132" s="12">
        <f>IF(D132="","",IFERROR(INDEX(DAFTAR_FIXTURE!$B$2:$B$51,MATCH(D132,DAFTAR_FIXTURE!$A$2:$A$51,0)),""))</f>
        <v/>
      </c>
      <c r="H132" s="12">
        <f>IF(G132="","",IF(LEFT(G132,4)="Wall","Wall",IF(LEFT(G132,7)="Gondola","Gondola",IF(LEFT(G132,6)="Pallet","Pallet",IF(LEFT(G132,6)="Endcap","Endcap","")))))</f>
        <v/>
      </c>
      <c r="I132" s="12">
        <f>IF(A132="","",IF(D132="","CEK ID FIXTURE kosong",IF(G132="","CEK ID FIXTURE tidak ada di DAFTAR_FIXTURE",IF(H132="Endcap","CEK Endcap tidak ikut sambung",IF(H132&lt;&gt;B132,"CEK kategori fixture tidak sama dengan KATEGORI",IF(C132="","CEK URUTAN kosong",IF(AND(E132&lt;&gt;"",COUNTIFS(DATA!$I$2:$I$500,E132)=0),"CEK Series tidak ada di DATA","OK")))))))</f>
        <v/>
      </c>
    </row>
    <row r="133">
      <c r="A133" s="10" t="n"/>
      <c r="B133" s="10" t="n"/>
      <c r="C133" s="10" t="n"/>
      <c r="D133" s="11" t="n"/>
      <c r="E133" s="10" t="n"/>
      <c r="F133" s="10" t="n"/>
      <c r="G133" s="12">
        <f>IF(D133="","",IFERROR(INDEX(DAFTAR_FIXTURE!$B$2:$B$51,MATCH(D133,DAFTAR_FIXTURE!$A$2:$A$51,0)),""))</f>
        <v/>
      </c>
      <c r="H133" s="12">
        <f>IF(G133="","",IF(LEFT(G133,4)="Wall","Wall",IF(LEFT(G133,7)="Gondola","Gondola",IF(LEFT(G133,6)="Pallet","Pallet",IF(LEFT(G133,6)="Endcap","Endcap","")))))</f>
        <v/>
      </c>
      <c r="I133" s="12">
        <f>IF(A133="","",IF(D133="","CEK ID FIXTURE kosong",IF(G133="","CEK ID FIXTURE tidak ada di DAFTAR_FIXTURE",IF(H133="Endcap","CEK Endcap tidak ikut sambung",IF(H133&lt;&gt;B133,"CEK kategori fixture tidak sama dengan KATEGORI",IF(C133="","CEK URUTAN kosong",IF(AND(E133&lt;&gt;"",COUNTIFS(DATA!$I$2:$I$500,E133)=0),"CEK Series tidak ada di DATA","OK")))))))</f>
        <v/>
      </c>
    </row>
    <row r="134">
      <c r="A134" s="10" t="n"/>
      <c r="B134" s="10" t="n"/>
      <c r="C134" s="10" t="n"/>
      <c r="D134" s="11" t="n"/>
      <c r="E134" s="10" t="n"/>
      <c r="F134" s="10" t="n"/>
      <c r="G134" s="12">
        <f>IF(D134="","",IFERROR(INDEX(DAFTAR_FIXTURE!$B$2:$B$51,MATCH(D134,DAFTAR_FIXTURE!$A$2:$A$51,0)),""))</f>
        <v/>
      </c>
      <c r="H134" s="12">
        <f>IF(G134="","",IF(LEFT(G134,4)="Wall","Wall",IF(LEFT(G134,7)="Gondola","Gondola",IF(LEFT(G134,6)="Pallet","Pallet",IF(LEFT(G134,6)="Endcap","Endcap","")))))</f>
        <v/>
      </c>
      <c r="I134" s="12">
        <f>IF(A134="","",IF(D134="","CEK ID FIXTURE kosong",IF(G134="","CEK ID FIXTURE tidak ada di DAFTAR_FIXTURE",IF(H134="Endcap","CEK Endcap tidak ikut sambung",IF(H134&lt;&gt;B134,"CEK kategori fixture tidak sama dengan KATEGORI",IF(C134="","CEK URUTAN kosong",IF(AND(E134&lt;&gt;"",COUNTIFS(DATA!$I$2:$I$500,E134)=0),"CEK Series tidak ada di DATA","OK")))))))</f>
        <v/>
      </c>
    </row>
    <row r="135">
      <c r="A135" s="10" t="n"/>
      <c r="B135" s="10" t="n"/>
      <c r="C135" s="10" t="n"/>
      <c r="D135" s="11" t="n"/>
      <c r="E135" s="10" t="n"/>
      <c r="F135" s="10" t="n"/>
      <c r="G135" s="12">
        <f>IF(D135="","",IFERROR(INDEX(DAFTAR_FIXTURE!$B$2:$B$51,MATCH(D135,DAFTAR_FIXTURE!$A$2:$A$51,0)),""))</f>
        <v/>
      </c>
      <c r="H135" s="12">
        <f>IF(G135="","",IF(LEFT(G135,4)="Wall","Wall",IF(LEFT(G135,7)="Gondola","Gondola",IF(LEFT(G135,6)="Pallet","Pallet",IF(LEFT(G135,6)="Endcap","Endcap","")))))</f>
        <v/>
      </c>
      <c r="I135" s="12">
        <f>IF(A135="","",IF(D135="","CEK ID FIXTURE kosong",IF(G135="","CEK ID FIXTURE tidak ada di DAFTAR_FIXTURE",IF(H135="Endcap","CEK Endcap tidak ikut sambung",IF(H135&lt;&gt;B135,"CEK kategori fixture tidak sama dengan KATEGORI",IF(C135="","CEK URUTAN kosong",IF(AND(E135&lt;&gt;"",COUNTIFS(DATA!$I$2:$I$500,E135)=0),"CEK Series tidak ada di DATA","OK")))))))</f>
        <v/>
      </c>
    </row>
    <row r="136">
      <c r="A136" s="10" t="n"/>
      <c r="B136" s="10" t="n"/>
      <c r="C136" s="10" t="n"/>
      <c r="D136" s="11" t="n"/>
      <c r="E136" s="10" t="n"/>
      <c r="F136" s="10" t="n"/>
      <c r="G136" s="12">
        <f>IF(D136="","",IFERROR(INDEX(DAFTAR_FIXTURE!$B$2:$B$51,MATCH(D136,DAFTAR_FIXTURE!$A$2:$A$51,0)),""))</f>
        <v/>
      </c>
      <c r="H136" s="12">
        <f>IF(G136="","",IF(LEFT(G136,4)="Wall","Wall",IF(LEFT(G136,7)="Gondola","Gondola",IF(LEFT(G136,6)="Pallet","Pallet",IF(LEFT(G136,6)="Endcap","Endcap","")))))</f>
        <v/>
      </c>
      <c r="I136" s="12">
        <f>IF(A136="","",IF(D136="","CEK ID FIXTURE kosong",IF(G136="","CEK ID FIXTURE tidak ada di DAFTAR_FIXTURE",IF(H136="Endcap","CEK Endcap tidak ikut sambung",IF(H136&lt;&gt;B136,"CEK kategori fixture tidak sama dengan KATEGORI",IF(C136="","CEK URUTAN kosong",IF(AND(E136&lt;&gt;"",COUNTIFS(DATA!$I$2:$I$500,E136)=0),"CEK Series tidak ada di DATA","OK")))))))</f>
        <v/>
      </c>
    </row>
    <row r="137">
      <c r="A137" s="10" t="n"/>
      <c r="B137" s="10" t="n"/>
      <c r="C137" s="10" t="n"/>
      <c r="D137" s="11" t="n"/>
      <c r="E137" s="10" t="n"/>
      <c r="F137" s="10" t="n"/>
      <c r="G137" s="12">
        <f>IF(D137="","",IFERROR(INDEX(DAFTAR_FIXTURE!$B$2:$B$51,MATCH(D137,DAFTAR_FIXTURE!$A$2:$A$51,0)),""))</f>
        <v/>
      </c>
      <c r="H137" s="12">
        <f>IF(G137="","",IF(LEFT(G137,4)="Wall","Wall",IF(LEFT(G137,7)="Gondola","Gondola",IF(LEFT(G137,6)="Pallet","Pallet",IF(LEFT(G137,6)="Endcap","Endcap","")))))</f>
        <v/>
      </c>
      <c r="I137" s="12">
        <f>IF(A137="","",IF(D137="","CEK ID FIXTURE kosong",IF(G137="","CEK ID FIXTURE tidak ada di DAFTAR_FIXTURE",IF(H137="Endcap","CEK Endcap tidak ikut sambung",IF(H137&lt;&gt;B137,"CEK kategori fixture tidak sama dengan KATEGORI",IF(C137="","CEK URUTAN kosong",IF(AND(E137&lt;&gt;"",COUNTIFS(DATA!$I$2:$I$500,E137)=0),"CEK Series tidak ada di DATA","OK")))))))</f>
        <v/>
      </c>
    </row>
    <row r="138">
      <c r="A138" s="10" t="n"/>
      <c r="B138" s="10" t="n"/>
      <c r="C138" s="10" t="n"/>
      <c r="D138" s="11" t="n"/>
      <c r="E138" s="10" t="n"/>
      <c r="F138" s="10" t="n"/>
      <c r="G138" s="12">
        <f>IF(D138="","",IFERROR(INDEX(DAFTAR_FIXTURE!$B$2:$B$51,MATCH(D138,DAFTAR_FIXTURE!$A$2:$A$51,0)),""))</f>
        <v/>
      </c>
      <c r="H138" s="12">
        <f>IF(G138="","",IF(LEFT(G138,4)="Wall","Wall",IF(LEFT(G138,7)="Gondola","Gondola",IF(LEFT(G138,6)="Pallet","Pallet",IF(LEFT(G138,6)="Endcap","Endcap","")))))</f>
        <v/>
      </c>
      <c r="I138" s="12">
        <f>IF(A138="","",IF(D138="","CEK ID FIXTURE kosong",IF(G138="","CEK ID FIXTURE tidak ada di DAFTAR_FIXTURE",IF(H138="Endcap","CEK Endcap tidak ikut sambung",IF(H138&lt;&gt;B138,"CEK kategori fixture tidak sama dengan KATEGORI",IF(C138="","CEK URUTAN kosong",IF(AND(E138&lt;&gt;"",COUNTIFS(DATA!$I$2:$I$500,E138)=0),"CEK Series tidak ada di DATA","OK")))))))</f>
        <v/>
      </c>
    </row>
    <row r="139">
      <c r="A139" s="10" t="n"/>
      <c r="B139" s="10" t="n"/>
      <c r="C139" s="10" t="n"/>
      <c r="D139" s="11" t="n"/>
      <c r="E139" s="10" t="n"/>
      <c r="F139" s="10" t="n"/>
      <c r="G139" s="12">
        <f>IF(D139="","",IFERROR(INDEX(DAFTAR_FIXTURE!$B$2:$B$51,MATCH(D139,DAFTAR_FIXTURE!$A$2:$A$51,0)),""))</f>
        <v/>
      </c>
      <c r="H139" s="12">
        <f>IF(G139="","",IF(LEFT(G139,4)="Wall","Wall",IF(LEFT(G139,7)="Gondola","Gondola",IF(LEFT(G139,6)="Pallet","Pallet",IF(LEFT(G139,6)="Endcap","Endcap","")))))</f>
        <v/>
      </c>
      <c r="I139" s="12">
        <f>IF(A139="","",IF(D139="","CEK ID FIXTURE kosong",IF(G139="","CEK ID FIXTURE tidak ada di DAFTAR_FIXTURE",IF(H139="Endcap","CEK Endcap tidak ikut sambung",IF(H139&lt;&gt;B139,"CEK kategori fixture tidak sama dengan KATEGORI",IF(C139="","CEK URUTAN kosong",IF(AND(E139&lt;&gt;"",COUNTIFS(DATA!$I$2:$I$500,E139)=0),"CEK Series tidak ada di DATA","OK")))))))</f>
        <v/>
      </c>
    </row>
    <row r="140">
      <c r="A140" s="10" t="n"/>
      <c r="B140" s="10" t="n"/>
      <c r="C140" s="10" t="n"/>
      <c r="D140" s="11" t="n"/>
      <c r="E140" s="10" t="n"/>
      <c r="F140" s="10" t="n"/>
      <c r="G140" s="12">
        <f>IF(D140="","",IFERROR(INDEX(DAFTAR_FIXTURE!$B$2:$B$51,MATCH(D140,DAFTAR_FIXTURE!$A$2:$A$51,0)),""))</f>
        <v/>
      </c>
      <c r="H140" s="12">
        <f>IF(G140="","",IF(LEFT(G140,4)="Wall","Wall",IF(LEFT(G140,7)="Gondola","Gondola",IF(LEFT(G140,6)="Pallet","Pallet",IF(LEFT(G140,6)="Endcap","Endcap","")))))</f>
        <v/>
      </c>
      <c r="I140" s="12">
        <f>IF(A140="","",IF(D140="","CEK ID FIXTURE kosong",IF(G140="","CEK ID FIXTURE tidak ada di DAFTAR_FIXTURE",IF(H140="Endcap","CEK Endcap tidak ikut sambung",IF(H140&lt;&gt;B140,"CEK kategori fixture tidak sama dengan KATEGORI",IF(C140="","CEK URUTAN kosong",IF(AND(E140&lt;&gt;"",COUNTIFS(DATA!$I$2:$I$500,E140)=0),"CEK Series tidak ada di DATA","OK")))))))</f>
        <v/>
      </c>
    </row>
    <row r="141">
      <c r="A141" s="10" t="n"/>
      <c r="B141" s="10" t="n"/>
      <c r="C141" s="10" t="n"/>
      <c r="D141" s="11" t="n"/>
      <c r="E141" s="10" t="n"/>
      <c r="F141" s="10" t="n"/>
      <c r="G141" s="12">
        <f>IF(D141="","",IFERROR(INDEX(DAFTAR_FIXTURE!$B$2:$B$51,MATCH(D141,DAFTAR_FIXTURE!$A$2:$A$51,0)),""))</f>
        <v/>
      </c>
      <c r="H141" s="12">
        <f>IF(G141="","",IF(LEFT(G141,4)="Wall","Wall",IF(LEFT(G141,7)="Gondola","Gondola",IF(LEFT(G141,6)="Pallet","Pallet",IF(LEFT(G141,6)="Endcap","Endcap","")))))</f>
        <v/>
      </c>
      <c r="I141" s="12">
        <f>IF(A141="","",IF(D141="","CEK ID FIXTURE kosong",IF(G141="","CEK ID FIXTURE tidak ada di DAFTAR_FIXTURE",IF(H141="Endcap","CEK Endcap tidak ikut sambung",IF(H141&lt;&gt;B141,"CEK kategori fixture tidak sama dengan KATEGORI",IF(C141="","CEK URUTAN kosong",IF(AND(E141&lt;&gt;"",COUNTIFS(DATA!$I$2:$I$500,E141)=0),"CEK Series tidak ada di DATA","OK")))))))</f>
        <v/>
      </c>
    </row>
    <row r="142">
      <c r="A142" s="10" t="n"/>
      <c r="B142" s="10" t="n"/>
      <c r="C142" s="10" t="n"/>
      <c r="D142" s="11" t="n"/>
      <c r="E142" s="10" t="n"/>
      <c r="F142" s="10" t="n"/>
      <c r="G142" s="12">
        <f>IF(D142="","",IFERROR(INDEX(DAFTAR_FIXTURE!$B$2:$B$51,MATCH(D142,DAFTAR_FIXTURE!$A$2:$A$51,0)),""))</f>
        <v/>
      </c>
      <c r="H142" s="12">
        <f>IF(G142="","",IF(LEFT(G142,4)="Wall","Wall",IF(LEFT(G142,7)="Gondola","Gondola",IF(LEFT(G142,6)="Pallet","Pallet",IF(LEFT(G142,6)="Endcap","Endcap","")))))</f>
        <v/>
      </c>
      <c r="I142" s="12">
        <f>IF(A142="","",IF(D142="","CEK ID FIXTURE kosong",IF(G142="","CEK ID FIXTURE tidak ada di DAFTAR_FIXTURE",IF(H142="Endcap","CEK Endcap tidak ikut sambung",IF(H142&lt;&gt;B142,"CEK kategori fixture tidak sama dengan KATEGORI",IF(C142="","CEK URUTAN kosong",IF(AND(E142&lt;&gt;"",COUNTIFS(DATA!$I$2:$I$500,E142)=0),"CEK Series tidak ada di DATA","OK")))))))</f>
        <v/>
      </c>
    </row>
    <row r="143">
      <c r="A143" s="10" t="n"/>
      <c r="B143" s="10" t="n"/>
      <c r="C143" s="10" t="n"/>
      <c r="D143" s="11" t="n"/>
      <c r="E143" s="10" t="n"/>
      <c r="F143" s="10" t="n"/>
      <c r="G143" s="12">
        <f>IF(D143="","",IFERROR(INDEX(DAFTAR_FIXTURE!$B$2:$B$51,MATCH(D143,DAFTAR_FIXTURE!$A$2:$A$51,0)),""))</f>
        <v/>
      </c>
      <c r="H143" s="12">
        <f>IF(G143="","",IF(LEFT(G143,4)="Wall","Wall",IF(LEFT(G143,7)="Gondola","Gondola",IF(LEFT(G143,6)="Pallet","Pallet",IF(LEFT(G143,6)="Endcap","Endcap","")))))</f>
        <v/>
      </c>
      <c r="I143" s="12">
        <f>IF(A143="","",IF(D143="","CEK ID FIXTURE kosong",IF(G143="","CEK ID FIXTURE tidak ada di DAFTAR_FIXTURE",IF(H143="Endcap","CEK Endcap tidak ikut sambung",IF(H143&lt;&gt;B143,"CEK kategori fixture tidak sama dengan KATEGORI",IF(C143="","CEK URUTAN kosong",IF(AND(E143&lt;&gt;"",COUNTIFS(DATA!$I$2:$I$500,E143)=0),"CEK Series tidak ada di DATA","OK")))))))</f>
        <v/>
      </c>
    </row>
    <row r="144">
      <c r="A144" s="10" t="n"/>
      <c r="B144" s="10" t="n"/>
      <c r="C144" s="10" t="n"/>
      <c r="D144" s="11" t="n"/>
      <c r="E144" s="10" t="n"/>
      <c r="F144" s="10" t="n"/>
      <c r="G144" s="12">
        <f>IF(D144="","",IFERROR(INDEX(DAFTAR_FIXTURE!$B$2:$B$51,MATCH(D144,DAFTAR_FIXTURE!$A$2:$A$51,0)),""))</f>
        <v/>
      </c>
      <c r="H144" s="12">
        <f>IF(G144="","",IF(LEFT(G144,4)="Wall","Wall",IF(LEFT(G144,7)="Gondola","Gondola",IF(LEFT(G144,6)="Pallet","Pallet",IF(LEFT(G144,6)="Endcap","Endcap","")))))</f>
        <v/>
      </c>
      <c r="I144" s="12">
        <f>IF(A144="","",IF(D144="","CEK ID FIXTURE kosong",IF(G144="","CEK ID FIXTURE tidak ada di DAFTAR_FIXTURE",IF(H144="Endcap","CEK Endcap tidak ikut sambung",IF(H144&lt;&gt;B144,"CEK kategori fixture tidak sama dengan KATEGORI",IF(C144="","CEK URUTAN kosong",IF(AND(E144&lt;&gt;"",COUNTIFS(DATA!$I$2:$I$500,E144)=0),"CEK Series tidak ada di DATA","OK")))))))</f>
        <v/>
      </c>
    </row>
    <row r="145">
      <c r="A145" s="10" t="n"/>
      <c r="B145" s="10" t="n"/>
      <c r="C145" s="10" t="n"/>
      <c r="D145" s="11" t="n"/>
      <c r="E145" s="10" t="n"/>
      <c r="F145" s="10" t="n"/>
      <c r="G145" s="12">
        <f>IF(D145="","",IFERROR(INDEX(DAFTAR_FIXTURE!$B$2:$B$51,MATCH(D145,DAFTAR_FIXTURE!$A$2:$A$51,0)),""))</f>
        <v/>
      </c>
      <c r="H145" s="12">
        <f>IF(G145="","",IF(LEFT(G145,4)="Wall","Wall",IF(LEFT(G145,7)="Gondola","Gondola",IF(LEFT(G145,6)="Pallet","Pallet",IF(LEFT(G145,6)="Endcap","Endcap","")))))</f>
        <v/>
      </c>
      <c r="I145" s="12">
        <f>IF(A145="","",IF(D145="","CEK ID FIXTURE kosong",IF(G145="","CEK ID FIXTURE tidak ada di DAFTAR_FIXTURE",IF(H145="Endcap","CEK Endcap tidak ikut sambung",IF(H145&lt;&gt;B145,"CEK kategori fixture tidak sama dengan KATEGORI",IF(C145="","CEK URUTAN kosong",IF(AND(E145&lt;&gt;"",COUNTIFS(DATA!$I$2:$I$500,E145)=0),"CEK Series tidak ada di DATA","OK")))))))</f>
        <v/>
      </c>
    </row>
    <row r="146">
      <c r="A146" s="10" t="n"/>
      <c r="B146" s="10" t="n"/>
      <c r="C146" s="10" t="n"/>
      <c r="D146" s="11" t="n"/>
      <c r="E146" s="10" t="n"/>
      <c r="F146" s="10" t="n"/>
      <c r="G146" s="12">
        <f>IF(D146="","",IFERROR(INDEX(DAFTAR_FIXTURE!$B$2:$B$51,MATCH(D146,DAFTAR_FIXTURE!$A$2:$A$51,0)),""))</f>
        <v/>
      </c>
      <c r="H146" s="12">
        <f>IF(G146="","",IF(LEFT(G146,4)="Wall","Wall",IF(LEFT(G146,7)="Gondola","Gondola",IF(LEFT(G146,6)="Pallet","Pallet",IF(LEFT(G146,6)="Endcap","Endcap","")))))</f>
        <v/>
      </c>
      <c r="I146" s="12">
        <f>IF(A146="","",IF(D146="","CEK ID FIXTURE kosong",IF(G146="","CEK ID FIXTURE tidak ada di DAFTAR_FIXTURE",IF(H146="Endcap","CEK Endcap tidak ikut sambung",IF(H146&lt;&gt;B146,"CEK kategori fixture tidak sama dengan KATEGORI",IF(C146="","CEK URUTAN kosong",IF(AND(E146&lt;&gt;"",COUNTIFS(DATA!$I$2:$I$500,E146)=0),"CEK Series tidak ada di DATA","OK")))))))</f>
        <v/>
      </c>
    </row>
    <row r="147">
      <c r="A147" s="10" t="n"/>
      <c r="B147" s="10" t="n"/>
      <c r="C147" s="10" t="n"/>
      <c r="D147" s="11" t="n"/>
      <c r="E147" s="10" t="n"/>
      <c r="F147" s="10" t="n"/>
      <c r="G147" s="12">
        <f>IF(D147="","",IFERROR(INDEX(DAFTAR_FIXTURE!$B$2:$B$51,MATCH(D147,DAFTAR_FIXTURE!$A$2:$A$51,0)),""))</f>
        <v/>
      </c>
      <c r="H147" s="12">
        <f>IF(G147="","",IF(LEFT(G147,4)="Wall","Wall",IF(LEFT(G147,7)="Gondola","Gondola",IF(LEFT(G147,6)="Pallet","Pallet",IF(LEFT(G147,6)="Endcap","Endcap","")))))</f>
        <v/>
      </c>
      <c r="I147" s="12">
        <f>IF(A147="","",IF(D147="","CEK ID FIXTURE kosong",IF(G147="","CEK ID FIXTURE tidak ada di DAFTAR_FIXTURE",IF(H147="Endcap","CEK Endcap tidak ikut sambung",IF(H147&lt;&gt;B147,"CEK kategori fixture tidak sama dengan KATEGORI",IF(C147="","CEK URUTAN kosong",IF(AND(E147&lt;&gt;"",COUNTIFS(DATA!$I$2:$I$500,E147)=0),"CEK Series tidak ada di DATA","OK")))))))</f>
        <v/>
      </c>
    </row>
    <row r="148">
      <c r="A148" s="10" t="n"/>
      <c r="B148" s="10" t="n"/>
      <c r="C148" s="10" t="n"/>
      <c r="D148" s="11" t="n"/>
      <c r="E148" s="10" t="n"/>
      <c r="F148" s="10" t="n"/>
      <c r="G148" s="12">
        <f>IF(D148="","",IFERROR(INDEX(DAFTAR_FIXTURE!$B$2:$B$51,MATCH(D148,DAFTAR_FIXTURE!$A$2:$A$51,0)),""))</f>
        <v/>
      </c>
      <c r="H148" s="12">
        <f>IF(G148="","",IF(LEFT(G148,4)="Wall","Wall",IF(LEFT(G148,7)="Gondola","Gondola",IF(LEFT(G148,6)="Pallet","Pallet",IF(LEFT(G148,6)="Endcap","Endcap","")))))</f>
        <v/>
      </c>
      <c r="I148" s="12">
        <f>IF(A148="","",IF(D148="","CEK ID FIXTURE kosong",IF(G148="","CEK ID FIXTURE tidak ada di DAFTAR_FIXTURE",IF(H148="Endcap","CEK Endcap tidak ikut sambung",IF(H148&lt;&gt;B148,"CEK kategori fixture tidak sama dengan KATEGORI",IF(C148="","CEK URUTAN kosong",IF(AND(E148&lt;&gt;"",COUNTIFS(DATA!$I$2:$I$500,E148)=0),"CEK Series tidak ada di DATA","OK")))))))</f>
        <v/>
      </c>
    </row>
    <row r="149">
      <c r="A149" s="10" t="n"/>
      <c r="B149" s="10" t="n"/>
      <c r="C149" s="10" t="n"/>
      <c r="D149" s="11" t="n"/>
      <c r="E149" s="10" t="n"/>
      <c r="F149" s="10" t="n"/>
      <c r="G149" s="12">
        <f>IF(D149="","",IFERROR(INDEX(DAFTAR_FIXTURE!$B$2:$B$51,MATCH(D149,DAFTAR_FIXTURE!$A$2:$A$51,0)),""))</f>
        <v/>
      </c>
      <c r="H149" s="12">
        <f>IF(G149="","",IF(LEFT(G149,4)="Wall","Wall",IF(LEFT(G149,7)="Gondola","Gondola",IF(LEFT(G149,6)="Pallet","Pallet",IF(LEFT(G149,6)="Endcap","Endcap","")))))</f>
        <v/>
      </c>
      <c r="I149" s="12">
        <f>IF(A149="","",IF(D149="","CEK ID FIXTURE kosong",IF(G149="","CEK ID FIXTURE tidak ada di DAFTAR_FIXTURE",IF(H149="Endcap","CEK Endcap tidak ikut sambung",IF(H149&lt;&gt;B149,"CEK kategori fixture tidak sama dengan KATEGORI",IF(C149="","CEK URUTAN kosong",IF(AND(E149&lt;&gt;"",COUNTIFS(DATA!$I$2:$I$500,E149)=0),"CEK Series tidak ada di DATA","OK")))))))</f>
        <v/>
      </c>
    </row>
    <row r="150">
      <c r="A150" s="10" t="n"/>
      <c r="B150" s="10" t="n"/>
      <c r="C150" s="10" t="n"/>
      <c r="D150" s="11" t="n"/>
      <c r="E150" s="10" t="n"/>
      <c r="F150" s="10" t="n"/>
      <c r="G150" s="12">
        <f>IF(D150="","",IFERROR(INDEX(DAFTAR_FIXTURE!$B$2:$B$51,MATCH(D150,DAFTAR_FIXTURE!$A$2:$A$51,0)),""))</f>
        <v/>
      </c>
      <c r="H150" s="12">
        <f>IF(G150="","",IF(LEFT(G150,4)="Wall","Wall",IF(LEFT(G150,7)="Gondola","Gondola",IF(LEFT(G150,6)="Pallet","Pallet",IF(LEFT(G150,6)="Endcap","Endcap","")))))</f>
        <v/>
      </c>
      <c r="I150" s="12">
        <f>IF(A150="","",IF(D150="","CEK ID FIXTURE kosong",IF(G150="","CEK ID FIXTURE tidak ada di DAFTAR_FIXTURE",IF(H150="Endcap","CEK Endcap tidak ikut sambung",IF(H150&lt;&gt;B150,"CEK kategori fixture tidak sama dengan KATEGORI",IF(C150="","CEK URUTAN kosong",IF(AND(E150&lt;&gt;"",COUNTIFS(DATA!$I$2:$I$500,E150)=0),"CEK Series tidak ada di DATA","OK")))))))</f>
        <v/>
      </c>
    </row>
    <row r="151">
      <c r="A151" s="10" t="n"/>
      <c r="B151" s="10" t="n"/>
      <c r="C151" s="10" t="n"/>
      <c r="D151" s="11" t="n"/>
      <c r="E151" s="10" t="n"/>
      <c r="F151" s="10" t="n"/>
      <c r="G151" s="12">
        <f>IF(D151="","",IFERROR(INDEX(DAFTAR_FIXTURE!$B$2:$B$51,MATCH(D151,DAFTAR_FIXTURE!$A$2:$A$51,0)),""))</f>
        <v/>
      </c>
      <c r="H151" s="12">
        <f>IF(G151="","",IF(LEFT(G151,4)="Wall","Wall",IF(LEFT(G151,7)="Gondola","Gondola",IF(LEFT(G151,6)="Pallet","Pallet",IF(LEFT(G151,6)="Endcap","Endcap","")))))</f>
        <v/>
      </c>
      <c r="I151" s="12">
        <f>IF(A151="","",IF(D151="","CEK ID FIXTURE kosong",IF(G151="","CEK ID FIXTURE tidak ada di DAFTAR_FIXTURE",IF(H151="Endcap","CEK Endcap tidak ikut sambung",IF(H151&lt;&gt;B151,"CEK kategori fixture tidak sama dengan KATEGORI",IF(C151="","CEK URUTAN kosong",IF(AND(E151&lt;&gt;"",COUNTIFS(DATA!$I$2:$I$500,E151)=0),"CEK Series tidak ada di DATA","OK")))))))</f>
        <v/>
      </c>
    </row>
    <row r="152">
      <c r="A152" s="10" t="n"/>
      <c r="B152" s="10" t="n"/>
      <c r="C152" s="10" t="n"/>
      <c r="D152" s="11" t="n"/>
      <c r="E152" s="10" t="n"/>
      <c r="F152" s="10" t="n"/>
      <c r="G152" s="12">
        <f>IF(D152="","",IFERROR(INDEX(DAFTAR_FIXTURE!$B$2:$B$51,MATCH(D152,DAFTAR_FIXTURE!$A$2:$A$51,0)),""))</f>
        <v/>
      </c>
      <c r="H152" s="12">
        <f>IF(G152="","",IF(LEFT(G152,4)="Wall","Wall",IF(LEFT(G152,7)="Gondola","Gondola",IF(LEFT(G152,6)="Pallet","Pallet",IF(LEFT(G152,6)="Endcap","Endcap","")))))</f>
        <v/>
      </c>
      <c r="I152" s="12">
        <f>IF(A152="","",IF(D152="","CEK ID FIXTURE kosong",IF(G152="","CEK ID FIXTURE tidak ada di DAFTAR_FIXTURE",IF(H152="Endcap","CEK Endcap tidak ikut sambung",IF(H152&lt;&gt;B152,"CEK kategori fixture tidak sama dengan KATEGORI",IF(C152="","CEK URUTAN kosong",IF(AND(E152&lt;&gt;"",COUNTIFS(DATA!$I$2:$I$500,E152)=0),"CEK Series tidak ada di DATA","OK")))))))</f>
        <v/>
      </c>
    </row>
    <row r="153">
      <c r="A153" s="10" t="n"/>
      <c r="B153" s="10" t="n"/>
      <c r="C153" s="10" t="n"/>
      <c r="D153" s="11" t="n"/>
      <c r="E153" s="10" t="n"/>
      <c r="F153" s="10" t="n"/>
      <c r="G153" s="12">
        <f>IF(D153="","",IFERROR(INDEX(DAFTAR_FIXTURE!$B$2:$B$51,MATCH(D153,DAFTAR_FIXTURE!$A$2:$A$51,0)),""))</f>
        <v/>
      </c>
      <c r="H153" s="12">
        <f>IF(G153="","",IF(LEFT(G153,4)="Wall","Wall",IF(LEFT(G153,7)="Gondola","Gondola",IF(LEFT(G153,6)="Pallet","Pallet",IF(LEFT(G153,6)="Endcap","Endcap","")))))</f>
        <v/>
      </c>
      <c r="I153" s="12">
        <f>IF(A153="","",IF(D153="","CEK ID FIXTURE kosong",IF(G153="","CEK ID FIXTURE tidak ada di DAFTAR_FIXTURE",IF(H153="Endcap","CEK Endcap tidak ikut sambung",IF(H153&lt;&gt;B153,"CEK kategori fixture tidak sama dengan KATEGORI",IF(C153="","CEK URUTAN kosong",IF(AND(E153&lt;&gt;"",COUNTIFS(DATA!$I$2:$I$500,E153)=0),"CEK Series tidak ada di DATA","OK")))))))</f>
        <v/>
      </c>
    </row>
    <row r="154">
      <c r="A154" s="10" t="n"/>
      <c r="B154" s="10" t="n"/>
      <c r="C154" s="10" t="n"/>
      <c r="D154" s="11" t="n"/>
      <c r="E154" s="10" t="n"/>
      <c r="F154" s="10" t="n"/>
      <c r="G154" s="12">
        <f>IF(D154="","",IFERROR(INDEX(DAFTAR_FIXTURE!$B$2:$B$51,MATCH(D154,DAFTAR_FIXTURE!$A$2:$A$51,0)),""))</f>
        <v/>
      </c>
      <c r="H154" s="12">
        <f>IF(G154="","",IF(LEFT(G154,4)="Wall","Wall",IF(LEFT(G154,7)="Gondola","Gondola",IF(LEFT(G154,6)="Pallet","Pallet",IF(LEFT(G154,6)="Endcap","Endcap","")))))</f>
        <v/>
      </c>
      <c r="I154" s="12">
        <f>IF(A154="","",IF(D154="","CEK ID FIXTURE kosong",IF(G154="","CEK ID FIXTURE tidak ada di DAFTAR_FIXTURE",IF(H154="Endcap","CEK Endcap tidak ikut sambung",IF(H154&lt;&gt;B154,"CEK kategori fixture tidak sama dengan KATEGORI",IF(C154="","CEK URUTAN kosong",IF(AND(E154&lt;&gt;"",COUNTIFS(DATA!$I$2:$I$500,E154)=0),"CEK Series tidak ada di DATA","OK")))))))</f>
        <v/>
      </c>
    </row>
    <row r="155">
      <c r="A155" s="10" t="n"/>
      <c r="B155" s="10" t="n"/>
      <c r="C155" s="10" t="n"/>
      <c r="D155" s="11" t="n"/>
      <c r="E155" s="10" t="n"/>
      <c r="F155" s="10" t="n"/>
      <c r="G155" s="12">
        <f>IF(D155="","",IFERROR(INDEX(DAFTAR_FIXTURE!$B$2:$B$51,MATCH(D155,DAFTAR_FIXTURE!$A$2:$A$51,0)),""))</f>
        <v/>
      </c>
      <c r="H155" s="12">
        <f>IF(G155="","",IF(LEFT(G155,4)="Wall","Wall",IF(LEFT(G155,7)="Gondola","Gondola",IF(LEFT(G155,6)="Pallet","Pallet",IF(LEFT(G155,6)="Endcap","Endcap","")))))</f>
        <v/>
      </c>
      <c r="I155" s="12">
        <f>IF(A155="","",IF(D155="","CEK ID FIXTURE kosong",IF(G155="","CEK ID FIXTURE tidak ada di DAFTAR_FIXTURE",IF(H155="Endcap","CEK Endcap tidak ikut sambung",IF(H155&lt;&gt;B155,"CEK kategori fixture tidak sama dengan KATEGORI",IF(C155="","CEK URUTAN kosong",IF(AND(E155&lt;&gt;"",COUNTIFS(DATA!$I$2:$I$500,E155)=0),"CEK Series tidak ada di DATA","OK")))))))</f>
        <v/>
      </c>
    </row>
    <row r="156">
      <c r="A156" s="10" t="n"/>
      <c r="B156" s="10" t="n"/>
      <c r="C156" s="10" t="n"/>
      <c r="D156" s="11" t="n"/>
      <c r="E156" s="10" t="n"/>
      <c r="F156" s="10" t="n"/>
      <c r="G156" s="12">
        <f>IF(D156="","",IFERROR(INDEX(DAFTAR_FIXTURE!$B$2:$B$51,MATCH(D156,DAFTAR_FIXTURE!$A$2:$A$51,0)),""))</f>
        <v/>
      </c>
      <c r="H156" s="12">
        <f>IF(G156="","",IF(LEFT(G156,4)="Wall","Wall",IF(LEFT(G156,7)="Gondola","Gondola",IF(LEFT(G156,6)="Pallet","Pallet",IF(LEFT(G156,6)="Endcap","Endcap","")))))</f>
        <v/>
      </c>
      <c r="I156" s="12">
        <f>IF(A156="","",IF(D156="","CEK ID FIXTURE kosong",IF(G156="","CEK ID FIXTURE tidak ada di DAFTAR_FIXTURE",IF(H156="Endcap","CEK Endcap tidak ikut sambung",IF(H156&lt;&gt;B156,"CEK kategori fixture tidak sama dengan KATEGORI",IF(C156="","CEK URUTAN kosong",IF(AND(E156&lt;&gt;"",COUNTIFS(DATA!$I$2:$I$500,E156)=0),"CEK Series tidak ada di DATA","OK")))))))</f>
        <v/>
      </c>
    </row>
    <row r="157">
      <c r="A157" s="10" t="n"/>
      <c r="B157" s="10" t="n"/>
      <c r="C157" s="10" t="n"/>
      <c r="D157" s="11" t="n"/>
      <c r="E157" s="10" t="n"/>
      <c r="F157" s="10" t="n"/>
      <c r="G157" s="12">
        <f>IF(D157="","",IFERROR(INDEX(DAFTAR_FIXTURE!$B$2:$B$51,MATCH(D157,DAFTAR_FIXTURE!$A$2:$A$51,0)),""))</f>
        <v/>
      </c>
      <c r="H157" s="12">
        <f>IF(G157="","",IF(LEFT(G157,4)="Wall","Wall",IF(LEFT(G157,7)="Gondola","Gondola",IF(LEFT(G157,6)="Pallet","Pallet",IF(LEFT(G157,6)="Endcap","Endcap","")))))</f>
        <v/>
      </c>
      <c r="I157" s="12">
        <f>IF(A157="","",IF(D157="","CEK ID FIXTURE kosong",IF(G157="","CEK ID FIXTURE tidak ada di DAFTAR_FIXTURE",IF(H157="Endcap","CEK Endcap tidak ikut sambung",IF(H157&lt;&gt;B157,"CEK kategori fixture tidak sama dengan KATEGORI",IF(C157="","CEK URUTAN kosong",IF(AND(E157&lt;&gt;"",COUNTIFS(DATA!$I$2:$I$500,E157)=0),"CEK Series tidak ada di DATA","OK")))))))</f>
        <v/>
      </c>
    </row>
    <row r="158">
      <c r="A158" s="10" t="n"/>
      <c r="B158" s="10" t="n"/>
      <c r="C158" s="10" t="n"/>
      <c r="D158" s="11" t="n"/>
      <c r="E158" s="10" t="n"/>
      <c r="F158" s="10" t="n"/>
      <c r="G158" s="12">
        <f>IF(D158="","",IFERROR(INDEX(DAFTAR_FIXTURE!$B$2:$B$51,MATCH(D158,DAFTAR_FIXTURE!$A$2:$A$51,0)),""))</f>
        <v/>
      </c>
      <c r="H158" s="12">
        <f>IF(G158="","",IF(LEFT(G158,4)="Wall","Wall",IF(LEFT(G158,7)="Gondola","Gondola",IF(LEFT(G158,6)="Pallet","Pallet",IF(LEFT(G158,6)="Endcap","Endcap","")))))</f>
        <v/>
      </c>
      <c r="I158" s="12">
        <f>IF(A158="","",IF(D158="","CEK ID FIXTURE kosong",IF(G158="","CEK ID FIXTURE tidak ada di DAFTAR_FIXTURE",IF(H158="Endcap","CEK Endcap tidak ikut sambung",IF(H158&lt;&gt;B158,"CEK kategori fixture tidak sama dengan KATEGORI",IF(C158="","CEK URUTAN kosong",IF(AND(E158&lt;&gt;"",COUNTIFS(DATA!$I$2:$I$500,E158)=0),"CEK Series tidak ada di DATA","OK")))))))</f>
        <v/>
      </c>
    </row>
    <row r="159">
      <c r="A159" s="10" t="n"/>
      <c r="B159" s="10" t="n"/>
      <c r="C159" s="10" t="n"/>
      <c r="D159" s="11" t="n"/>
      <c r="E159" s="10" t="n"/>
      <c r="F159" s="10" t="n"/>
      <c r="G159" s="12">
        <f>IF(D159="","",IFERROR(INDEX(DAFTAR_FIXTURE!$B$2:$B$51,MATCH(D159,DAFTAR_FIXTURE!$A$2:$A$51,0)),""))</f>
        <v/>
      </c>
      <c r="H159" s="12">
        <f>IF(G159="","",IF(LEFT(G159,4)="Wall","Wall",IF(LEFT(G159,7)="Gondola","Gondola",IF(LEFT(G159,6)="Pallet","Pallet",IF(LEFT(G159,6)="Endcap","Endcap","")))))</f>
        <v/>
      </c>
      <c r="I159" s="12">
        <f>IF(A159="","",IF(D159="","CEK ID FIXTURE kosong",IF(G159="","CEK ID FIXTURE tidak ada di DAFTAR_FIXTURE",IF(H159="Endcap","CEK Endcap tidak ikut sambung",IF(H159&lt;&gt;B159,"CEK kategori fixture tidak sama dengan KATEGORI",IF(C159="","CEK URUTAN kosong",IF(AND(E159&lt;&gt;"",COUNTIFS(DATA!$I$2:$I$500,E159)=0),"CEK Series tidak ada di DATA","OK")))))))</f>
        <v/>
      </c>
    </row>
    <row r="160">
      <c r="A160" s="10" t="n"/>
      <c r="B160" s="10" t="n"/>
      <c r="C160" s="10" t="n"/>
      <c r="D160" s="11" t="n"/>
      <c r="E160" s="10" t="n"/>
      <c r="F160" s="10" t="n"/>
      <c r="G160" s="12">
        <f>IF(D160="","",IFERROR(INDEX(DAFTAR_FIXTURE!$B$2:$B$51,MATCH(D160,DAFTAR_FIXTURE!$A$2:$A$51,0)),""))</f>
        <v/>
      </c>
      <c r="H160" s="12">
        <f>IF(G160="","",IF(LEFT(G160,4)="Wall","Wall",IF(LEFT(G160,7)="Gondola","Gondola",IF(LEFT(G160,6)="Pallet","Pallet",IF(LEFT(G160,6)="Endcap","Endcap","")))))</f>
        <v/>
      </c>
      <c r="I160" s="12">
        <f>IF(A160="","",IF(D160="","CEK ID FIXTURE kosong",IF(G160="","CEK ID FIXTURE tidak ada di DAFTAR_FIXTURE",IF(H160="Endcap","CEK Endcap tidak ikut sambung",IF(H160&lt;&gt;B160,"CEK kategori fixture tidak sama dengan KATEGORI",IF(C160="","CEK URUTAN kosong",IF(AND(E160&lt;&gt;"",COUNTIFS(DATA!$I$2:$I$500,E160)=0),"CEK Series tidak ada di DATA","OK")))))))</f>
        <v/>
      </c>
    </row>
    <row r="161">
      <c r="A161" s="10" t="n"/>
      <c r="B161" s="10" t="n"/>
      <c r="C161" s="10" t="n"/>
      <c r="D161" s="11" t="n"/>
      <c r="E161" s="10" t="n"/>
      <c r="F161" s="10" t="n"/>
      <c r="G161" s="12">
        <f>IF(D161="","",IFERROR(INDEX(DAFTAR_FIXTURE!$B$2:$B$51,MATCH(D161,DAFTAR_FIXTURE!$A$2:$A$51,0)),""))</f>
        <v/>
      </c>
      <c r="H161" s="12">
        <f>IF(G161="","",IF(LEFT(G161,4)="Wall","Wall",IF(LEFT(G161,7)="Gondola","Gondola",IF(LEFT(G161,6)="Pallet","Pallet",IF(LEFT(G161,6)="Endcap","Endcap","")))))</f>
        <v/>
      </c>
      <c r="I161" s="12">
        <f>IF(A161="","",IF(D161="","CEK ID FIXTURE kosong",IF(G161="","CEK ID FIXTURE tidak ada di DAFTAR_FIXTURE",IF(H161="Endcap","CEK Endcap tidak ikut sambung",IF(H161&lt;&gt;B161,"CEK kategori fixture tidak sama dengan KATEGORI",IF(C161="","CEK URUTAN kosong",IF(AND(E161&lt;&gt;"",COUNTIFS(DATA!$I$2:$I$500,E161)=0),"CEK Series tidak ada di DATA","OK")))))))</f>
        <v/>
      </c>
    </row>
    <row r="162">
      <c r="A162" s="10" t="n"/>
      <c r="B162" s="10" t="n"/>
      <c r="C162" s="10" t="n"/>
      <c r="D162" s="11" t="n"/>
      <c r="E162" s="10" t="n"/>
      <c r="F162" s="10" t="n"/>
      <c r="G162" s="12">
        <f>IF(D162="","",IFERROR(INDEX(DAFTAR_FIXTURE!$B$2:$B$51,MATCH(D162,DAFTAR_FIXTURE!$A$2:$A$51,0)),""))</f>
        <v/>
      </c>
      <c r="H162" s="12">
        <f>IF(G162="","",IF(LEFT(G162,4)="Wall","Wall",IF(LEFT(G162,7)="Gondola","Gondola",IF(LEFT(G162,6)="Pallet","Pallet",IF(LEFT(G162,6)="Endcap","Endcap","")))))</f>
        <v/>
      </c>
      <c r="I162" s="12">
        <f>IF(A162="","",IF(D162="","CEK ID FIXTURE kosong",IF(G162="","CEK ID FIXTURE tidak ada di DAFTAR_FIXTURE",IF(H162="Endcap","CEK Endcap tidak ikut sambung",IF(H162&lt;&gt;B162,"CEK kategori fixture tidak sama dengan KATEGORI",IF(C162="","CEK URUTAN kosong",IF(AND(E162&lt;&gt;"",COUNTIFS(DATA!$I$2:$I$500,E162)=0),"CEK Series tidak ada di DATA","OK")))))))</f>
        <v/>
      </c>
    </row>
    <row r="163">
      <c r="A163" s="10" t="n"/>
      <c r="B163" s="10" t="n"/>
      <c r="C163" s="10" t="n"/>
      <c r="D163" s="11" t="n"/>
      <c r="E163" s="10" t="n"/>
      <c r="F163" s="10" t="n"/>
      <c r="G163" s="12">
        <f>IF(D163="","",IFERROR(INDEX(DAFTAR_FIXTURE!$B$2:$B$51,MATCH(D163,DAFTAR_FIXTURE!$A$2:$A$51,0)),""))</f>
        <v/>
      </c>
      <c r="H163" s="12">
        <f>IF(G163="","",IF(LEFT(G163,4)="Wall","Wall",IF(LEFT(G163,7)="Gondola","Gondola",IF(LEFT(G163,6)="Pallet","Pallet",IF(LEFT(G163,6)="Endcap","Endcap","")))))</f>
        <v/>
      </c>
      <c r="I163" s="12">
        <f>IF(A163="","",IF(D163="","CEK ID FIXTURE kosong",IF(G163="","CEK ID FIXTURE tidak ada di DAFTAR_FIXTURE",IF(H163="Endcap","CEK Endcap tidak ikut sambung",IF(H163&lt;&gt;B163,"CEK kategori fixture tidak sama dengan KATEGORI",IF(C163="","CEK URUTAN kosong",IF(AND(E163&lt;&gt;"",COUNTIFS(DATA!$I$2:$I$500,E163)=0),"CEK Series tidak ada di DATA","OK")))))))</f>
        <v/>
      </c>
    </row>
    <row r="164">
      <c r="A164" s="10" t="n"/>
      <c r="B164" s="10" t="n"/>
      <c r="C164" s="10" t="n"/>
      <c r="D164" s="11" t="n"/>
      <c r="E164" s="10" t="n"/>
      <c r="F164" s="10" t="n"/>
      <c r="G164" s="12">
        <f>IF(D164="","",IFERROR(INDEX(DAFTAR_FIXTURE!$B$2:$B$51,MATCH(D164,DAFTAR_FIXTURE!$A$2:$A$51,0)),""))</f>
        <v/>
      </c>
      <c r="H164" s="12">
        <f>IF(G164="","",IF(LEFT(G164,4)="Wall","Wall",IF(LEFT(G164,7)="Gondola","Gondola",IF(LEFT(G164,6)="Pallet","Pallet",IF(LEFT(G164,6)="Endcap","Endcap","")))))</f>
        <v/>
      </c>
      <c r="I164" s="12">
        <f>IF(A164="","",IF(D164="","CEK ID FIXTURE kosong",IF(G164="","CEK ID FIXTURE tidak ada di DAFTAR_FIXTURE",IF(H164="Endcap","CEK Endcap tidak ikut sambung",IF(H164&lt;&gt;B164,"CEK kategori fixture tidak sama dengan KATEGORI",IF(C164="","CEK URUTAN kosong",IF(AND(E164&lt;&gt;"",COUNTIFS(DATA!$I$2:$I$500,E164)=0),"CEK Series tidak ada di DATA","OK")))))))</f>
        <v/>
      </c>
    </row>
    <row r="165">
      <c r="A165" s="10" t="n"/>
      <c r="B165" s="10" t="n"/>
      <c r="C165" s="10" t="n"/>
      <c r="D165" s="11" t="n"/>
      <c r="E165" s="10" t="n"/>
      <c r="F165" s="10" t="n"/>
      <c r="G165" s="12">
        <f>IF(D165="","",IFERROR(INDEX(DAFTAR_FIXTURE!$B$2:$B$51,MATCH(D165,DAFTAR_FIXTURE!$A$2:$A$51,0)),""))</f>
        <v/>
      </c>
      <c r="H165" s="12">
        <f>IF(G165="","",IF(LEFT(G165,4)="Wall","Wall",IF(LEFT(G165,7)="Gondola","Gondola",IF(LEFT(G165,6)="Pallet","Pallet",IF(LEFT(G165,6)="Endcap","Endcap","")))))</f>
        <v/>
      </c>
      <c r="I165" s="12">
        <f>IF(A165="","",IF(D165="","CEK ID FIXTURE kosong",IF(G165="","CEK ID FIXTURE tidak ada di DAFTAR_FIXTURE",IF(H165="Endcap","CEK Endcap tidak ikut sambung",IF(H165&lt;&gt;B165,"CEK kategori fixture tidak sama dengan KATEGORI",IF(C165="","CEK URUTAN kosong",IF(AND(E165&lt;&gt;"",COUNTIFS(DATA!$I$2:$I$500,E165)=0),"CEK Series tidak ada di DATA","OK")))))))</f>
        <v/>
      </c>
    </row>
    <row r="166">
      <c r="A166" s="10" t="n"/>
      <c r="B166" s="10" t="n"/>
      <c r="C166" s="10" t="n"/>
      <c r="D166" s="11" t="n"/>
      <c r="E166" s="10" t="n"/>
      <c r="F166" s="10" t="n"/>
      <c r="G166" s="12">
        <f>IF(D166="","",IFERROR(INDEX(DAFTAR_FIXTURE!$B$2:$B$51,MATCH(D166,DAFTAR_FIXTURE!$A$2:$A$51,0)),""))</f>
        <v/>
      </c>
      <c r="H166" s="12">
        <f>IF(G166="","",IF(LEFT(G166,4)="Wall","Wall",IF(LEFT(G166,7)="Gondola","Gondola",IF(LEFT(G166,6)="Pallet","Pallet",IF(LEFT(G166,6)="Endcap","Endcap","")))))</f>
        <v/>
      </c>
      <c r="I166" s="12">
        <f>IF(A166="","",IF(D166="","CEK ID FIXTURE kosong",IF(G166="","CEK ID FIXTURE tidak ada di DAFTAR_FIXTURE",IF(H166="Endcap","CEK Endcap tidak ikut sambung",IF(H166&lt;&gt;B166,"CEK kategori fixture tidak sama dengan KATEGORI",IF(C166="","CEK URUTAN kosong",IF(AND(E166&lt;&gt;"",COUNTIFS(DATA!$I$2:$I$500,E166)=0),"CEK Series tidak ada di DATA","OK")))))))</f>
        <v/>
      </c>
    </row>
    <row r="167">
      <c r="A167" s="10" t="n"/>
      <c r="B167" s="10" t="n"/>
      <c r="C167" s="10" t="n"/>
      <c r="D167" s="11" t="n"/>
      <c r="E167" s="10" t="n"/>
      <c r="F167" s="10" t="n"/>
      <c r="G167" s="12">
        <f>IF(D167="","",IFERROR(INDEX(DAFTAR_FIXTURE!$B$2:$B$51,MATCH(D167,DAFTAR_FIXTURE!$A$2:$A$51,0)),""))</f>
        <v/>
      </c>
      <c r="H167" s="12">
        <f>IF(G167="","",IF(LEFT(G167,4)="Wall","Wall",IF(LEFT(G167,7)="Gondola","Gondola",IF(LEFT(G167,6)="Pallet","Pallet",IF(LEFT(G167,6)="Endcap","Endcap","")))))</f>
        <v/>
      </c>
      <c r="I167" s="12">
        <f>IF(A167="","",IF(D167="","CEK ID FIXTURE kosong",IF(G167="","CEK ID FIXTURE tidak ada di DAFTAR_FIXTURE",IF(H167="Endcap","CEK Endcap tidak ikut sambung",IF(H167&lt;&gt;B167,"CEK kategori fixture tidak sama dengan KATEGORI",IF(C167="","CEK URUTAN kosong",IF(AND(E167&lt;&gt;"",COUNTIFS(DATA!$I$2:$I$500,E167)=0),"CEK Series tidak ada di DATA","OK")))))))</f>
        <v/>
      </c>
    </row>
    <row r="168">
      <c r="A168" s="10" t="n"/>
      <c r="B168" s="10" t="n"/>
      <c r="C168" s="10" t="n"/>
      <c r="D168" s="11" t="n"/>
      <c r="E168" s="10" t="n"/>
      <c r="F168" s="10" t="n"/>
      <c r="G168" s="12">
        <f>IF(D168="","",IFERROR(INDEX(DAFTAR_FIXTURE!$B$2:$B$51,MATCH(D168,DAFTAR_FIXTURE!$A$2:$A$51,0)),""))</f>
        <v/>
      </c>
      <c r="H168" s="12">
        <f>IF(G168="","",IF(LEFT(G168,4)="Wall","Wall",IF(LEFT(G168,7)="Gondola","Gondola",IF(LEFT(G168,6)="Pallet","Pallet",IF(LEFT(G168,6)="Endcap","Endcap","")))))</f>
        <v/>
      </c>
      <c r="I168" s="12">
        <f>IF(A168="","",IF(D168="","CEK ID FIXTURE kosong",IF(G168="","CEK ID FIXTURE tidak ada di DAFTAR_FIXTURE",IF(H168="Endcap","CEK Endcap tidak ikut sambung",IF(H168&lt;&gt;B168,"CEK kategori fixture tidak sama dengan KATEGORI",IF(C168="","CEK URUTAN kosong",IF(AND(E168&lt;&gt;"",COUNTIFS(DATA!$I$2:$I$500,E168)=0),"CEK Series tidak ada di DATA","OK")))))))</f>
        <v/>
      </c>
    </row>
    <row r="169">
      <c r="A169" s="10" t="n"/>
      <c r="B169" s="10" t="n"/>
      <c r="C169" s="10" t="n"/>
      <c r="D169" s="11" t="n"/>
      <c r="E169" s="10" t="n"/>
      <c r="F169" s="10" t="n"/>
      <c r="G169" s="12">
        <f>IF(D169="","",IFERROR(INDEX(DAFTAR_FIXTURE!$B$2:$B$51,MATCH(D169,DAFTAR_FIXTURE!$A$2:$A$51,0)),""))</f>
        <v/>
      </c>
      <c r="H169" s="12">
        <f>IF(G169="","",IF(LEFT(G169,4)="Wall","Wall",IF(LEFT(G169,7)="Gondola","Gondola",IF(LEFT(G169,6)="Pallet","Pallet",IF(LEFT(G169,6)="Endcap","Endcap","")))))</f>
        <v/>
      </c>
      <c r="I169" s="12">
        <f>IF(A169="","",IF(D169="","CEK ID FIXTURE kosong",IF(G169="","CEK ID FIXTURE tidak ada di DAFTAR_FIXTURE",IF(H169="Endcap","CEK Endcap tidak ikut sambung",IF(H169&lt;&gt;B169,"CEK kategori fixture tidak sama dengan KATEGORI",IF(C169="","CEK URUTAN kosong",IF(AND(E169&lt;&gt;"",COUNTIFS(DATA!$I$2:$I$500,E169)=0),"CEK Series tidak ada di DATA","OK")))))))</f>
        <v/>
      </c>
    </row>
    <row r="170">
      <c r="A170" s="10" t="n"/>
      <c r="B170" s="10" t="n"/>
      <c r="C170" s="10" t="n"/>
      <c r="D170" s="11" t="n"/>
      <c r="E170" s="10" t="n"/>
      <c r="F170" s="10" t="n"/>
      <c r="G170" s="12">
        <f>IF(D170="","",IFERROR(INDEX(DAFTAR_FIXTURE!$B$2:$B$51,MATCH(D170,DAFTAR_FIXTURE!$A$2:$A$51,0)),""))</f>
        <v/>
      </c>
      <c r="H170" s="12">
        <f>IF(G170="","",IF(LEFT(G170,4)="Wall","Wall",IF(LEFT(G170,7)="Gondola","Gondola",IF(LEFT(G170,6)="Pallet","Pallet",IF(LEFT(G170,6)="Endcap","Endcap","")))))</f>
        <v/>
      </c>
      <c r="I170" s="12">
        <f>IF(A170="","",IF(D170="","CEK ID FIXTURE kosong",IF(G170="","CEK ID FIXTURE tidak ada di DAFTAR_FIXTURE",IF(H170="Endcap","CEK Endcap tidak ikut sambung",IF(H170&lt;&gt;B170,"CEK kategori fixture tidak sama dengan KATEGORI",IF(C170="","CEK URUTAN kosong",IF(AND(E170&lt;&gt;"",COUNTIFS(DATA!$I$2:$I$500,E170)=0),"CEK Series tidak ada di DATA","OK")))))))</f>
        <v/>
      </c>
    </row>
    <row r="171">
      <c r="A171" s="10" t="n"/>
      <c r="B171" s="10" t="n"/>
      <c r="C171" s="10" t="n"/>
      <c r="D171" s="11" t="n"/>
      <c r="E171" s="10" t="n"/>
      <c r="F171" s="10" t="n"/>
      <c r="G171" s="12">
        <f>IF(D171="","",IFERROR(INDEX(DAFTAR_FIXTURE!$B$2:$B$51,MATCH(D171,DAFTAR_FIXTURE!$A$2:$A$51,0)),""))</f>
        <v/>
      </c>
      <c r="H171" s="12">
        <f>IF(G171="","",IF(LEFT(G171,4)="Wall","Wall",IF(LEFT(G171,7)="Gondola","Gondola",IF(LEFT(G171,6)="Pallet","Pallet",IF(LEFT(G171,6)="Endcap","Endcap","")))))</f>
        <v/>
      </c>
      <c r="I171" s="12">
        <f>IF(A171="","",IF(D171="","CEK ID FIXTURE kosong",IF(G171="","CEK ID FIXTURE tidak ada di DAFTAR_FIXTURE",IF(H171="Endcap","CEK Endcap tidak ikut sambung",IF(H171&lt;&gt;B171,"CEK kategori fixture tidak sama dengan KATEGORI",IF(C171="","CEK URUTAN kosong",IF(AND(E171&lt;&gt;"",COUNTIFS(DATA!$I$2:$I$500,E171)=0),"CEK Series tidak ada di DATA","OK")))))))</f>
        <v/>
      </c>
    </row>
    <row r="172">
      <c r="A172" s="10" t="n"/>
      <c r="B172" s="10" t="n"/>
      <c r="C172" s="10" t="n"/>
      <c r="D172" s="11" t="n"/>
      <c r="E172" s="10" t="n"/>
      <c r="F172" s="10" t="n"/>
      <c r="G172" s="12">
        <f>IF(D172="","",IFERROR(INDEX(DAFTAR_FIXTURE!$B$2:$B$51,MATCH(D172,DAFTAR_FIXTURE!$A$2:$A$51,0)),""))</f>
        <v/>
      </c>
      <c r="H172" s="12">
        <f>IF(G172="","",IF(LEFT(G172,4)="Wall","Wall",IF(LEFT(G172,7)="Gondola","Gondola",IF(LEFT(G172,6)="Pallet","Pallet",IF(LEFT(G172,6)="Endcap","Endcap","")))))</f>
        <v/>
      </c>
      <c r="I172" s="12">
        <f>IF(A172="","",IF(D172="","CEK ID FIXTURE kosong",IF(G172="","CEK ID FIXTURE tidak ada di DAFTAR_FIXTURE",IF(H172="Endcap","CEK Endcap tidak ikut sambung",IF(H172&lt;&gt;B172,"CEK kategori fixture tidak sama dengan KATEGORI",IF(C172="","CEK URUTAN kosong",IF(AND(E172&lt;&gt;"",COUNTIFS(DATA!$I$2:$I$500,E172)=0),"CEK Series tidak ada di DATA","OK")))))))</f>
        <v/>
      </c>
    </row>
    <row r="173">
      <c r="A173" s="10" t="n"/>
      <c r="B173" s="10" t="n"/>
      <c r="C173" s="10" t="n"/>
      <c r="D173" s="11" t="n"/>
      <c r="E173" s="10" t="n"/>
      <c r="F173" s="10" t="n"/>
      <c r="G173" s="12">
        <f>IF(D173="","",IFERROR(INDEX(DAFTAR_FIXTURE!$B$2:$B$51,MATCH(D173,DAFTAR_FIXTURE!$A$2:$A$51,0)),""))</f>
        <v/>
      </c>
      <c r="H173" s="12">
        <f>IF(G173="","",IF(LEFT(G173,4)="Wall","Wall",IF(LEFT(G173,7)="Gondola","Gondola",IF(LEFT(G173,6)="Pallet","Pallet",IF(LEFT(G173,6)="Endcap","Endcap","")))))</f>
        <v/>
      </c>
      <c r="I173" s="12">
        <f>IF(A173="","",IF(D173="","CEK ID FIXTURE kosong",IF(G173="","CEK ID FIXTURE tidak ada di DAFTAR_FIXTURE",IF(H173="Endcap","CEK Endcap tidak ikut sambung",IF(H173&lt;&gt;B173,"CEK kategori fixture tidak sama dengan KATEGORI",IF(C173="","CEK URUTAN kosong",IF(AND(E173&lt;&gt;"",COUNTIFS(DATA!$I$2:$I$500,E173)=0),"CEK Series tidak ada di DATA","OK")))))))</f>
        <v/>
      </c>
    </row>
    <row r="174">
      <c r="A174" s="10" t="n"/>
      <c r="B174" s="10" t="n"/>
      <c r="C174" s="10" t="n"/>
      <c r="D174" s="11" t="n"/>
      <c r="E174" s="10" t="n"/>
      <c r="F174" s="10" t="n"/>
      <c r="G174" s="12">
        <f>IF(D174="","",IFERROR(INDEX(DAFTAR_FIXTURE!$B$2:$B$51,MATCH(D174,DAFTAR_FIXTURE!$A$2:$A$51,0)),""))</f>
        <v/>
      </c>
      <c r="H174" s="12">
        <f>IF(G174="","",IF(LEFT(G174,4)="Wall","Wall",IF(LEFT(G174,7)="Gondola","Gondola",IF(LEFT(G174,6)="Pallet","Pallet",IF(LEFT(G174,6)="Endcap","Endcap","")))))</f>
        <v/>
      </c>
      <c r="I174" s="12">
        <f>IF(A174="","",IF(D174="","CEK ID FIXTURE kosong",IF(G174="","CEK ID FIXTURE tidak ada di DAFTAR_FIXTURE",IF(H174="Endcap","CEK Endcap tidak ikut sambung",IF(H174&lt;&gt;B174,"CEK kategori fixture tidak sama dengan KATEGORI",IF(C174="","CEK URUTAN kosong",IF(AND(E174&lt;&gt;"",COUNTIFS(DATA!$I$2:$I$500,E174)=0),"CEK Series tidak ada di DATA","OK")))))))</f>
        <v/>
      </c>
    </row>
    <row r="175">
      <c r="A175" s="10" t="n"/>
      <c r="B175" s="10" t="n"/>
      <c r="C175" s="10" t="n"/>
      <c r="D175" s="11" t="n"/>
      <c r="E175" s="10" t="n"/>
      <c r="F175" s="10" t="n"/>
      <c r="G175" s="12">
        <f>IF(D175="","",IFERROR(INDEX(DAFTAR_FIXTURE!$B$2:$B$51,MATCH(D175,DAFTAR_FIXTURE!$A$2:$A$51,0)),""))</f>
        <v/>
      </c>
      <c r="H175" s="12">
        <f>IF(G175="","",IF(LEFT(G175,4)="Wall","Wall",IF(LEFT(G175,7)="Gondola","Gondola",IF(LEFT(G175,6)="Pallet","Pallet",IF(LEFT(G175,6)="Endcap","Endcap","")))))</f>
        <v/>
      </c>
      <c r="I175" s="12">
        <f>IF(A175="","",IF(D175="","CEK ID FIXTURE kosong",IF(G175="","CEK ID FIXTURE tidak ada di DAFTAR_FIXTURE",IF(H175="Endcap","CEK Endcap tidak ikut sambung",IF(H175&lt;&gt;B175,"CEK kategori fixture tidak sama dengan KATEGORI",IF(C175="","CEK URUTAN kosong",IF(AND(E175&lt;&gt;"",COUNTIFS(DATA!$I$2:$I$500,E175)=0),"CEK Series tidak ada di DATA","OK")))))))</f>
        <v/>
      </c>
    </row>
    <row r="176">
      <c r="A176" s="10" t="n"/>
      <c r="B176" s="10" t="n"/>
      <c r="C176" s="10" t="n"/>
      <c r="D176" s="11" t="n"/>
      <c r="E176" s="10" t="n"/>
      <c r="F176" s="10" t="n"/>
      <c r="G176" s="12">
        <f>IF(D176="","",IFERROR(INDEX(DAFTAR_FIXTURE!$B$2:$B$51,MATCH(D176,DAFTAR_FIXTURE!$A$2:$A$51,0)),""))</f>
        <v/>
      </c>
      <c r="H176" s="12">
        <f>IF(G176="","",IF(LEFT(G176,4)="Wall","Wall",IF(LEFT(G176,7)="Gondola","Gondola",IF(LEFT(G176,6)="Pallet","Pallet",IF(LEFT(G176,6)="Endcap","Endcap","")))))</f>
        <v/>
      </c>
      <c r="I176" s="12">
        <f>IF(A176="","",IF(D176="","CEK ID FIXTURE kosong",IF(G176="","CEK ID FIXTURE tidak ada di DAFTAR_FIXTURE",IF(H176="Endcap","CEK Endcap tidak ikut sambung",IF(H176&lt;&gt;B176,"CEK kategori fixture tidak sama dengan KATEGORI",IF(C176="","CEK URUTAN kosong",IF(AND(E176&lt;&gt;"",COUNTIFS(DATA!$I$2:$I$500,E176)=0),"CEK Series tidak ada di DATA","OK")))))))</f>
        <v/>
      </c>
    </row>
    <row r="177">
      <c r="A177" s="10" t="n"/>
      <c r="B177" s="10" t="n"/>
      <c r="C177" s="10" t="n"/>
      <c r="D177" s="11" t="n"/>
      <c r="E177" s="10" t="n"/>
      <c r="F177" s="10" t="n"/>
      <c r="G177" s="12">
        <f>IF(D177="","",IFERROR(INDEX(DAFTAR_FIXTURE!$B$2:$B$51,MATCH(D177,DAFTAR_FIXTURE!$A$2:$A$51,0)),""))</f>
        <v/>
      </c>
      <c r="H177" s="12">
        <f>IF(G177="","",IF(LEFT(G177,4)="Wall","Wall",IF(LEFT(G177,7)="Gondola","Gondola",IF(LEFT(G177,6)="Pallet","Pallet",IF(LEFT(G177,6)="Endcap","Endcap","")))))</f>
        <v/>
      </c>
      <c r="I177" s="12">
        <f>IF(A177="","",IF(D177="","CEK ID FIXTURE kosong",IF(G177="","CEK ID FIXTURE tidak ada di DAFTAR_FIXTURE",IF(H177="Endcap","CEK Endcap tidak ikut sambung",IF(H177&lt;&gt;B177,"CEK kategori fixture tidak sama dengan KATEGORI",IF(C177="","CEK URUTAN kosong",IF(AND(E177&lt;&gt;"",COUNTIFS(DATA!$I$2:$I$500,E177)=0),"CEK Series tidak ada di DATA","OK")))))))</f>
        <v/>
      </c>
    </row>
    <row r="178">
      <c r="A178" s="10" t="n"/>
      <c r="B178" s="10" t="n"/>
      <c r="C178" s="10" t="n"/>
      <c r="D178" s="11" t="n"/>
      <c r="E178" s="10" t="n"/>
      <c r="F178" s="10" t="n"/>
      <c r="G178" s="12">
        <f>IF(D178="","",IFERROR(INDEX(DAFTAR_FIXTURE!$B$2:$B$51,MATCH(D178,DAFTAR_FIXTURE!$A$2:$A$51,0)),""))</f>
        <v/>
      </c>
      <c r="H178" s="12">
        <f>IF(G178="","",IF(LEFT(G178,4)="Wall","Wall",IF(LEFT(G178,7)="Gondola","Gondola",IF(LEFT(G178,6)="Pallet","Pallet",IF(LEFT(G178,6)="Endcap","Endcap","")))))</f>
        <v/>
      </c>
      <c r="I178" s="12">
        <f>IF(A178="","",IF(D178="","CEK ID FIXTURE kosong",IF(G178="","CEK ID FIXTURE tidak ada di DAFTAR_FIXTURE",IF(H178="Endcap","CEK Endcap tidak ikut sambung",IF(H178&lt;&gt;B178,"CEK kategori fixture tidak sama dengan KATEGORI",IF(C178="","CEK URUTAN kosong",IF(AND(E178&lt;&gt;"",COUNTIFS(DATA!$I$2:$I$500,E178)=0),"CEK Series tidak ada di DATA","OK")))))))</f>
        <v/>
      </c>
    </row>
    <row r="179">
      <c r="A179" s="10" t="n"/>
      <c r="B179" s="10" t="n"/>
      <c r="C179" s="10" t="n"/>
      <c r="D179" s="11" t="n"/>
      <c r="E179" s="10" t="n"/>
      <c r="F179" s="10" t="n"/>
      <c r="G179" s="12">
        <f>IF(D179="","",IFERROR(INDEX(DAFTAR_FIXTURE!$B$2:$B$51,MATCH(D179,DAFTAR_FIXTURE!$A$2:$A$51,0)),""))</f>
        <v/>
      </c>
      <c r="H179" s="12">
        <f>IF(G179="","",IF(LEFT(G179,4)="Wall","Wall",IF(LEFT(G179,7)="Gondola","Gondola",IF(LEFT(G179,6)="Pallet","Pallet",IF(LEFT(G179,6)="Endcap","Endcap","")))))</f>
        <v/>
      </c>
      <c r="I179" s="12">
        <f>IF(A179="","",IF(D179="","CEK ID FIXTURE kosong",IF(G179="","CEK ID FIXTURE tidak ada di DAFTAR_FIXTURE",IF(H179="Endcap","CEK Endcap tidak ikut sambung",IF(H179&lt;&gt;B179,"CEK kategori fixture tidak sama dengan KATEGORI",IF(C179="","CEK URUTAN kosong",IF(AND(E179&lt;&gt;"",COUNTIFS(DATA!$I$2:$I$500,E179)=0),"CEK Series tidak ada di DATA","OK")))))))</f>
        <v/>
      </c>
    </row>
    <row r="180">
      <c r="A180" s="10" t="n"/>
      <c r="B180" s="10" t="n"/>
      <c r="C180" s="10" t="n"/>
      <c r="D180" s="11" t="n"/>
      <c r="E180" s="10" t="n"/>
      <c r="F180" s="10" t="n"/>
      <c r="G180" s="12">
        <f>IF(D180="","",IFERROR(INDEX(DAFTAR_FIXTURE!$B$2:$B$51,MATCH(D180,DAFTAR_FIXTURE!$A$2:$A$51,0)),""))</f>
        <v/>
      </c>
      <c r="H180" s="12">
        <f>IF(G180="","",IF(LEFT(G180,4)="Wall","Wall",IF(LEFT(G180,7)="Gondola","Gondola",IF(LEFT(G180,6)="Pallet","Pallet",IF(LEFT(G180,6)="Endcap","Endcap","")))))</f>
        <v/>
      </c>
      <c r="I180" s="12">
        <f>IF(A180="","",IF(D180="","CEK ID FIXTURE kosong",IF(G180="","CEK ID FIXTURE tidak ada di DAFTAR_FIXTURE",IF(H180="Endcap","CEK Endcap tidak ikut sambung",IF(H180&lt;&gt;B180,"CEK kategori fixture tidak sama dengan KATEGORI",IF(C180="","CEK URUTAN kosong",IF(AND(E180&lt;&gt;"",COUNTIFS(DATA!$I$2:$I$500,E180)=0),"CEK Series tidak ada di DATA","OK")))))))</f>
        <v/>
      </c>
    </row>
    <row r="181">
      <c r="A181" s="10" t="n"/>
      <c r="B181" s="10" t="n"/>
      <c r="C181" s="10" t="n"/>
      <c r="D181" s="11" t="n"/>
      <c r="E181" s="10" t="n"/>
      <c r="F181" s="10" t="n"/>
      <c r="G181" s="12">
        <f>IF(D181="","",IFERROR(INDEX(DAFTAR_FIXTURE!$B$2:$B$51,MATCH(D181,DAFTAR_FIXTURE!$A$2:$A$51,0)),""))</f>
        <v/>
      </c>
      <c r="H181" s="12">
        <f>IF(G181="","",IF(LEFT(G181,4)="Wall","Wall",IF(LEFT(G181,7)="Gondola","Gondola",IF(LEFT(G181,6)="Pallet","Pallet",IF(LEFT(G181,6)="Endcap","Endcap","")))))</f>
        <v/>
      </c>
      <c r="I181" s="12">
        <f>IF(A181="","",IF(D181="","CEK ID FIXTURE kosong",IF(G181="","CEK ID FIXTURE tidak ada di DAFTAR_FIXTURE",IF(H181="Endcap","CEK Endcap tidak ikut sambung",IF(H181&lt;&gt;B181,"CEK kategori fixture tidak sama dengan KATEGORI",IF(C181="","CEK URUTAN kosong",IF(AND(E181&lt;&gt;"",COUNTIFS(DATA!$I$2:$I$500,E181)=0),"CEK Series tidak ada di DATA","OK")))))))</f>
        <v/>
      </c>
    </row>
    <row r="182">
      <c r="A182" s="10" t="n"/>
      <c r="B182" s="10" t="n"/>
      <c r="C182" s="10" t="n"/>
      <c r="D182" s="11" t="n"/>
      <c r="E182" s="10" t="n"/>
      <c r="F182" s="10" t="n"/>
      <c r="G182" s="12">
        <f>IF(D182="","",IFERROR(INDEX(DAFTAR_FIXTURE!$B$2:$B$51,MATCH(D182,DAFTAR_FIXTURE!$A$2:$A$51,0)),""))</f>
        <v/>
      </c>
      <c r="H182" s="12">
        <f>IF(G182="","",IF(LEFT(G182,4)="Wall","Wall",IF(LEFT(G182,7)="Gondola","Gondola",IF(LEFT(G182,6)="Pallet","Pallet",IF(LEFT(G182,6)="Endcap","Endcap","")))))</f>
        <v/>
      </c>
      <c r="I182" s="12">
        <f>IF(A182="","",IF(D182="","CEK ID FIXTURE kosong",IF(G182="","CEK ID FIXTURE tidak ada di DAFTAR_FIXTURE",IF(H182="Endcap","CEK Endcap tidak ikut sambung",IF(H182&lt;&gt;B182,"CEK kategori fixture tidak sama dengan KATEGORI",IF(C182="","CEK URUTAN kosong",IF(AND(E182&lt;&gt;"",COUNTIFS(DATA!$I$2:$I$500,E182)=0),"CEK Series tidak ada di DATA","OK")))))))</f>
        <v/>
      </c>
    </row>
    <row r="183">
      <c r="A183" s="10" t="n"/>
      <c r="B183" s="10" t="n"/>
      <c r="C183" s="10" t="n"/>
      <c r="D183" s="11" t="n"/>
      <c r="E183" s="10" t="n"/>
      <c r="F183" s="10" t="n"/>
      <c r="G183" s="12">
        <f>IF(D183="","",IFERROR(INDEX(DAFTAR_FIXTURE!$B$2:$B$51,MATCH(D183,DAFTAR_FIXTURE!$A$2:$A$51,0)),""))</f>
        <v/>
      </c>
      <c r="H183" s="12">
        <f>IF(G183="","",IF(LEFT(G183,4)="Wall","Wall",IF(LEFT(G183,7)="Gondola","Gondola",IF(LEFT(G183,6)="Pallet","Pallet",IF(LEFT(G183,6)="Endcap","Endcap","")))))</f>
        <v/>
      </c>
      <c r="I183" s="12">
        <f>IF(A183="","",IF(D183="","CEK ID FIXTURE kosong",IF(G183="","CEK ID FIXTURE tidak ada di DAFTAR_FIXTURE",IF(H183="Endcap","CEK Endcap tidak ikut sambung",IF(H183&lt;&gt;B183,"CEK kategori fixture tidak sama dengan KATEGORI",IF(C183="","CEK URUTAN kosong",IF(AND(E183&lt;&gt;"",COUNTIFS(DATA!$I$2:$I$500,E183)=0),"CEK Series tidak ada di DATA","OK")))))))</f>
        <v/>
      </c>
    </row>
    <row r="184">
      <c r="A184" s="10" t="n"/>
      <c r="B184" s="10" t="n"/>
      <c r="C184" s="10" t="n"/>
      <c r="D184" s="11" t="n"/>
      <c r="E184" s="10" t="n"/>
      <c r="F184" s="10" t="n"/>
      <c r="G184" s="12">
        <f>IF(D184="","",IFERROR(INDEX(DAFTAR_FIXTURE!$B$2:$B$51,MATCH(D184,DAFTAR_FIXTURE!$A$2:$A$51,0)),""))</f>
        <v/>
      </c>
      <c r="H184" s="12">
        <f>IF(G184="","",IF(LEFT(G184,4)="Wall","Wall",IF(LEFT(G184,7)="Gondola","Gondola",IF(LEFT(G184,6)="Pallet","Pallet",IF(LEFT(G184,6)="Endcap","Endcap","")))))</f>
        <v/>
      </c>
      <c r="I184" s="12">
        <f>IF(A184="","",IF(D184="","CEK ID FIXTURE kosong",IF(G184="","CEK ID FIXTURE tidak ada di DAFTAR_FIXTURE",IF(H184="Endcap","CEK Endcap tidak ikut sambung",IF(H184&lt;&gt;B184,"CEK kategori fixture tidak sama dengan KATEGORI",IF(C184="","CEK URUTAN kosong",IF(AND(E184&lt;&gt;"",COUNTIFS(DATA!$I$2:$I$500,E184)=0),"CEK Series tidak ada di DATA","OK")))))))</f>
        <v/>
      </c>
    </row>
    <row r="185">
      <c r="A185" s="10" t="n"/>
      <c r="B185" s="10" t="n"/>
      <c r="C185" s="10" t="n"/>
      <c r="D185" s="11" t="n"/>
      <c r="E185" s="10" t="n"/>
      <c r="F185" s="10" t="n"/>
      <c r="G185" s="12">
        <f>IF(D185="","",IFERROR(INDEX(DAFTAR_FIXTURE!$B$2:$B$51,MATCH(D185,DAFTAR_FIXTURE!$A$2:$A$51,0)),""))</f>
        <v/>
      </c>
      <c r="H185" s="12">
        <f>IF(G185="","",IF(LEFT(G185,4)="Wall","Wall",IF(LEFT(G185,7)="Gondola","Gondola",IF(LEFT(G185,6)="Pallet","Pallet",IF(LEFT(G185,6)="Endcap","Endcap","")))))</f>
        <v/>
      </c>
      <c r="I185" s="12">
        <f>IF(A185="","",IF(D185="","CEK ID FIXTURE kosong",IF(G185="","CEK ID FIXTURE tidak ada di DAFTAR_FIXTURE",IF(H185="Endcap","CEK Endcap tidak ikut sambung",IF(H185&lt;&gt;B185,"CEK kategori fixture tidak sama dengan KATEGORI",IF(C185="","CEK URUTAN kosong",IF(AND(E185&lt;&gt;"",COUNTIFS(DATA!$I$2:$I$500,E185)=0),"CEK Series tidak ada di DATA","OK")))))))</f>
        <v/>
      </c>
    </row>
    <row r="186">
      <c r="A186" s="10" t="n"/>
      <c r="B186" s="10" t="n"/>
      <c r="C186" s="10" t="n"/>
      <c r="D186" s="11" t="n"/>
      <c r="E186" s="10" t="n"/>
      <c r="F186" s="10" t="n"/>
      <c r="G186" s="12">
        <f>IF(D186="","",IFERROR(INDEX(DAFTAR_FIXTURE!$B$2:$B$51,MATCH(D186,DAFTAR_FIXTURE!$A$2:$A$51,0)),""))</f>
        <v/>
      </c>
      <c r="H186" s="12">
        <f>IF(G186="","",IF(LEFT(G186,4)="Wall","Wall",IF(LEFT(G186,7)="Gondola","Gondola",IF(LEFT(G186,6)="Pallet","Pallet",IF(LEFT(G186,6)="Endcap","Endcap","")))))</f>
        <v/>
      </c>
      <c r="I186" s="12">
        <f>IF(A186="","",IF(D186="","CEK ID FIXTURE kosong",IF(G186="","CEK ID FIXTURE tidak ada di DAFTAR_FIXTURE",IF(H186="Endcap","CEK Endcap tidak ikut sambung",IF(H186&lt;&gt;B186,"CEK kategori fixture tidak sama dengan KATEGORI",IF(C186="","CEK URUTAN kosong",IF(AND(E186&lt;&gt;"",COUNTIFS(DATA!$I$2:$I$500,E186)=0),"CEK Series tidak ada di DATA","OK")))))))</f>
        <v/>
      </c>
    </row>
    <row r="187">
      <c r="A187" s="10" t="n"/>
      <c r="B187" s="10" t="n"/>
      <c r="C187" s="10" t="n"/>
      <c r="D187" s="11" t="n"/>
      <c r="E187" s="10" t="n"/>
      <c r="F187" s="10" t="n"/>
      <c r="G187" s="12">
        <f>IF(D187="","",IFERROR(INDEX(DAFTAR_FIXTURE!$B$2:$B$51,MATCH(D187,DAFTAR_FIXTURE!$A$2:$A$51,0)),""))</f>
        <v/>
      </c>
      <c r="H187" s="12">
        <f>IF(G187="","",IF(LEFT(G187,4)="Wall","Wall",IF(LEFT(G187,7)="Gondola","Gondola",IF(LEFT(G187,6)="Pallet","Pallet",IF(LEFT(G187,6)="Endcap","Endcap","")))))</f>
        <v/>
      </c>
      <c r="I187" s="12">
        <f>IF(A187="","",IF(D187="","CEK ID FIXTURE kosong",IF(G187="","CEK ID FIXTURE tidak ada di DAFTAR_FIXTURE",IF(H187="Endcap","CEK Endcap tidak ikut sambung",IF(H187&lt;&gt;B187,"CEK kategori fixture tidak sama dengan KATEGORI",IF(C187="","CEK URUTAN kosong",IF(AND(E187&lt;&gt;"",COUNTIFS(DATA!$I$2:$I$500,E187)=0),"CEK Series tidak ada di DATA","OK")))))))</f>
        <v/>
      </c>
    </row>
    <row r="188">
      <c r="A188" s="10" t="n"/>
      <c r="B188" s="10" t="n"/>
      <c r="C188" s="10" t="n"/>
      <c r="D188" s="11" t="n"/>
      <c r="E188" s="10" t="n"/>
      <c r="F188" s="10" t="n"/>
      <c r="G188" s="12">
        <f>IF(D188="","",IFERROR(INDEX(DAFTAR_FIXTURE!$B$2:$B$51,MATCH(D188,DAFTAR_FIXTURE!$A$2:$A$51,0)),""))</f>
        <v/>
      </c>
      <c r="H188" s="12">
        <f>IF(G188="","",IF(LEFT(G188,4)="Wall","Wall",IF(LEFT(G188,7)="Gondola","Gondola",IF(LEFT(G188,6)="Pallet","Pallet",IF(LEFT(G188,6)="Endcap","Endcap","")))))</f>
        <v/>
      </c>
      <c r="I188" s="12">
        <f>IF(A188="","",IF(D188="","CEK ID FIXTURE kosong",IF(G188="","CEK ID FIXTURE tidak ada di DAFTAR_FIXTURE",IF(H188="Endcap","CEK Endcap tidak ikut sambung",IF(H188&lt;&gt;B188,"CEK kategori fixture tidak sama dengan KATEGORI",IF(C188="","CEK URUTAN kosong",IF(AND(E188&lt;&gt;"",COUNTIFS(DATA!$I$2:$I$500,E188)=0),"CEK Series tidak ada di DATA","OK")))))))</f>
        <v/>
      </c>
    </row>
    <row r="189">
      <c r="A189" s="10" t="n"/>
      <c r="B189" s="10" t="n"/>
      <c r="C189" s="10" t="n"/>
      <c r="D189" s="11" t="n"/>
      <c r="E189" s="10" t="n"/>
      <c r="F189" s="10" t="n"/>
      <c r="G189" s="12">
        <f>IF(D189="","",IFERROR(INDEX(DAFTAR_FIXTURE!$B$2:$B$51,MATCH(D189,DAFTAR_FIXTURE!$A$2:$A$51,0)),""))</f>
        <v/>
      </c>
      <c r="H189" s="12">
        <f>IF(G189="","",IF(LEFT(G189,4)="Wall","Wall",IF(LEFT(G189,7)="Gondola","Gondola",IF(LEFT(G189,6)="Pallet","Pallet",IF(LEFT(G189,6)="Endcap","Endcap","")))))</f>
        <v/>
      </c>
      <c r="I189" s="12">
        <f>IF(A189="","",IF(D189="","CEK ID FIXTURE kosong",IF(G189="","CEK ID FIXTURE tidak ada di DAFTAR_FIXTURE",IF(H189="Endcap","CEK Endcap tidak ikut sambung",IF(H189&lt;&gt;B189,"CEK kategori fixture tidak sama dengan KATEGORI",IF(C189="","CEK URUTAN kosong",IF(AND(E189&lt;&gt;"",COUNTIFS(DATA!$I$2:$I$500,E189)=0),"CEK Series tidak ada di DATA","OK")))))))</f>
        <v/>
      </c>
    </row>
    <row r="190">
      <c r="A190" s="10" t="n"/>
      <c r="B190" s="10" t="n"/>
      <c r="C190" s="10" t="n"/>
      <c r="D190" s="11" t="n"/>
      <c r="E190" s="10" t="n"/>
      <c r="F190" s="10" t="n"/>
      <c r="G190" s="12">
        <f>IF(D190="","",IFERROR(INDEX(DAFTAR_FIXTURE!$B$2:$B$51,MATCH(D190,DAFTAR_FIXTURE!$A$2:$A$51,0)),""))</f>
        <v/>
      </c>
      <c r="H190" s="12">
        <f>IF(G190="","",IF(LEFT(G190,4)="Wall","Wall",IF(LEFT(G190,7)="Gondola","Gondola",IF(LEFT(G190,6)="Pallet","Pallet",IF(LEFT(G190,6)="Endcap","Endcap","")))))</f>
        <v/>
      </c>
      <c r="I190" s="12">
        <f>IF(A190="","",IF(D190="","CEK ID FIXTURE kosong",IF(G190="","CEK ID FIXTURE tidak ada di DAFTAR_FIXTURE",IF(H190="Endcap","CEK Endcap tidak ikut sambung",IF(H190&lt;&gt;B190,"CEK kategori fixture tidak sama dengan KATEGORI",IF(C190="","CEK URUTAN kosong",IF(AND(E190&lt;&gt;"",COUNTIFS(DATA!$I$2:$I$500,E190)=0),"CEK Series tidak ada di DATA","OK")))))))</f>
        <v/>
      </c>
    </row>
    <row r="191">
      <c r="A191" s="10" t="n"/>
      <c r="B191" s="10" t="n"/>
      <c r="C191" s="10" t="n"/>
      <c r="D191" s="11" t="n"/>
      <c r="E191" s="10" t="n"/>
      <c r="F191" s="10" t="n"/>
      <c r="G191" s="12">
        <f>IF(D191="","",IFERROR(INDEX(DAFTAR_FIXTURE!$B$2:$B$51,MATCH(D191,DAFTAR_FIXTURE!$A$2:$A$51,0)),""))</f>
        <v/>
      </c>
      <c r="H191" s="12">
        <f>IF(G191="","",IF(LEFT(G191,4)="Wall","Wall",IF(LEFT(G191,7)="Gondola","Gondola",IF(LEFT(G191,6)="Pallet","Pallet",IF(LEFT(G191,6)="Endcap","Endcap","")))))</f>
        <v/>
      </c>
      <c r="I191" s="12">
        <f>IF(A191="","",IF(D191="","CEK ID FIXTURE kosong",IF(G191="","CEK ID FIXTURE tidak ada di DAFTAR_FIXTURE",IF(H191="Endcap","CEK Endcap tidak ikut sambung",IF(H191&lt;&gt;B191,"CEK kategori fixture tidak sama dengan KATEGORI",IF(C191="","CEK URUTAN kosong",IF(AND(E191&lt;&gt;"",COUNTIFS(DATA!$I$2:$I$500,E191)=0),"CEK Series tidak ada di DATA","OK")))))))</f>
        <v/>
      </c>
    </row>
    <row r="192">
      <c r="A192" s="10" t="n"/>
      <c r="B192" s="10" t="n"/>
      <c r="C192" s="10" t="n"/>
      <c r="D192" s="11" t="n"/>
      <c r="E192" s="10" t="n"/>
      <c r="F192" s="10" t="n"/>
      <c r="G192" s="12">
        <f>IF(D192="","",IFERROR(INDEX(DAFTAR_FIXTURE!$B$2:$B$51,MATCH(D192,DAFTAR_FIXTURE!$A$2:$A$51,0)),""))</f>
        <v/>
      </c>
      <c r="H192" s="12">
        <f>IF(G192="","",IF(LEFT(G192,4)="Wall","Wall",IF(LEFT(G192,7)="Gondola","Gondola",IF(LEFT(G192,6)="Pallet","Pallet",IF(LEFT(G192,6)="Endcap","Endcap","")))))</f>
        <v/>
      </c>
      <c r="I192" s="12">
        <f>IF(A192="","",IF(D192="","CEK ID FIXTURE kosong",IF(G192="","CEK ID FIXTURE tidak ada di DAFTAR_FIXTURE",IF(H192="Endcap","CEK Endcap tidak ikut sambung",IF(H192&lt;&gt;B192,"CEK kategori fixture tidak sama dengan KATEGORI",IF(C192="","CEK URUTAN kosong",IF(AND(E192&lt;&gt;"",COUNTIFS(DATA!$I$2:$I$500,E192)=0),"CEK Series tidak ada di DATA","OK")))))))</f>
        <v/>
      </c>
    </row>
    <row r="193">
      <c r="A193" s="10" t="n"/>
      <c r="B193" s="10" t="n"/>
      <c r="C193" s="10" t="n"/>
      <c r="D193" s="11" t="n"/>
      <c r="E193" s="10" t="n"/>
      <c r="F193" s="10" t="n"/>
      <c r="G193" s="12">
        <f>IF(D193="","",IFERROR(INDEX(DAFTAR_FIXTURE!$B$2:$B$51,MATCH(D193,DAFTAR_FIXTURE!$A$2:$A$51,0)),""))</f>
        <v/>
      </c>
      <c r="H193" s="12">
        <f>IF(G193="","",IF(LEFT(G193,4)="Wall","Wall",IF(LEFT(G193,7)="Gondola","Gondola",IF(LEFT(G193,6)="Pallet","Pallet",IF(LEFT(G193,6)="Endcap","Endcap","")))))</f>
        <v/>
      </c>
      <c r="I193" s="12">
        <f>IF(A193="","",IF(D193="","CEK ID FIXTURE kosong",IF(G193="","CEK ID FIXTURE tidak ada di DAFTAR_FIXTURE",IF(H193="Endcap","CEK Endcap tidak ikut sambung",IF(H193&lt;&gt;B193,"CEK kategori fixture tidak sama dengan KATEGORI",IF(C193="","CEK URUTAN kosong",IF(AND(E193&lt;&gt;"",COUNTIFS(DATA!$I$2:$I$500,E193)=0),"CEK Series tidak ada di DATA","OK")))))))</f>
        <v/>
      </c>
    </row>
    <row r="194">
      <c r="A194" s="10" t="n"/>
      <c r="B194" s="10" t="n"/>
      <c r="C194" s="10" t="n"/>
      <c r="D194" s="11" t="n"/>
      <c r="E194" s="10" t="n"/>
      <c r="F194" s="10" t="n"/>
      <c r="G194" s="12">
        <f>IF(D194="","",IFERROR(INDEX(DAFTAR_FIXTURE!$B$2:$B$51,MATCH(D194,DAFTAR_FIXTURE!$A$2:$A$51,0)),""))</f>
        <v/>
      </c>
      <c r="H194" s="12">
        <f>IF(G194="","",IF(LEFT(G194,4)="Wall","Wall",IF(LEFT(G194,7)="Gondola","Gondola",IF(LEFT(G194,6)="Pallet","Pallet",IF(LEFT(G194,6)="Endcap","Endcap","")))))</f>
        <v/>
      </c>
      <c r="I194" s="12">
        <f>IF(A194="","",IF(D194="","CEK ID FIXTURE kosong",IF(G194="","CEK ID FIXTURE tidak ada di DAFTAR_FIXTURE",IF(H194="Endcap","CEK Endcap tidak ikut sambung",IF(H194&lt;&gt;B194,"CEK kategori fixture tidak sama dengan KATEGORI",IF(C194="","CEK URUTAN kosong",IF(AND(E194&lt;&gt;"",COUNTIFS(DATA!$I$2:$I$500,E194)=0),"CEK Series tidak ada di DATA","OK")))))))</f>
        <v/>
      </c>
    </row>
    <row r="195">
      <c r="A195" s="10" t="n"/>
      <c r="B195" s="10" t="n"/>
      <c r="C195" s="10" t="n"/>
      <c r="D195" s="11" t="n"/>
      <c r="E195" s="10" t="n"/>
      <c r="F195" s="10" t="n"/>
      <c r="G195" s="12">
        <f>IF(D195="","",IFERROR(INDEX(DAFTAR_FIXTURE!$B$2:$B$51,MATCH(D195,DAFTAR_FIXTURE!$A$2:$A$51,0)),""))</f>
        <v/>
      </c>
      <c r="H195" s="12">
        <f>IF(G195="","",IF(LEFT(G195,4)="Wall","Wall",IF(LEFT(G195,7)="Gondola","Gondola",IF(LEFT(G195,6)="Pallet","Pallet",IF(LEFT(G195,6)="Endcap","Endcap","")))))</f>
        <v/>
      </c>
      <c r="I195" s="12">
        <f>IF(A195="","",IF(D195="","CEK ID FIXTURE kosong",IF(G195="","CEK ID FIXTURE tidak ada di DAFTAR_FIXTURE",IF(H195="Endcap","CEK Endcap tidak ikut sambung",IF(H195&lt;&gt;B195,"CEK kategori fixture tidak sama dengan KATEGORI",IF(C195="","CEK URUTAN kosong",IF(AND(E195&lt;&gt;"",COUNTIFS(DATA!$I$2:$I$500,E195)=0),"CEK Series tidak ada di DATA","OK")))))))</f>
        <v/>
      </c>
    </row>
    <row r="196">
      <c r="A196" s="10" t="n"/>
      <c r="B196" s="10" t="n"/>
      <c r="C196" s="10" t="n"/>
      <c r="D196" s="11" t="n"/>
      <c r="E196" s="10" t="n"/>
      <c r="F196" s="10" t="n"/>
      <c r="G196" s="12">
        <f>IF(D196="","",IFERROR(INDEX(DAFTAR_FIXTURE!$B$2:$B$51,MATCH(D196,DAFTAR_FIXTURE!$A$2:$A$51,0)),""))</f>
        <v/>
      </c>
      <c r="H196" s="12">
        <f>IF(G196="","",IF(LEFT(G196,4)="Wall","Wall",IF(LEFT(G196,7)="Gondola","Gondola",IF(LEFT(G196,6)="Pallet","Pallet",IF(LEFT(G196,6)="Endcap","Endcap","")))))</f>
        <v/>
      </c>
      <c r="I196" s="12">
        <f>IF(A196="","",IF(D196="","CEK ID FIXTURE kosong",IF(G196="","CEK ID FIXTURE tidak ada di DAFTAR_FIXTURE",IF(H196="Endcap","CEK Endcap tidak ikut sambung",IF(H196&lt;&gt;B196,"CEK kategori fixture tidak sama dengan KATEGORI",IF(C196="","CEK URUTAN kosong",IF(AND(E196&lt;&gt;"",COUNTIFS(DATA!$I$2:$I$500,E196)=0),"CEK Series tidak ada di DATA","OK")))))))</f>
        <v/>
      </c>
    </row>
    <row r="197">
      <c r="A197" s="10" t="n"/>
      <c r="B197" s="10" t="n"/>
      <c r="C197" s="10" t="n"/>
      <c r="D197" s="11" t="n"/>
      <c r="E197" s="10" t="n"/>
      <c r="F197" s="10" t="n"/>
      <c r="G197" s="12">
        <f>IF(D197="","",IFERROR(INDEX(DAFTAR_FIXTURE!$B$2:$B$51,MATCH(D197,DAFTAR_FIXTURE!$A$2:$A$51,0)),""))</f>
        <v/>
      </c>
      <c r="H197" s="12">
        <f>IF(G197="","",IF(LEFT(G197,4)="Wall","Wall",IF(LEFT(G197,7)="Gondola","Gondola",IF(LEFT(G197,6)="Pallet","Pallet",IF(LEFT(G197,6)="Endcap","Endcap","")))))</f>
        <v/>
      </c>
      <c r="I197" s="12">
        <f>IF(A197="","",IF(D197="","CEK ID FIXTURE kosong",IF(G197="","CEK ID FIXTURE tidak ada di DAFTAR_FIXTURE",IF(H197="Endcap","CEK Endcap tidak ikut sambung",IF(H197&lt;&gt;B197,"CEK kategori fixture tidak sama dengan KATEGORI",IF(C197="","CEK URUTAN kosong",IF(AND(E197&lt;&gt;"",COUNTIFS(DATA!$I$2:$I$500,E197)=0),"CEK Series tidak ada di DATA","OK")))))))</f>
        <v/>
      </c>
    </row>
    <row r="198">
      <c r="A198" s="10" t="n"/>
      <c r="B198" s="10" t="n"/>
      <c r="C198" s="10" t="n"/>
      <c r="D198" s="11" t="n"/>
      <c r="E198" s="10" t="n"/>
      <c r="F198" s="10" t="n"/>
      <c r="G198" s="12">
        <f>IF(D198="","",IFERROR(INDEX(DAFTAR_FIXTURE!$B$2:$B$51,MATCH(D198,DAFTAR_FIXTURE!$A$2:$A$51,0)),""))</f>
        <v/>
      </c>
      <c r="H198" s="12">
        <f>IF(G198="","",IF(LEFT(G198,4)="Wall","Wall",IF(LEFT(G198,7)="Gondola","Gondola",IF(LEFT(G198,6)="Pallet","Pallet",IF(LEFT(G198,6)="Endcap","Endcap","")))))</f>
        <v/>
      </c>
      <c r="I198" s="12">
        <f>IF(A198="","",IF(D198="","CEK ID FIXTURE kosong",IF(G198="","CEK ID FIXTURE tidak ada di DAFTAR_FIXTURE",IF(H198="Endcap","CEK Endcap tidak ikut sambung",IF(H198&lt;&gt;B198,"CEK kategori fixture tidak sama dengan KATEGORI",IF(C198="","CEK URUTAN kosong",IF(AND(E198&lt;&gt;"",COUNTIFS(DATA!$I$2:$I$500,E198)=0),"CEK Series tidak ada di DATA","OK")))))))</f>
        <v/>
      </c>
    </row>
    <row r="199">
      <c r="A199" s="10" t="n"/>
      <c r="B199" s="10" t="n"/>
      <c r="C199" s="10" t="n"/>
      <c r="D199" s="11" t="n"/>
      <c r="E199" s="10" t="n"/>
      <c r="F199" s="10" t="n"/>
      <c r="G199" s="12">
        <f>IF(D199="","",IFERROR(INDEX(DAFTAR_FIXTURE!$B$2:$B$51,MATCH(D199,DAFTAR_FIXTURE!$A$2:$A$51,0)),""))</f>
        <v/>
      </c>
      <c r="H199" s="12">
        <f>IF(G199="","",IF(LEFT(G199,4)="Wall","Wall",IF(LEFT(G199,7)="Gondola","Gondola",IF(LEFT(G199,6)="Pallet","Pallet",IF(LEFT(G199,6)="Endcap","Endcap","")))))</f>
        <v/>
      </c>
      <c r="I199" s="12">
        <f>IF(A199="","",IF(D199="","CEK ID FIXTURE kosong",IF(G199="","CEK ID FIXTURE tidak ada di DAFTAR_FIXTURE",IF(H199="Endcap","CEK Endcap tidak ikut sambung",IF(H199&lt;&gt;B199,"CEK kategori fixture tidak sama dengan KATEGORI",IF(C199="","CEK URUTAN kosong",IF(AND(E199&lt;&gt;"",COUNTIFS(DATA!$I$2:$I$500,E199)=0),"CEK Series tidak ada di DATA","OK")))))))</f>
        <v/>
      </c>
    </row>
    <row r="200">
      <c r="A200" s="10" t="n"/>
      <c r="B200" s="10" t="n"/>
      <c r="C200" s="10" t="n"/>
      <c r="D200" s="11" t="n"/>
      <c r="E200" s="10" t="n"/>
      <c r="F200" s="10" t="n"/>
      <c r="G200" s="12">
        <f>IF(D200="","",IFERROR(INDEX(DAFTAR_FIXTURE!$B$2:$B$51,MATCH(D200,DAFTAR_FIXTURE!$A$2:$A$51,0)),""))</f>
        <v/>
      </c>
      <c r="H200" s="12">
        <f>IF(G200="","",IF(LEFT(G200,4)="Wall","Wall",IF(LEFT(G200,7)="Gondola","Gondola",IF(LEFT(G200,6)="Pallet","Pallet",IF(LEFT(G200,6)="Endcap","Endcap","")))))</f>
        <v/>
      </c>
      <c r="I200" s="12">
        <f>IF(A200="","",IF(D200="","CEK ID FIXTURE kosong",IF(G200="","CEK ID FIXTURE tidak ada di DAFTAR_FIXTURE",IF(H200="Endcap","CEK Endcap tidak ikut sambung",IF(H200&lt;&gt;B200,"CEK kategori fixture tidak sama dengan KATEGORI",IF(C200="","CEK URUTAN kosong",IF(AND(E200&lt;&gt;"",COUNTIFS(DATA!$I$2:$I$500,E200)=0),"CEK Series tidak ada di DATA","OK")))))))</f>
        <v/>
      </c>
    </row>
  </sheetData>
  <autoFilter ref="A1:I200"/>
  <conditionalFormatting sqref="I2:I200">
    <cfRule type="expression" priority="1" dxfId="3">
      <formula>LEFT($I2,3)="CEK"</formula>
    </cfRule>
    <cfRule type="expression" priority="2" dxfId="4">
      <formula>$I2="OK"</formula>
    </cfRule>
  </conditionalFormatting>
  <dataValidations count="3">
    <dataValidation sqref="B2:B200" showDropDown="0" showInputMessage="0" showErrorMessage="1" allowBlank="1" errorTitle="KATEGORI" error="Pilih Wall, Gondola, atau Pallet (Endcap tidak ikut sambung)." type="list">
      <formula1>"Wall,Gondola,Pallet"</formula1>
    </dataValidation>
    <dataValidation sqref="C2:C200" showDropDown="0" showInputMessage="0" showErrorMessage="1" allowBlank="1" errorTitle="URUTAN" error="Isi angka bulat mulai 1 (urutan dari kiri ke kanan)." type="whole" operator="greaterThanOrEqual">
      <formula1>1</formula1>
    </dataValidation>
    <dataValidation sqref="D2:D200" showDropDown="0" showInputMessage="0" showErrorMessage="1" allowBlank="1" errorTitle="ID FIXTURE" error="Pilih ID dari daftar (kelola di sheet DAFTAR_FIXTURE)." type="list">
      <formula1>FIXTURE_IDS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13" t="inlineStr">
        <is>
          <t>id_fixture</t>
        </is>
      </c>
      <c r="B1" s="13" t="inlineStr">
        <is>
          <t>jenis_fixture</t>
        </is>
      </c>
      <c r="C1" s="13" t="inlineStr">
        <is>
          <t>keterangan (opsional: toko / lokasi)</t>
        </is>
      </c>
      <c r="E1" s="14" t="inlineStr">
        <is>
          <t>ID di sini muncul sebagai dropdown di sheet DATA (sampai baris 51). Tiap ID harus unik.</t>
        </is>
      </c>
    </row>
    <row r="2">
      <c r="A2" s="15" t="inlineStr">
        <is>
          <t>WLL-01</t>
        </is>
      </c>
      <c r="B2" s="15" t="inlineStr">
        <is>
          <t>Wall 6 Rack</t>
        </is>
      </c>
      <c r="C2" s="15" t="n"/>
    </row>
    <row r="3">
      <c r="A3" s="15" t="inlineStr">
        <is>
          <t>WLL-02</t>
        </is>
      </c>
      <c r="B3" s="15" t="inlineStr">
        <is>
          <t>Wall 5 Rack</t>
        </is>
      </c>
      <c r="C3" s="15" t="n"/>
    </row>
    <row r="4">
      <c r="A4" s="15" t="inlineStr">
        <is>
          <t>WLL-03</t>
        </is>
      </c>
      <c r="B4" s="15" t="inlineStr">
        <is>
          <t>Wall 3 Rack + 2 Gantungan</t>
        </is>
      </c>
      <c r="C4" s="15" t="n"/>
    </row>
    <row r="5">
      <c r="A5" s="15" t="inlineStr">
        <is>
          <t>GND-01</t>
        </is>
      </c>
      <c r="B5" s="15" t="inlineStr">
        <is>
          <t>Gondola 4 Rack</t>
        </is>
      </c>
      <c r="C5" s="15" t="n"/>
    </row>
    <row r="6">
      <c r="A6" s="15" t="inlineStr">
        <is>
          <t>GND-02</t>
        </is>
      </c>
      <c r="B6" s="15" t="inlineStr">
        <is>
          <t>Gondola Full Gantungan</t>
        </is>
      </c>
      <c r="C6" s="15" t="n"/>
    </row>
    <row r="7">
      <c r="A7" s="15" t="inlineStr">
        <is>
          <t>GND-03</t>
        </is>
      </c>
      <c r="B7" s="15" t="inlineStr">
        <is>
          <t>Gondola 1 Rack + 3 Gantungan</t>
        </is>
      </c>
      <c r="C7" s="15" t="n"/>
    </row>
    <row r="8">
      <c r="A8" s="15" t="inlineStr">
        <is>
          <t>END-01</t>
        </is>
      </c>
      <c r="B8" s="15" t="inlineStr">
        <is>
          <t>Endcap 4 Rack</t>
        </is>
      </c>
      <c r="C8" s="15" t="n"/>
    </row>
    <row r="9">
      <c r="A9" s="15" t="inlineStr">
        <is>
          <t>PLT-01</t>
        </is>
      </c>
      <c r="B9" s="15" t="inlineStr">
        <is>
          <t>Pallet 90x90</t>
        </is>
      </c>
      <c r="C9" s="15" t="n"/>
    </row>
    <row r="10">
      <c r="A10" s="15" t="inlineStr">
        <is>
          <t>GND-04</t>
        </is>
      </c>
      <c r="B10" s="15" t="inlineStr">
        <is>
          <t>Gondola 3 Rack</t>
        </is>
      </c>
      <c r="C10" s="15" t="n"/>
    </row>
    <row r="11">
      <c r="A11" s="15" t="inlineStr">
        <is>
          <t>GND-05</t>
        </is>
      </c>
      <c r="B11" s="15" t="inlineStr">
        <is>
          <t>Gondola 2 Rack + 2 Gantungan</t>
        </is>
      </c>
      <c r="C11" s="15" t="n"/>
    </row>
    <row r="12">
      <c r="A12" s="15" t="inlineStr">
        <is>
          <t>GND-06</t>
        </is>
      </c>
      <c r="B12" s="15" t="inlineStr">
        <is>
          <t>Gondola 3 Rack + 1 Gantungan</t>
        </is>
      </c>
      <c r="C12" s="15" t="n"/>
    </row>
    <row r="13">
      <c r="A13" s="15" t="inlineStr">
        <is>
          <t>END-02</t>
        </is>
      </c>
      <c r="B13" s="15" t="inlineStr">
        <is>
          <t>Endcap 3 Rack</t>
        </is>
      </c>
      <c r="C13" s="15" t="n"/>
    </row>
    <row r="14">
      <c r="A14" s="15" t="inlineStr">
        <is>
          <t>PLT-02</t>
        </is>
      </c>
      <c r="B14" s="15" t="inlineStr">
        <is>
          <t>Pallet 90x90</t>
        </is>
      </c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>
      <c r="A21" s="15" t="n"/>
      <c r="B21" s="15" t="n"/>
      <c r="C21" s="15" t="n"/>
    </row>
    <row r="22">
      <c r="A22" s="15" t="n"/>
      <c r="B22" s="15" t="n"/>
      <c r="C22" s="15" t="n"/>
    </row>
    <row r="23">
      <c r="A23" s="15" t="n"/>
      <c r="B23" s="15" t="n"/>
      <c r="C23" s="15" t="n"/>
    </row>
    <row r="24">
      <c r="A24" s="15" t="n"/>
      <c r="B24" s="15" t="n"/>
      <c r="C24" s="15" t="n"/>
    </row>
    <row r="25">
      <c r="A25" s="15" t="n"/>
      <c r="B25" s="15" t="n"/>
      <c r="C25" s="15" t="n"/>
    </row>
    <row r="26">
      <c r="A26" s="15" t="n"/>
      <c r="B26" s="15" t="n"/>
      <c r="C26" s="15" t="n"/>
    </row>
    <row r="27">
      <c r="A27" s="15" t="n"/>
      <c r="B27" s="15" t="n"/>
      <c r="C27" s="15" t="n"/>
    </row>
    <row r="28">
      <c r="A28" s="15" t="n"/>
      <c r="B28" s="15" t="n"/>
      <c r="C28" s="15" t="n"/>
    </row>
    <row r="29">
      <c r="A29" s="15" t="n"/>
      <c r="B29" s="15" t="n"/>
      <c r="C29" s="15" t="n"/>
    </row>
    <row r="30">
      <c r="A30" s="15" t="n"/>
      <c r="B30" s="15" t="n"/>
      <c r="C30" s="15" t="n"/>
    </row>
    <row r="31">
      <c r="A31" s="15" t="n"/>
      <c r="B31" s="15" t="n"/>
      <c r="C31" s="15" t="n"/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  <row r="36">
      <c r="A36" s="15" t="n"/>
      <c r="B36" s="15" t="n"/>
      <c r="C36" s="15" t="n"/>
    </row>
    <row r="37">
      <c r="A37" s="15" t="n"/>
      <c r="B37" s="15" t="n"/>
      <c r="C37" s="15" t="n"/>
    </row>
    <row r="38">
      <c r="A38" s="15" t="n"/>
      <c r="B38" s="15" t="n"/>
      <c r="C38" s="15" t="n"/>
    </row>
    <row r="39">
      <c r="A39" s="15" t="n"/>
      <c r="B39" s="15" t="n"/>
      <c r="C39" s="15" t="n"/>
    </row>
    <row r="40">
      <c r="A40" s="15" t="n"/>
      <c r="B40" s="15" t="n"/>
      <c r="C40" s="15" t="n"/>
    </row>
    <row r="41">
      <c r="A41" s="15" t="n"/>
      <c r="B41" s="15" t="n"/>
      <c r="C41" s="15" t="n"/>
    </row>
    <row r="42">
      <c r="A42" s="15" t="n"/>
      <c r="B42" s="15" t="n"/>
      <c r="C42" s="15" t="n"/>
    </row>
    <row r="43">
      <c r="A43" s="15" t="n"/>
      <c r="B43" s="15" t="n"/>
      <c r="C43" s="15" t="n"/>
    </row>
    <row r="44">
      <c r="A44" s="15" t="n"/>
      <c r="B44" s="15" t="n"/>
      <c r="C44" s="15" t="n"/>
    </row>
    <row r="45">
      <c r="A45" s="15" t="n"/>
      <c r="B45" s="15" t="n"/>
      <c r="C45" s="15" t="n"/>
    </row>
    <row r="46">
      <c r="A46" s="15" t="n"/>
      <c r="B46" s="15" t="n"/>
      <c r="C46" s="15" t="n"/>
    </row>
    <row r="47">
      <c r="A47" s="15" t="n"/>
      <c r="B47" s="15" t="n"/>
      <c r="C47" s="15" t="n"/>
    </row>
    <row r="48">
      <c r="A48" s="15" t="n"/>
      <c r="B48" s="15" t="n"/>
      <c r="C48" s="15" t="n"/>
    </row>
    <row r="49">
      <c r="A49" s="15" t="n"/>
      <c r="B49" s="15" t="n"/>
      <c r="C49" s="15" t="n"/>
    </row>
    <row r="50">
      <c r="A50" s="15" t="n"/>
      <c r="B50" s="15" t="n"/>
      <c r="C50" s="15" t="n"/>
    </row>
    <row r="51">
      <c r="A51" s="15" t="n"/>
      <c r="B51" s="15" t="n"/>
      <c r="C51" s="15" t="n"/>
    </row>
  </sheetData>
  <dataValidations count="1">
    <dataValidation sqref="B2:B51" showDropDown="0" showInputMessage="0" showErrorMessage="1" allowBlank="1" errorTitle="Jenis fixture" error="Pilih jenis fixture dari daftar." type="list">
      <formula1>"Wall 6 Rack,Wall 5 Rack,Wall 3 Rack + 2 Gantungan,Gondola 4 Rack,Gondola 3 Rack,Gondola 2 Rack + 2 Gantungan,Gondola 3 Rack + 1 Gantungan,Gondola Full Gantungan,Gondola 1 Rack + 3 Gantungan,Endcap 4 Rack,Endcap 3 Rack,Pallet 90x90"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24" customWidth="1" min="4" max="4"/>
    <col width="40" customWidth="1" min="5" max="5"/>
  </cols>
  <sheetData>
    <row r="1">
      <c r="A1" s="16" t="inlineStr">
        <is>
          <t>jenis_fixture</t>
        </is>
      </c>
      <c r="B1" s="16" t="inlineStr">
        <is>
          <t>ukuran_LxDxT_cm</t>
        </is>
      </c>
      <c r="C1" s="16" t="inlineStr">
        <is>
          <t>zona_no</t>
        </is>
      </c>
      <c r="D1" s="16" t="inlineStr">
        <is>
          <t>jenis_zona_seharusnya</t>
        </is>
      </c>
      <c r="E1" s="16" t="inlineStr">
        <is>
          <t>kunci</t>
        </is>
      </c>
    </row>
    <row r="2">
      <c r="A2" s="15" t="inlineStr">
        <is>
          <t>Wall 6 Rack</t>
        </is>
      </c>
      <c r="B2" s="15" t="inlineStr">
        <is>
          <t>120x50x270 / 120x50x240</t>
        </is>
      </c>
      <c r="C2" s="17" t="n">
        <v>1</v>
      </c>
      <c r="D2" s="15" t="inlineStr">
        <is>
          <t>Rak</t>
        </is>
      </c>
      <c r="E2" s="18">
        <f>A2&amp;"|"&amp;C2</f>
        <v/>
      </c>
    </row>
    <row r="3">
      <c r="A3" s="15" t="inlineStr">
        <is>
          <t>Wall 6 Rack</t>
        </is>
      </c>
      <c r="B3" s="15" t="inlineStr">
        <is>
          <t>120x50x270 / 120x50x240</t>
        </is>
      </c>
      <c r="C3" s="17" t="n">
        <v>2</v>
      </c>
      <c r="D3" s="15" t="inlineStr">
        <is>
          <t>Rak</t>
        </is>
      </c>
      <c r="E3" s="18">
        <f>A3&amp;"|"&amp;C3</f>
        <v/>
      </c>
    </row>
    <row r="4">
      <c r="A4" s="15" t="inlineStr">
        <is>
          <t>Wall 6 Rack</t>
        </is>
      </c>
      <c r="B4" s="15" t="inlineStr">
        <is>
          <t>120x50x270 / 120x50x240</t>
        </is>
      </c>
      <c r="C4" s="17" t="n">
        <v>3</v>
      </c>
      <c r="D4" s="15" t="inlineStr">
        <is>
          <t>Rak</t>
        </is>
      </c>
      <c r="E4" s="18">
        <f>A4&amp;"|"&amp;C4</f>
        <v/>
      </c>
    </row>
    <row r="5">
      <c r="A5" s="15" t="inlineStr">
        <is>
          <t>Wall 6 Rack</t>
        </is>
      </c>
      <c r="B5" s="15" t="inlineStr">
        <is>
          <t>120x50x270 / 120x50x240</t>
        </is>
      </c>
      <c r="C5" s="17" t="n">
        <v>4</v>
      </c>
      <c r="D5" s="15" t="inlineStr">
        <is>
          <t>Rak</t>
        </is>
      </c>
      <c r="E5" s="18">
        <f>A5&amp;"|"&amp;C5</f>
        <v/>
      </c>
    </row>
    <row r="6">
      <c r="A6" s="15" t="inlineStr">
        <is>
          <t>Wall 6 Rack</t>
        </is>
      </c>
      <c r="B6" s="15" t="inlineStr">
        <is>
          <t>120x50x270 / 120x50x240</t>
        </is>
      </c>
      <c r="C6" s="17" t="n">
        <v>5</v>
      </c>
      <c r="D6" s="15" t="inlineStr">
        <is>
          <t>Rak</t>
        </is>
      </c>
      <c r="E6" s="18">
        <f>A6&amp;"|"&amp;C6</f>
        <v/>
      </c>
    </row>
    <row r="7">
      <c r="A7" s="15" t="inlineStr">
        <is>
          <t>Wall 6 Rack</t>
        </is>
      </c>
      <c r="B7" s="15" t="inlineStr">
        <is>
          <t>120x50x270 / 120x50x240</t>
        </is>
      </c>
      <c r="C7" s="17" t="n">
        <v>6</v>
      </c>
      <c r="D7" s="15" t="inlineStr">
        <is>
          <t>Rak</t>
        </is>
      </c>
      <c r="E7" s="18">
        <f>A7&amp;"|"&amp;C7</f>
        <v/>
      </c>
    </row>
    <row r="8">
      <c r="A8" s="15" t="inlineStr">
        <is>
          <t>Wall 5 Rack</t>
        </is>
      </c>
      <c r="B8" s="15" t="inlineStr">
        <is>
          <t>120x50x270 / 120x50x240</t>
        </is>
      </c>
      <c r="C8" s="17" t="n">
        <v>1</v>
      </c>
      <c r="D8" s="15" t="inlineStr">
        <is>
          <t>Rak</t>
        </is>
      </c>
      <c r="E8" s="18">
        <f>A8&amp;"|"&amp;C8</f>
        <v/>
      </c>
    </row>
    <row r="9">
      <c r="A9" s="15" t="inlineStr">
        <is>
          <t>Wall 5 Rack</t>
        </is>
      </c>
      <c r="B9" s="15" t="inlineStr">
        <is>
          <t>120x50x270 / 120x50x240</t>
        </is>
      </c>
      <c r="C9" s="17" t="n">
        <v>2</v>
      </c>
      <c r="D9" s="15" t="inlineStr">
        <is>
          <t>Rak</t>
        </is>
      </c>
      <c r="E9" s="18">
        <f>A9&amp;"|"&amp;C9</f>
        <v/>
      </c>
    </row>
    <row r="10">
      <c r="A10" s="15" t="inlineStr">
        <is>
          <t>Wall 5 Rack</t>
        </is>
      </c>
      <c r="B10" s="15" t="inlineStr">
        <is>
          <t>120x50x270 / 120x50x240</t>
        </is>
      </c>
      <c r="C10" s="17" t="n">
        <v>3</v>
      </c>
      <c r="D10" s="15" t="inlineStr">
        <is>
          <t>Rak</t>
        </is>
      </c>
      <c r="E10" s="18">
        <f>A10&amp;"|"&amp;C10</f>
        <v/>
      </c>
    </row>
    <row r="11">
      <c r="A11" s="15" t="inlineStr">
        <is>
          <t>Wall 5 Rack</t>
        </is>
      </c>
      <c r="B11" s="15" t="inlineStr">
        <is>
          <t>120x50x270 / 120x50x240</t>
        </is>
      </c>
      <c r="C11" s="17" t="n">
        <v>4</v>
      </c>
      <c r="D11" s="15" t="inlineStr">
        <is>
          <t>Rak</t>
        </is>
      </c>
      <c r="E11" s="18">
        <f>A11&amp;"|"&amp;C11</f>
        <v/>
      </c>
    </row>
    <row r="12">
      <c r="A12" s="15" t="inlineStr">
        <is>
          <t>Wall 5 Rack</t>
        </is>
      </c>
      <c r="B12" s="15" t="inlineStr">
        <is>
          <t>120x50x270 / 120x50x240</t>
        </is>
      </c>
      <c r="C12" s="17" t="n">
        <v>5</v>
      </c>
      <c r="D12" s="15" t="inlineStr">
        <is>
          <t>Rak</t>
        </is>
      </c>
      <c r="E12" s="18">
        <f>A12&amp;"|"&amp;C12</f>
        <v/>
      </c>
    </row>
    <row r="13">
      <c r="A13" s="15" t="inlineStr">
        <is>
          <t>Wall 3 Rack + 2 Gantungan</t>
        </is>
      </c>
      <c r="B13" s="15" t="inlineStr">
        <is>
          <t>120x50x270 / 120x50x240</t>
        </is>
      </c>
      <c r="C13" s="17" t="n">
        <v>1</v>
      </c>
      <c r="D13" s="15" t="inlineStr">
        <is>
          <t>Gantungan</t>
        </is>
      </c>
      <c r="E13" s="18">
        <f>A13&amp;"|"&amp;C13</f>
        <v/>
      </c>
    </row>
    <row r="14">
      <c r="A14" s="15" t="inlineStr">
        <is>
          <t>Wall 3 Rack + 2 Gantungan</t>
        </is>
      </c>
      <c r="B14" s="15" t="inlineStr">
        <is>
          <t>120x50x270 / 120x50x240</t>
        </is>
      </c>
      <c r="C14" s="17" t="n">
        <v>2</v>
      </c>
      <c r="D14" s="15" t="inlineStr">
        <is>
          <t>Gantungan</t>
        </is>
      </c>
      <c r="E14" s="18">
        <f>A14&amp;"|"&amp;C14</f>
        <v/>
      </c>
    </row>
    <row r="15">
      <c r="A15" s="15" t="inlineStr">
        <is>
          <t>Wall 3 Rack + 2 Gantungan</t>
        </is>
      </c>
      <c r="B15" s="15" t="inlineStr">
        <is>
          <t>120x50x270 / 120x50x240</t>
        </is>
      </c>
      <c r="C15" s="17" t="n">
        <v>3</v>
      </c>
      <c r="D15" s="15" t="inlineStr">
        <is>
          <t>Rak</t>
        </is>
      </c>
      <c r="E15" s="18">
        <f>A15&amp;"|"&amp;C15</f>
        <v/>
      </c>
    </row>
    <row r="16">
      <c r="A16" s="15" t="inlineStr">
        <is>
          <t>Wall 3 Rack + 2 Gantungan</t>
        </is>
      </c>
      <c r="B16" s="15" t="inlineStr">
        <is>
          <t>120x50x270 / 120x50x240</t>
        </is>
      </c>
      <c r="C16" s="17" t="n">
        <v>4</v>
      </c>
      <c r="D16" s="15" t="inlineStr">
        <is>
          <t>Rak</t>
        </is>
      </c>
      <c r="E16" s="18">
        <f>A16&amp;"|"&amp;C16</f>
        <v/>
      </c>
    </row>
    <row r="17">
      <c r="A17" s="15" t="inlineStr">
        <is>
          <t>Wall 3 Rack + 2 Gantungan</t>
        </is>
      </c>
      <c r="B17" s="15" t="inlineStr">
        <is>
          <t>120x50x270 / 120x50x240</t>
        </is>
      </c>
      <c r="C17" s="17" t="n">
        <v>5</v>
      </c>
      <c r="D17" s="15" t="inlineStr">
        <is>
          <t>Rak</t>
        </is>
      </c>
      <c r="E17" s="18">
        <f>A17&amp;"|"&amp;C17</f>
        <v/>
      </c>
    </row>
    <row r="18">
      <c r="A18" s="15" t="inlineStr">
        <is>
          <t>Gondola 4 Rack</t>
        </is>
      </c>
      <c r="B18" s="15" t="inlineStr">
        <is>
          <t>120x50x150</t>
        </is>
      </c>
      <c r="C18" s="17" t="n">
        <v>1</v>
      </c>
      <c r="D18" s="15" t="inlineStr">
        <is>
          <t>Rak</t>
        </is>
      </c>
      <c r="E18" s="18">
        <f>A18&amp;"|"&amp;C18</f>
        <v/>
      </c>
    </row>
    <row r="19">
      <c r="A19" s="15" t="inlineStr">
        <is>
          <t>Gondola 4 Rack</t>
        </is>
      </c>
      <c r="B19" s="15" t="inlineStr">
        <is>
          <t>120x50x150</t>
        </is>
      </c>
      <c r="C19" s="17" t="n">
        <v>2</v>
      </c>
      <c r="D19" s="15" t="inlineStr">
        <is>
          <t>Rak</t>
        </is>
      </c>
      <c r="E19" s="18">
        <f>A19&amp;"|"&amp;C19</f>
        <v/>
      </c>
    </row>
    <row r="20">
      <c r="A20" s="15" t="inlineStr">
        <is>
          <t>Gondola 4 Rack</t>
        </is>
      </c>
      <c r="B20" s="15" t="inlineStr">
        <is>
          <t>120x50x150</t>
        </is>
      </c>
      <c r="C20" s="17" t="n">
        <v>3</v>
      </c>
      <c r="D20" s="15" t="inlineStr">
        <is>
          <t>Rak</t>
        </is>
      </c>
      <c r="E20" s="18">
        <f>A20&amp;"|"&amp;C20</f>
        <v/>
      </c>
    </row>
    <row r="21">
      <c r="A21" s="15" t="inlineStr">
        <is>
          <t>Gondola 4 Rack</t>
        </is>
      </c>
      <c r="B21" s="15" t="inlineStr">
        <is>
          <t>120x50x150</t>
        </is>
      </c>
      <c r="C21" s="17" t="n">
        <v>4</v>
      </c>
      <c r="D21" s="15" t="inlineStr">
        <is>
          <t>Rak</t>
        </is>
      </c>
      <c r="E21" s="18">
        <f>A21&amp;"|"&amp;C21</f>
        <v/>
      </c>
    </row>
    <row r="22">
      <c r="A22" s="15" t="inlineStr">
        <is>
          <t>Gondola Full Gantungan</t>
        </is>
      </c>
      <c r="B22" s="15" t="inlineStr">
        <is>
          <t>120x50x150</t>
        </is>
      </c>
      <c r="C22" s="17" t="n">
        <v>1</v>
      </c>
      <c r="D22" s="15" t="inlineStr">
        <is>
          <t>Gantungan</t>
        </is>
      </c>
      <c r="E22" s="18">
        <f>A22&amp;"|"&amp;C22</f>
        <v/>
      </c>
    </row>
    <row r="23">
      <c r="A23" s="15" t="inlineStr">
        <is>
          <t>Gondola Full Gantungan</t>
        </is>
      </c>
      <c r="B23" s="15" t="inlineStr">
        <is>
          <t>120x50x150</t>
        </is>
      </c>
      <c r="C23" s="17" t="n">
        <v>2</v>
      </c>
      <c r="D23" s="15" t="inlineStr">
        <is>
          <t>Gantungan</t>
        </is>
      </c>
      <c r="E23" s="18">
        <f>A23&amp;"|"&amp;C23</f>
        <v/>
      </c>
    </row>
    <row r="24">
      <c r="A24" s="15" t="inlineStr">
        <is>
          <t>Gondola Full Gantungan</t>
        </is>
      </c>
      <c r="B24" s="15" t="inlineStr">
        <is>
          <t>120x50x150</t>
        </is>
      </c>
      <c r="C24" s="17" t="n">
        <v>3</v>
      </c>
      <c r="D24" s="15" t="inlineStr">
        <is>
          <t>Gantungan</t>
        </is>
      </c>
      <c r="E24" s="18">
        <f>A24&amp;"|"&amp;C24</f>
        <v/>
      </c>
    </row>
    <row r="25">
      <c r="A25" s="15" t="inlineStr">
        <is>
          <t>Gondola Full Gantungan</t>
        </is>
      </c>
      <c r="B25" s="15" t="inlineStr">
        <is>
          <t>120x50x150</t>
        </is>
      </c>
      <c r="C25" s="17" t="n">
        <v>4</v>
      </c>
      <c r="D25" s="15" t="inlineStr">
        <is>
          <t>Gantungan</t>
        </is>
      </c>
      <c r="E25" s="18">
        <f>A25&amp;"|"&amp;C25</f>
        <v/>
      </c>
    </row>
    <row r="26">
      <c r="A26" s="15" t="inlineStr">
        <is>
          <t>Gondola 1 Rack + 3 Gantungan</t>
        </is>
      </c>
      <c r="B26" s="15" t="inlineStr">
        <is>
          <t>120x50x150</t>
        </is>
      </c>
      <c r="C26" s="17" t="n">
        <v>1</v>
      </c>
      <c r="D26" s="15" t="inlineStr">
        <is>
          <t>Rak</t>
        </is>
      </c>
      <c r="E26" s="18">
        <f>A26&amp;"|"&amp;C26</f>
        <v/>
      </c>
    </row>
    <row r="27">
      <c r="A27" s="15" t="inlineStr">
        <is>
          <t>Gondola 1 Rack + 3 Gantungan</t>
        </is>
      </c>
      <c r="B27" s="15" t="inlineStr">
        <is>
          <t>120x50x150</t>
        </is>
      </c>
      <c r="C27" s="17" t="n">
        <v>2</v>
      </c>
      <c r="D27" s="15" t="inlineStr">
        <is>
          <t>Gantungan</t>
        </is>
      </c>
      <c r="E27" s="18">
        <f>A27&amp;"|"&amp;C27</f>
        <v/>
      </c>
    </row>
    <row r="28">
      <c r="A28" s="15" t="inlineStr">
        <is>
          <t>Gondola 1 Rack + 3 Gantungan</t>
        </is>
      </c>
      <c r="B28" s="15" t="inlineStr">
        <is>
          <t>120x50x150</t>
        </is>
      </c>
      <c r="C28" s="17" t="n">
        <v>3</v>
      </c>
      <c r="D28" s="15" t="inlineStr">
        <is>
          <t>Gantungan</t>
        </is>
      </c>
      <c r="E28" s="18">
        <f>A28&amp;"|"&amp;C28</f>
        <v/>
      </c>
    </row>
    <row r="29">
      <c r="A29" s="15" t="inlineStr">
        <is>
          <t>Gondola 1 Rack + 3 Gantungan</t>
        </is>
      </c>
      <c r="B29" s="15" t="inlineStr">
        <is>
          <t>120x50x150</t>
        </is>
      </c>
      <c r="C29" s="17" t="n">
        <v>4</v>
      </c>
      <c r="D29" s="15" t="inlineStr">
        <is>
          <t>Gantungan</t>
        </is>
      </c>
      <c r="E29" s="18">
        <f>A29&amp;"|"&amp;C29</f>
        <v/>
      </c>
    </row>
    <row r="30">
      <c r="A30" s="15" t="inlineStr">
        <is>
          <t>Endcap 4 Rack</t>
        </is>
      </c>
      <c r="B30" s="15" t="inlineStr">
        <is>
          <t>100x50x150</t>
        </is>
      </c>
      <c r="C30" s="17" t="n">
        <v>1</v>
      </c>
      <c r="D30" s="15" t="inlineStr">
        <is>
          <t>Rak</t>
        </is>
      </c>
      <c r="E30" s="18">
        <f>A30&amp;"|"&amp;C30</f>
        <v/>
      </c>
    </row>
    <row r="31">
      <c r="A31" s="15" t="inlineStr">
        <is>
          <t>Endcap 4 Rack</t>
        </is>
      </c>
      <c r="B31" s="15" t="inlineStr">
        <is>
          <t>100x50x150</t>
        </is>
      </c>
      <c r="C31" s="17" t="n">
        <v>2</v>
      </c>
      <c r="D31" s="15" t="inlineStr">
        <is>
          <t>Rak</t>
        </is>
      </c>
      <c r="E31" s="18">
        <f>A31&amp;"|"&amp;C31</f>
        <v/>
      </c>
    </row>
    <row r="32">
      <c r="A32" s="15" t="inlineStr">
        <is>
          <t>Endcap 4 Rack</t>
        </is>
      </c>
      <c r="B32" s="15" t="inlineStr">
        <is>
          <t>100x50x150</t>
        </is>
      </c>
      <c r="C32" s="17" t="n">
        <v>3</v>
      </c>
      <c r="D32" s="15" t="inlineStr">
        <is>
          <t>Rak</t>
        </is>
      </c>
      <c r="E32" s="18">
        <f>A32&amp;"|"&amp;C32</f>
        <v/>
      </c>
    </row>
    <row r="33">
      <c r="A33" s="15" t="inlineStr">
        <is>
          <t>Endcap 4 Rack</t>
        </is>
      </c>
      <c r="B33" s="15" t="inlineStr">
        <is>
          <t>100x50x150</t>
        </is>
      </c>
      <c r="C33" s="17" t="n">
        <v>4</v>
      </c>
      <c r="D33" s="15" t="inlineStr">
        <is>
          <t>Rak</t>
        </is>
      </c>
      <c r="E33" s="18">
        <f>A33&amp;"|"&amp;C33</f>
        <v/>
      </c>
    </row>
    <row r="34">
      <c r="A34" s="15" t="inlineStr">
        <is>
          <t>Pallet 90x90</t>
        </is>
      </c>
      <c r="B34" s="15" t="inlineStr">
        <is>
          <t>90x90x100</t>
        </is>
      </c>
      <c r="C34" s="17" t="n">
        <v>1</v>
      </c>
      <c r="D34" s="15" t="inlineStr">
        <is>
          <t>Rak</t>
        </is>
      </c>
      <c r="E34" s="18">
        <f>A34&amp;"|"&amp;C34</f>
        <v/>
      </c>
    </row>
    <row r="35">
      <c r="A35" s="15" t="inlineStr">
        <is>
          <t>Endcap 3 Rack</t>
        </is>
      </c>
      <c r="B35" s="15" t="inlineStr">
        <is>
          <t>100x50x150</t>
        </is>
      </c>
      <c r="C35" s="17" t="n">
        <v>1</v>
      </c>
      <c r="D35" s="15" t="inlineStr">
        <is>
          <t>Rak</t>
        </is>
      </c>
      <c r="E35" s="18">
        <f>A35&amp;"|"&amp;C35</f>
        <v/>
      </c>
    </row>
    <row r="36">
      <c r="A36" s="15" t="inlineStr">
        <is>
          <t>Endcap 3 Rack</t>
        </is>
      </c>
      <c r="B36" s="15" t="inlineStr">
        <is>
          <t>100x50x150</t>
        </is>
      </c>
      <c r="C36" s="17" t="n">
        <v>2</v>
      </c>
      <c r="D36" s="15" t="inlineStr">
        <is>
          <t>Rak</t>
        </is>
      </c>
      <c r="E36" s="18">
        <f>A36&amp;"|"&amp;C36</f>
        <v/>
      </c>
    </row>
    <row r="37">
      <c r="A37" s="15" t="inlineStr">
        <is>
          <t>Endcap 3 Rack</t>
        </is>
      </c>
      <c r="B37" s="15" t="inlineStr">
        <is>
          <t>100x50x150</t>
        </is>
      </c>
      <c r="C37" s="17" t="n">
        <v>3</v>
      </c>
      <c r="D37" s="15" t="inlineStr">
        <is>
          <t>Rak</t>
        </is>
      </c>
      <c r="E37" s="18">
        <f>A37&amp;"|"&amp;C37</f>
        <v/>
      </c>
    </row>
    <row r="38">
      <c r="A38" s="15" t="inlineStr">
        <is>
          <t>Gondola 3 Rack</t>
        </is>
      </c>
      <c r="B38" s="15" t="inlineStr">
        <is>
          <t>120x50x150</t>
        </is>
      </c>
      <c r="C38" s="17" t="n">
        <v>1</v>
      </c>
      <c r="D38" s="15" t="inlineStr">
        <is>
          <t>Rak</t>
        </is>
      </c>
      <c r="E38" s="18">
        <f>A38&amp;"|"&amp;C38</f>
        <v/>
      </c>
    </row>
    <row r="39">
      <c r="A39" s="15" t="inlineStr">
        <is>
          <t>Gondola 3 Rack</t>
        </is>
      </c>
      <c r="B39" s="15" t="inlineStr">
        <is>
          <t>120x50x150</t>
        </is>
      </c>
      <c r="C39" s="17" t="n">
        <v>2</v>
      </c>
      <c r="D39" s="15" t="inlineStr">
        <is>
          <t>Rak</t>
        </is>
      </c>
      <c r="E39" s="18">
        <f>A39&amp;"|"&amp;C39</f>
        <v/>
      </c>
    </row>
    <row r="40">
      <c r="A40" s="15" t="inlineStr">
        <is>
          <t>Gondola 3 Rack</t>
        </is>
      </c>
      <c r="B40" s="15" t="inlineStr">
        <is>
          <t>120x50x150</t>
        </is>
      </c>
      <c r="C40" s="17" t="n">
        <v>3</v>
      </c>
      <c r="D40" s="15" t="inlineStr">
        <is>
          <t>Rak</t>
        </is>
      </c>
      <c r="E40" s="18">
        <f>A40&amp;"|"&amp;C40</f>
        <v/>
      </c>
    </row>
    <row r="41">
      <c r="A41" s="15" t="inlineStr">
        <is>
          <t>Gondola 2 Rack + 2 Gantungan</t>
        </is>
      </c>
      <c r="B41" s="15" t="inlineStr">
        <is>
          <t>120x50x150</t>
        </is>
      </c>
      <c r="C41" s="17" t="n">
        <v>1</v>
      </c>
      <c r="D41" s="15" t="inlineStr">
        <is>
          <t>Rak</t>
        </is>
      </c>
      <c r="E41" s="18">
        <f>A41&amp;"|"&amp;C41</f>
        <v/>
      </c>
    </row>
    <row r="42">
      <c r="A42" s="15" t="inlineStr">
        <is>
          <t>Gondola 2 Rack + 2 Gantungan</t>
        </is>
      </c>
      <c r="B42" s="15" t="inlineStr">
        <is>
          <t>120x50x150</t>
        </is>
      </c>
      <c r="C42" s="17" t="n">
        <v>2</v>
      </c>
      <c r="D42" s="15" t="inlineStr">
        <is>
          <t>Rak</t>
        </is>
      </c>
      <c r="E42" s="18">
        <f>A42&amp;"|"&amp;C42</f>
        <v/>
      </c>
    </row>
    <row r="43">
      <c r="A43" s="15" t="inlineStr">
        <is>
          <t>Gondola 2 Rack + 2 Gantungan</t>
        </is>
      </c>
      <c r="B43" s="15" t="inlineStr">
        <is>
          <t>120x50x150</t>
        </is>
      </c>
      <c r="C43" s="17" t="n">
        <v>3</v>
      </c>
      <c r="D43" s="15" t="inlineStr">
        <is>
          <t>Gantungan</t>
        </is>
      </c>
      <c r="E43" s="18">
        <f>A43&amp;"|"&amp;C43</f>
        <v/>
      </c>
    </row>
    <row r="44">
      <c r="A44" s="15" t="inlineStr">
        <is>
          <t>Gondola 2 Rack + 2 Gantungan</t>
        </is>
      </c>
      <c r="B44" s="15" t="inlineStr">
        <is>
          <t>120x50x150</t>
        </is>
      </c>
      <c r="C44" s="17" t="n">
        <v>4</v>
      </c>
      <c r="D44" s="15" t="inlineStr">
        <is>
          <t>Gantungan</t>
        </is>
      </c>
      <c r="E44" s="18">
        <f>A44&amp;"|"&amp;C44</f>
        <v/>
      </c>
    </row>
    <row r="45">
      <c r="A45" s="15" t="inlineStr">
        <is>
          <t>Gondola 3 Rack + 1 Gantungan</t>
        </is>
      </c>
      <c r="B45" s="15" t="inlineStr">
        <is>
          <t>120x50x150</t>
        </is>
      </c>
      <c r="C45" s="17" t="n">
        <v>1</v>
      </c>
      <c r="D45" s="15" t="inlineStr">
        <is>
          <t>Rak</t>
        </is>
      </c>
      <c r="E45" s="18">
        <f>A45&amp;"|"&amp;C45</f>
        <v/>
      </c>
    </row>
    <row r="46">
      <c r="A46" s="15" t="inlineStr">
        <is>
          <t>Gondola 3 Rack + 1 Gantungan</t>
        </is>
      </c>
      <c r="B46" s="15" t="inlineStr">
        <is>
          <t>120x50x150</t>
        </is>
      </c>
      <c r="C46" s="17" t="n">
        <v>2</v>
      </c>
      <c r="D46" s="15" t="inlineStr">
        <is>
          <t>Rak</t>
        </is>
      </c>
      <c r="E46" s="18">
        <f>A46&amp;"|"&amp;C46</f>
        <v/>
      </c>
    </row>
    <row r="47">
      <c r="A47" s="15" t="inlineStr">
        <is>
          <t>Gondola 3 Rack + 1 Gantungan</t>
        </is>
      </c>
      <c r="B47" s="15" t="inlineStr">
        <is>
          <t>120x50x150</t>
        </is>
      </c>
      <c r="C47" s="17" t="n">
        <v>3</v>
      </c>
      <c r="D47" s="15" t="inlineStr">
        <is>
          <t>Rak</t>
        </is>
      </c>
      <c r="E47" s="18">
        <f>A47&amp;"|"&amp;C47</f>
        <v/>
      </c>
    </row>
    <row r="48">
      <c r="A48" s="15" t="inlineStr">
        <is>
          <t>Gondola 3 Rack + 1 Gantungan</t>
        </is>
      </c>
      <c r="B48" s="15" t="inlineStr">
        <is>
          <t>120x50x150</t>
        </is>
      </c>
      <c r="C48" s="17" t="n">
        <v>4</v>
      </c>
      <c r="D48" s="15" t="inlineStr">
        <is>
          <t>Gantungan</t>
        </is>
      </c>
      <c r="E48" s="18">
        <f>A48&amp;"|"&amp;C48</f>
        <v/>
      </c>
    </row>
    <row r="50">
      <c r="A50" s="15" t="inlineStr">
        <is>
          <t>Sheet ini referensi (jangan diubah). Zona dihitung dari atas ke bawah.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2026-10-02T06:54:33Z</dcterms:created>
  <dcterms:modified xsi:type="dcterms:W3CDTF">2026-10-05T06:46:40Z</dcterms:modified>
</cp:coreProperties>
</file>