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AFTAR_FIXTURE" sheetId="3" state="visible" r:id="rId3"/>
    <sheet name="LAYOUT" sheetId="4" state="visible" r:id="rId4"/>
  </sheets>
  <definedNames>
    <definedName name="FIXTURE_IDS">OFFSET(DAFTAR_FIXTURE!$A$2,0,0,MAX(1,COUNTA(DAFTAR_FIXTURE!$A$2:$A$51)),1)</definedName>
    <definedName name="_xlnm._FilterDatabase" localSheetId="1" hidden="1">'DATA'!$A$1:$M$500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kolom paling kiri ke kanan. Urutan kolom = urutan pengisian.</t>
        </is>
      </c>
    </row>
    <row r="3">
      <c r="A3" s="2" t="inlineStr"/>
    </row>
    <row r="4">
      <c r="A4" s="3" t="inlineStr">
        <is>
          <t>LANGKAH 1 — DATA SKU (header ungu, dari data master)</t>
        </is>
      </c>
      <c r="B4" s="4" t="n"/>
    </row>
    <row r="5">
      <c r="A5" s="5" t="inlineStr">
        <is>
          <t>SKU *</t>
        </is>
      </c>
      <c r="B5" s="6" t="inlineStr">
        <is>
          <t>Kode artikel. Wajib. Dipakai juga untuk membentuk link gambar.</t>
        </is>
      </c>
    </row>
    <row r="6">
      <c r="A6" s="5" t="inlineStr">
        <is>
          <t>SKU DESCRIPTION *</t>
        </is>
      </c>
      <c r="B6" s="6" t="inlineStr">
        <is>
          <t>Nama item. Wajib. Tampil di kartu produk.</t>
        </is>
      </c>
    </row>
    <row r="7">
      <c r="A7" s="5" t="inlineStr">
        <is>
          <t>GRUP DISPLAY</t>
        </is>
      </c>
      <c r="B7" s="6" t="inlineStr">
        <is>
          <t>Contoh: PENYIMPANAN, MAKAN, MASAK. Opsional. Dipakai sebagai FILTER di aplikasi.</t>
        </is>
      </c>
    </row>
    <row r="8">
      <c r="A8" s="5" t="inlineStr">
        <is>
          <t>GRUP ADJACENCY</t>
        </is>
      </c>
      <c r="B8" s="6" t="inlineStr">
        <is>
          <t>Contoh: E4. CANISTER, A2. SERVINGWARE. Opsional. Dipakai sebagai FILTER di aplikasi.</t>
        </is>
      </c>
    </row>
    <row r="9">
      <c r="A9" s="5" t="inlineStr">
        <is>
          <t>SERIES</t>
        </is>
      </c>
      <c r="B9" s="6" t="inlineStr">
        <is>
          <t>Contoh: GLASS FANCY, POLLA. Opsional. Dipakai sebagai FILTER di aplikasi.</t>
        </is>
      </c>
    </row>
    <row r="10">
      <c r="A10" s="5" t="inlineStr">
        <is>
          <t>LINK IMAGE</t>
        </is>
      </c>
      <c r="B10" s="6" t="inlineStr">
        <is>
          <t>Opsional. Isi link gambar produk jika ada. Kosong = otomatis dibentuk dari SKU: https://cdn.ruparupa.io/fit-in/850x850/ruparupa-com/image/upload/Products/[SKU]_1.jpg</t>
        </is>
      </c>
    </row>
    <row r="11">
      <c r="A11" s="2" t="n"/>
    </row>
    <row r="12">
      <c r="A12" s="3" t="inlineStr">
        <is>
          <t>LANGKAH 2 — PENEMPATAN KE FIXTURE (header hijau)</t>
        </is>
      </c>
      <c r="B12" s="4" t="n"/>
    </row>
    <row r="13">
      <c r="A13" s="5" t="inlineStr">
        <is>
          <t>ID FIXTURE *</t>
        </is>
      </c>
      <c r="B13" s="6" t="inlineStr">
        <is>
          <t>Pilih dari dropdown. Daftar ID dikelola di sheet DAFTAR_FIXTURE. Kosongkan jika SKU belum ditempatkan.</t>
        </is>
      </c>
    </row>
    <row r="14">
      <c r="A14" s="5" t="inlineStr">
        <is>
          <t>ZONA NO *</t>
        </is>
      </c>
      <c r="B14" s="6" t="inlineStr">
        <is>
          <t>Nomor zona dari atas ke bawah, mulai 1 (lihat sheet LAYOUT).</t>
        </is>
      </c>
    </row>
    <row r="15">
      <c r="A15" s="5" t="inlineStr">
        <is>
          <t>JENIS ZONA *</t>
        </is>
      </c>
      <c r="B15" s="6" t="inlineStr">
        <is>
          <t>Rak atau Gantungan (dropdown). Harus sama dengan layout; lihat kolom JENIS ZONA SEHARUSNYA.</t>
        </is>
      </c>
    </row>
    <row r="16">
      <c r="A16" s="2" t="n"/>
    </row>
    <row r="17">
      <c r="A17" s="3" t="inlineStr">
        <is>
          <t>LANGKAH 3 — OTOMATIS (header abu-abu, jangan diisi / dihapus)</t>
        </is>
      </c>
      <c r="B17" s="4" t="n"/>
    </row>
    <row r="18">
      <c r="A18" s="5" t="inlineStr">
        <is>
          <t>JENIS FIXTURE</t>
        </is>
      </c>
      <c r="B18" s="6" t="inlineStr">
        <is>
          <t>Dibaca dari ID FIXTURE (sheet DAFTAR_FIXTURE).</t>
        </is>
      </c>
    </row>
    <row r="19">
      <c r="A19" s="5" t="inlineStr">
        <is>
          <t>JENIS ZONA SEHARUSNYA</t>
        </is>
      </c>
      <c r="B19" s="6" t="inlineStr">
        <is>
          <t>Jenis zona menurut layout.</t>
        </is>
      </c>
    </row>
    <row r="20">
      <c r="A20" s="5" t="inlineStr">
        <is>
          <t>JUMLAH ITEM ZONA</t>
        </is>
      </c>
      <c r="B20" s="6" t="inlineStr">
        <is>
          <t>Jumlah item dalam zona yang sama.</t>
        </is>
      </c>
    </row>
    <row r="21">
      <c r="A21" s="5" t="inlineStr">
        <is>
          <t>STATUS</t>
        </is>
      </c>
      <c r="B21" s="6" t="inlineStr">
        <is>
          <t>OK / Zona STOCK (tanpa item) / Belum ditempatkan / CEK + penyebab. Semua baris yang ditempatkan harus OK sebelum diimpor.</t>
        </is>
      </c>
    </row>
    <row r="22">
      <c r="A22" s="2" t="inlineStr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item di satu zona. Item yang sama di dua zona = dua baris.</t>
        </is>
      </c>
    </row>
    <row r="25">
      <c r="A25" s="2" t="inlineStr">
        <is>
          <t>2. Urutan item dari kiri ke kanan mengikuti urutan baris di Excel (baris atas lebih dulu).</t>
        </is>
      </c>
    </row>
    <row r="26">
      <c r="A26" s="2" t="inlineStr">
        <is>
          <t>3. Jumlah item yang tampil = jumlah baris. Tidak ada facing, susun, ukuran, brand, atau prioritas.</t>
        </is>
      </c>
    </row>
    <row r="27">
      <c r="A27" s="2" t="inlineStr">
        <is>
          <t>4. Zona yang tidak berisi item (baris ID FIXTURE + ZONA NO tanpa SKU, atau zona yang tidak ditulis sama sekali) dianggap tempat STOCK dan ditulis STOCK di planogram.</t>
        </is>
      </c>
    </row>
    <row r="28">
      <c r="A28" s="2" t="inlineStr">
        <is>
          <t>5. Baris yang hanya berisi data SKU (tanpa ID FIXTURE) = masuk daftar SKU saja, belum ditempatkan.</t>
        </is>
      </c>
    </row>
    <row r="29">
      <c r="A29" s="2" t="inlineStr">
        <is>
          <t>6. SKU yang sama boleh ditampilkan di beberapa fixture (mis. versi Wall dan versi Gondola): data SKU (kolom A–F) cukup sama, tulis lagi di baris baru dengan ID FIXTURE / ZONA NO / JENIS ZONA yang lain.</t>
        </is>
      </c>
    </row>
    <row r="30">
      <c r="A30" s="2" t="inlineStr">
        <is>
          <t>7. Isi GRUP DISPLAY, GRUP ADJACENCY, dan SERIES dengan ejaan yang konsisten agar pilihan filter di aplikasi tidak terpecah.</t>
        </is>
      </c>
    </row>
    <row r="31">
      <c r="A31" s="2" t="inlineStr">
        <is>
          <t>Buka dulu di Excel lalu simpan agar kolom otomatis terhitung sebelum diimpor.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6" customWidth="1" min="2" max="2"/>
    <col width="16" customWidth="1" min="3" max="3"/>
    <col width="26" customWidth="1" min="4" max="4"/>
    <col width="22" customWidth="1" min="5" max="5"/>
    <col width="62" customWidth="1" min="6" max="6"/>
    <col width="12" customWidth="1" min="7" max="7"/>
    <col width="9" customWidth="1" min="8" max="8"/>
    <col width="13" customWidth="1" min="9" max="9"/>
    <col width="30" customWidth="1" min="10" max="10"/>
    <col width="22" customWidth="1" min="11" max="11"/>
    <col width="18" customWidth="1" min="12" max="12"/>
    <col width="34" customWidth="1" min="13" max="13"/>
  </cols>
  <sheetData>
    <row r="1" ht="36" customHeight="1">
      <c r="A1" s="7" t="inlineStr">
        <is>
          <t>SKU</t>
        </is>
      </c>
      <c r="B1" s="7" t="inlineStr">
        <is>
          <t>SKU DESCRIPTION</t>
        </is>
      </c>
      <c r="C1" s="7" t="inlineStr">
        <is>
          <t>GRUP DISPLAY</t>
        </is>
      </c>
      <c r="D1" s="7" t="inlineStr">
        <is>
          <t>GRUP ADJACENCY</t>
        </is>
      </c>
      <c r="E1" s="7" t="inlineStr">
        <is>
          <t>SERIES</t>
        </is>
      </c>
      <c r="F1" s="7" t="inlineStr">
        <is>
          <t>LINK IMAGE (opsional)</t>
        </is>
      </c>
      <c r="G1" s="8" t="inlineStr">
        <is>
          <t>ID FIXTURE</t>
        </is>
      </c>
      <c r="H1" s="8" t="inlineStr">
        <is>
          <t>ZONA NO</t>
        </is>
      </c>
      <c r="I1" s="8" t="inlineStr">
        <is>
          <t>JENIS ZONA</t>
        </is>
      </c>
      <c r="J1" s="9" t="inlineStr">
        <is>
          <t>JENIS FIXTURE (otomatis)</t>
        </is>
      </c>
      <c r="K1" s="9" t="inlineStr">
        <is>
          <t>JENIS ZONA SEHARUSNYA (otomatis)</t>
        </is>
      </c>
      <c r="L1" s="9" t="inlineStr">
        <is>
          <t>JUMLAH ITEM ZONA (otomatis)</t>
        </is>
      </c>
      <c r="M1" s="9" t="inlineStr">
        <is>
          <t>STATUS (otomatis)</t>
        </is>
      </c>
    </row>
    <row r="2">
      <c r="A2" s="10" t="n"/>
      <c r="B2" s="11" t="n"/>
      <c r="C2" s="11" t="n"/>
      <c r="D2" s="11" t="n"/>
      <c r="E2" s="11" t="n"/>
      <c r="F2" s="11" t="n"/>
      <c r="G2" s="11" t="inlineStr">
        <is>
          <t>WLL-01</t>
        </is>
      </c>
      <c r="H2" s="11" t="n">
        <v>1</v>
      </c>
      <c r="I2" s="11" t="inlineStr">
        <is>
          <t>Rak</t>
        </is>
      </c>
      <c r="J2" s="12">
        <f>IF(G2="","",IFERROR(INDEX(DAFTAR_FIXTURE!$B$2:$B$51,MATCH(G2,DAFTAR_FIXTURE!$A$2:$A$51,0)),""))</f>
        <v/>
      </c>
      <c r="K2" s="12">
        <f>IF(OR(J2="",H2=""),"",IFERROR(INDEX(LAYOUT!$D$2:$D$34,MATCH(J2&amp;"|"&amp;H2,LAYOUT!$E$2:$E$34,0)),"zona tidak ada di layout"))</f>
        <v/>
      </c>
      <c r="L2" s="12">
        <f>IF(OR(G2="",A2=""),"",COUNTIFS($G$2:$G$500,G2,$H$2:$H$500,H2,$A$2:$A$500,"&lt;&gt;"))</f>
        <v/>
      </c>
      <c r="M2" s="12">
        <f>IF(AND(A2="",G2=""),"",IF(G2="","Belum ditempatkan",IF(J2="","CEK ID FIXTURE tidak ada di DAFTAR_FIXTURE",IF(H2="","CEK ZONA NO kosong",IF(K2="zona tidak ada di layout","CEK ZONA NO di luar layout",IF(I2&lt;&gt;K2,"CEK JENIS ZONA",IF(A2="","Zona STOCK",IF(B2="","CEK SKU DESCRIPTION kosong","OK"))))))))</f>
        <v/>
      </c>
    </row>
    <row r="3">
      <c r="A3" s="10" t="inlineStr">
        <is>
          <t>10445959</t>
        </is>
      </c>
      <c r="B3" s="11" t="inlineStr">
        <is>
          <t>CASSEROLE RECT GOLD MARBLE W/LID 33CM</t>
        </is>
      </c>
      <c r="C3" s="11" t="inlineStr">
        <is>
          <t>MASAK</t>
        </is>
      </c>
      <c r="D3" s="11" t="inlineStr">
        <is>
          <t>B1. CASSEROLE</t>
        </is>
      </c>
      <c r="E3" s="11" t="inlineStr">
        <is>
          <t>GOLD MARBLE</t>
        </is>
      </c>
      <c r="F3" s="11" t="n"/>
      <c r="G3" s="11" t="inlineStr">
        <is>
          <t>WLL-01</t>
        </is>
      </c>
      <c r="H3" s="11" t="n">
        <v>2</v>
      </c>
      <c r="I3" s="11" t="inlineStr">
        <is>
          <t>Rak</t>
        </is>
      </c>
      <c r="J3" s="12">
        <f>IF(G3="","",IFERROR(INDEX(DAFTAR_FIXTURE!$B$2:$B$51,MATCH(G3,DAFTAR_FIXTURE!$A$2:$A$51,0)),""))</f>
        <v/>
      </c>
      <c r="K3" s="12">
        <f>IF(OR(J3="",H3=""),"",IFERROR(INDEX(LAYOUT!$D$2:$D$34,MATCH(J3&amp;"|"&amp;H3,LAYOUT!$E$2:$E$34,0)),"zona tidak ada di layout"))</f>
        <v/>
      </c>
      <c r="L3" s="12">
        <f>IF(OR(G3="",A3=""),"",COUNTIFS($G$2:$G$500,G3,$H$2:$H$500,H3,$A$2:$A$500,"&lt;&gt;"))</f>
        <v/>
      </c>
      <c r="M3" s="12">
        <f>IF(AND(A3="",G3=""),"",IF(G3="","Belum ditempatkan",IF(J3="","CEK ID FIXTURE tidak ada di DAFTAR_FIXTURE",IF(H3="","CEK ZONA NO kosong",IF(K3="zona tidak ada di layout","CEK ZONA NO di luar layout",IF(I3&lt;&gt;K3,"CEK JENIS ZONA",IF(A3="","Zona STOCK",IF(B3="","CEK SKU DESCRIPTION kosong","OK"))))))))</f>
        <v/>
      </c>
    </row>
    <row r="4">
      <c r="A4" s="10" t="inlineStr">
        <is>
          <t>10445960</t>
        </is>
      </c>
      <c r="B4" s="11" t="inlineStr">
        <is>
          <t>CASSEROLE OVAL GOLD MARBLE W/LID 33CM</t>
        </is>
      </c>
      <c r="C4" s="11" t="inlineStr">
        <is>
          <t>MASAK</t>
        </is>
      </c>
      <c r="D4" s="11" t="inlineStr">
        <is>
          <t>B1. CASSEROLE</t>
        </is>
      </c>
      <c r="E4" s="11" t="inlineStr">
        <is>
          <t>GOLD MARBLE</t>
        </is>
      </c>
      <c r="F4" s="11" t="n"/>
      <c r="G4" s="11" t="inlineStr">
        <is>
          <t>WLL-01</t>
        </is>
      </c>
      <c r="H4" s="11" t="n">
        <v>2</v>
      </c>
      <c r="I4" s="11" t="inlineStr">
        <is>
          <t>Rak</t>
        </is>
      </c>
      <c r="J4" s="12">
        <f>IF(G4="","",IFERROR(INDEX(DAFTAR_FIXTURE!$B$2:$B$51,MATCH(G4,DAFTAR_FIXTURE!$A$2:$A$51,0)),""))</f>
        <v/>
      </c>
      <c r="K4" s="12">
        <f>IF(OR(J4="",H4=""),"",IFERROR(INDEX(LAYOUT!$D$2:$D$34,MATCH(J4&amp;"|"&amp;H4,LAYOUT!$E$2:$E$34,0)),"zona tidak ada di layout"))</f>
        <v/>
      </c>
      <c r="L4" s="12">
        <f>IF(OR(G4="",A4=""),"",COUNTIFS($G$2:$G$500,G4,$H$2:$H$500,H4,$A$2:$A$500,"&lt;&gt;"))</f>
        <v/>
      </c>
      <c r="M4" s="12">
        <f>IF(AND(A4="",G4=""),"",IF(G4="","Belum ditempatkan",IF(J4="","CEK ID FIXTURE tidak ada di DAFTAR_FIXTURE",IF(H4="","CEK ZONA NO kosong",IF(K4="zona tidak ada di layout","CEK ZONA NO di luar layout",IF(I4&lt;&gt;K4,"CEK JENIS ZONA",IF(A4="","Zona STOCK",IF(B4="","CEK SKU DESCRIPTION kosong","OK"))))))))</f>
        <v/>
      </c>
    </row>
    <row r="5">
      <c r="A5" s="10" t="inlineStr">
        <is>
          <t>10445961</t>
        </is>
      </c>
      <c r="B5" s="11" t="inlineStr">
        <is>
          <t>CASSEROLE ROUND GOLD MARBLE W/LID 33CM</t>
        </is>
      </c>
      <c r="C5" s="11" t="inlineStr">
        <is>
          <t>MASAK</t>
        </is>
      </c>
      <c r="D5" s="11" t="inlineStr">
        <is>
          <t>B1. CASSEROLE</t>
        </is>
      </c>
      <c r="E5" s="11" t="inlineStr">
        <is>
          <t>GOLD MARBLE</t>
        </is>
      </c>
      <c r="F5" s="11" t="n"/>
      <c r="G5" s="11" t="inlineStr">
        <is>
          <t>WLL-01</t>
        </is>
      </c>
      <c r="H5" s="11" t="n">
        <v>2</v>
      </c>
      <c r="I5" s="11" t="inlineStr">
        <is>
          <t>Rak</t>
        </is>
      </c>
      <c r="J5" s="12">
        <f>IF(G5="","",IFERROR(INDEX(DAFTAR_FIXTURE!$B$2:$B$51,MATCH(G5,DAFTAR_FIXTURE!$A$2:$A$51,0)),""))</f>
        <v/>
      </c>
      <c r="K5" s="12">
        <f>IF(OR(J5="",H5=""),"",IFERROR(INDEX(LAYOUT!$D$2:$D$34,MATCH(J5&amp;"|"&amp;H5,LAYOUT!$E$2:$E$34,0)),"zona tidak ada di layout"))</f>
        <v/>
      </c>
      <c r="L5" s="12">
        <f>IF(OR(G5="",A5=""),"",COUNTIFS($G$2:$G$500,G5,$H$2:$H$500,H5,$A$2:$A$500,"&lt;&gt;"))</f>
        <v/>
      </c>
      <c r="M5" s="12">
        <f>IF(AND(A5="",G5=""),"",IF(G5="","Belum ditempatkan",IF(J5="","CEK ID FIXTURE tidak ada di DAFTAR_FIXTURE",IF(H5="","CEK ZONA NO kosong",IF(K5="zona tidak ada di layout","CEK ZONA NO di luar layout",IF(I5&lt;&gt;K5,"CEK JENIS ZONA",IF(A5="","Zona STOCK",IF(B5="","CEK SKU DESCRIPTION kosong","OK"))))))))</f>
        <v/>
      </c>
    </row>
    <row r="6">
      <c r="A6" s="10" t="inlineStr">
        <is>
          <t>10445962</t>
        </is>
      </c>
      <c r="B6" s="11" t="inlineStr">
        <is>
          <t>CASSEROLE SQUARE GOLD MARBLE W/LID 33CM</t>
        </is>
      </c>
      <c r="C6" s="11" t="inlineStr">
        <is>
          <t>MASAK</t>
        </is>
      </c>
      <c r="D6" s="11" t="inlineStr">
        <is>
          <t>B1. CASSEROLE</t>
        </is>
      </c>
      <c r="E6" s="11" t="inlineStr">
        <is>
          <t>GOLD MARBLE</t>
        </is>
      </c>
      <c r="F6" s="11" t="n"/>
      <c r="G6" s="11" t="inlineStr">
        <is>
          <t>WLL-01</t>
        </is>
      </c>
      <c r="H6" s="11" t="n">
        <v>3</v>
      </c>
      <c r="I6" s="11" t="inlineStr">
        <is>
          <t>Rak</t>
        </is>
      </c>
      <c r="J6" s="12">
        <f>IF(G6="","",IFERROR(INDEX(DAFTAR_FIXTURE!$B$2:$B$51,MATCH(G6,DAFTAR_FIXTURE!$A$2:$A$51,0)),""))</f>
        <v/>
      </c>
      <c r="K6" s="12">
        <f>IF(OR(J6="",H6=""),"",IFERROR(INDEX(LAYOUT!$D$2:$D$34,MATCH(J6&amp;"|"&amp;H6,LAYOUT!$E$2:$E$34,0)),"zona tidak ada di layout"))</f>
        <v/>
      </c>
      <c r="L6" s="12">
        <f>IF(OR(G6="",A6=""),"",COUNTIFS($G$2:$G$500,G6,$H$2:$H$500,H6,$A$2:$A$500,"&lt;&gt;"))</f>
        <v/>
      </c>
      <c r="M6" s="12">
        <f>IF(AND(A6="",G6=""),"",IF(G6="","Belum ditempatkan",IF(J6="","CEK ID FIXTURE tidak ada di DAFTAR_FIXTURE",IF(H6="","CEK ZONA NO kosong",IF(K6="zona tidak ada di layout","CEK ZONA NO di luar layout",IF(I6&lt;&gt;K6,"CEK JENIS ZONA",IF(A6="","Zona STOCK",IF(B6="","CEK SKU DESCRIPTION kosong","OK"))))))))</f>
        <v/>
      </c>
    </row>
    <row r="7">
      <c r="A7" s="10" t="inlineStr">
        <is>
          <t>10470029</t>
        </is>
      </c>
      <c r="B7" s="11" t="inlineStr">
        <is>
          <t>SERVING SET W/RACK OCTAGON MARBLE (4)</t>
        </is>
      </c>
      <c r="C7" s="11" t="inlineStr">
        <is>
          <t>MAKAN</t>
        </is>
      </c>
      <c r="D7" s="11" t="inlineStr">
        <is>
          <t>A2. SERVINGWARE</t>
        </is>
      </c>
      <c r="E7" s="11" t="inlineStr">
        <is>
          <t>SERVING SET MARBLE</t>
        </is>
      </c>
      <c r="F7" s="11" t="n"/>
      <c r="G7" s="11" t="inlineStr">
        <is>
          <t>WLL-01</t>
        </is>
      </c>
      <c r="H7" s="11" t="n">
        <v>3</v>
      </c>
      <c r="I7" s="11" t="inlineStr">
        <is>
          <t>Rak</t>
        </is>
      </c>
      <c r="J7" s="12">
        <f>IF(G7="","",IFERROR(INDEX(DAFTAR_FIXTURE!$B$2:$B$51,MATCH(G7,DAFTAR_FIXTURE!$A$2:$A$51,0)),""))</f>
        <v/>
      </c>
      <c r="K7" s="12">
        <f>IF(OR(J7="",H7=""),"",IFERROR(INDEX(LAYOUT!$D$2:$D$34,MATCH(J7&amp;"|"&amp;H7,LAYOUT!$E$2:$E$34,0)),"zona tidak ada di layout"))</f>
        <v/>
      </c>
      <c r="L7" s="12">
        <f>IF(OR(G7="",A7=""),"",COUNTIFS($G$2:$G$500,G7,$H$2:$H$500,H7,$A$2:$A$500,"&lt;&gt;"))</f>
        <v/>
      </c>
      <c r="M7" s="12">
        <f>IF(AND(A7="",G7=""),"",IF(G7="","Belum ditempatkan",IF(J7="","CEK ID FIXTURE tidak ada di DAFTAR_FIXTURE",IF(H7="","CEK ZONA NO kosong",IF(K7="zona tidak ada di layout","CEK ZONA NO di luar layout",IF(I7&lt;&gt;K7,"CEK JENIS ZONA",IF(A7="","Zona STOCK",IF(B7="","CEK SKU DESCRIPTION kosong","OK"))))))))</f>
        <v/>
      </c>
    </row>
    <row r="8">
      <c r="A8" s="10" t="inlineStr">
        <is>
          <t>10470030</t>
        </is>
      </c>
      <c r="B8" s="11" t="inlineStr">
        <is>
          <t>SERVING SET RND DETACHABLE MARBLE (2)</t>
        </is>
      </c>
      <c r="C8" s="11" t="inlineStr">
        <is>
          <t>MAKAN</t>
        </is>
      </c>
      <c r="D8" s="11" t="inlineStr">
        <is>
          <t>A2. SERVINGWARE</t>
        </is>
      </c>
      <c r="E8" s="11" t="inlineStr">
        <is>
          <t>SERVING SET MARBLE</t>
        </is>
      </c>
      <c r="F8" s="11" t="n"/>
      <c r="G8" s="11" t="inlineStr">
        <is>
          <t>WLL-01</t>
        </is>
      </c>
      <c r="H8" s="11" t="n">
        <v>3</v>
      </c>
      <c r="I8" s="11" t="inlineStr">
        <is>
          <t>Rak</t>
        </is>
      </c>
      <c r="J8" s="12">
        <f>IF(G8="","",IFERROR(INDEX(DAFTAR_FIXTURE!$B$2:$B$51,MATCH(G8,DAFTAR_FIXTURE!$A$2:$A$51,0)),""))</f>
        <v/>
      </c>
      <c r="K8" s="12">
        <f>IF(OR(J8="",H8=""),"",IFERROR(INDEX(LAYOUT!$D$2:$D$34,MATCH(J8&amp;"|"&amp;H8,LAYOUT!$E$2:$E$34,0)),"zona tidak ada di layout"))</f>
        <v/>
      </c>
      <c r="L8" s="12">
        <f>IF(OR(G8="",A8=""),"",COUNTIFS($G$2:$G$500,G8,$H$2:$H$500,H8,$A$2:$A$500,"&lt;&gt;"))</f>
        <v/>
      </c>
      <c r="M8" s="12">
        <f>IF(AND(A8="",G8=""),"",IF(G8="","Belum ditempatkan",IF(J8="","CEK ID FIXTURE tidak ada di DAFTAR_FIXTURE",IF(H8="","CEK ZONA NO kosong",IF(K8="zona tidak ada di layout","CEK ZONA NO di luar layout",IF(I8&lt;&gt;K8,"CEK JENIS ZONA",IF(A8="","Zona STOCK",IF(B8="","CEK SKU DESCRIPTION kosong","OK"))))))))</f>
        <v/>
      </c>
    </row>
    <row r="9">
      <c r="A9" s="10" t="inlineStr">
        <is>
          <t>10470031</t>
        </is>
      </c>
      <c r="B9" s="11" t="inlineStr">
        <is>
          <t>SERVING SET W/RACK SQR MARBLE BLACK (3)</t>
        </is>
      </c>
      <c r="C9" s="11" t="inlineStr">
        <is>
          <t>MAKAN</t>
        </is>
      </c>
      <c r="D9" s="11" t="inlineStr">
        <is>
          <t>A2. SERVINGWARE</t>
        </is>
      </c>
      <c r="E9" s="11" t="inlineStr">
        <is>
          <t>SERVING SET MARBLE</t>
        </is>
      </c>
      <c r="F9" s="11" t="n"/>
      <c r="G9" s="11" t="inlineStr">
        <is>
          <t>WLL-01</t>
        </is>
      </c>
      <c r="H9" s="11" t="n">
        <v>4</v>
      </c>
      <c r="I9" s="11" t="inlineStr">
        <is>
          <t>Rak</t>
        </is>
      </c>
      <c r="J9" s="12">
        <f>IF(G9="","",IFERROR(INDEX(DAFTAR_FIXTURE!$B$2:$B$51,MATCH(G9,DAFTAR_FIXTURE!$A$2:$A$51,0)),""))</f>
        <v/>
      </c>
      <c r="K9" s="12">
        <f>IF(OR(J9="",H9=""),"",IFERROR(INDEX(LAYOUT!$D$2:$D$34,MATCH(J9&amp;"|"&amp;H9,LAYOUT!$E$2:$E$34,0)),"zona tidak ada di layout"))</f>
        <v/>
      </c>
      <c r="L9" s="12">
        <f>IF(OR(G9="",A9=""),"",COUNTIFS($G$2:$G$500,G9,$H$2:$H$500,H9,$A$2:$A$500,"&lt;&gt;"))</f>
        <v/>
      </c>
      <c r="M9" s="12">
        <f>IF(AND(A9="",G9=""),"",IF(G9="","Belum ditempatkan",IF(J9="","CEK ID FIXTURE tidak ada di DAFTAR_FIXTURE",IF(H9="","CEK ZONA NO kosong",IF(K9="zona tidak ada di layout","CEK ZONA NO di luar layout",IF(I9&lt;&gt;K9,"CEK JENIS ZONA",IF(A9="","Zona STOCK",IF(B9="","CEK SKU DESCRIPTION kosong","OK"))))))))</f>
        <v/>
      </c>
    </row>
    <row r="10">
      <c r="A10" s="10" t="inlineStr">
        <is>
          <t>10470032</t>
        </is>
      </c>
      <c r="B10" s="11" t="inlineStr">
        <is>
          <t>SERVING SET W/RACK STACK WHITE (3)</t>
        </is>
      </c>
      <c r="C10" s="11" t="inlineStr">
        <is>
          <t>MAKAN</t>
        </is>
      </c>
      <c r="D10" s="11" t="inlineStr">
        <is>
          <t>A2. SERVINGWARE</t>
        </is>
      </c>
      <c r="E10" s="11" t="inlineStr">
        <is>
          <t>SERVING SET MARBLE</t>
        </is>
      </c>
      <c r="F10" s="11" t="n"/>
      <c r="G10" s="11" t="inlineStr">
        <is>
          <t>WLL-01</t>
        </is>
      </c>
      <c r="H10" s="11" t="n">
        <v>4</v>
      </c>
      <c r="I10" s="11" t="inlineStr">
        <is>
          <t>Rak</t>
        </is>
      </c>
      <c r="J10" s="12">
        <f>IF(G10="","",IFERROR(INDEX(DAFTAR_FIXTURE!$B$2:$B$51,MATCH(G10,DAFTAR_FIXTURE!$A$2:$A$51,0)),""))</f>
        <v/>
      </c>
      <c r="K10" s="12">
        <f>IF(OR(J10="",H10=""),"",IFERROR(INDEX(LAYOUT!$D$2:$D$34,MATCH(J10&amp;"|"&amp;H10,LAYOUT!$E$2:$E$34,0)),"zona tidak ada di layout"))</f>
        <v/>
      </c>
      <c r="L10" s="12">
        <f>IF(OR(G10="",A10=""),"",COUNTIFS($G$2:$G$500,G10,$H$2:$H$500,H10,$A$2:$A$500,"&lt;&gt;"))</f>
        <v/>
      </c>
      <c r="M10" s="12">
        <f>IF(AND(A10="",G10=""),"",IF(G10="","Belum ditempatkan",IF(J10="","CEK ID FIXTURE tidak ada di DAFTAR_FIXTURE",IF(H10="","CEK ZONA NO kosong",IF(K10="zona tidak ada di layout","CEK ZONA NO di luar layout",IF(I10&lt;&gt;K10,"CEK JENIS ZONA",IF(A10="","Zona STOCK",IF(B10="","CEK SKU DESCRIPTION kosong","OK"))))))))</f>
        <v/>
      </c>
    </row>
    <row r="11">
      <c r="A11" s="10" t="inlineStr">
        <is>
          <t>10470033</t>
        </is>
      </c>
      <c r="B11" s="11" t="inlineStr">
        <is>
          <t>SERVING SET W/RACK CIRCLE BLACK (3)</t>
        </is>
      </c>
      <c r="C11" s="11" t="inlineStr">
        <is>
          <t>MAKAN</t>
        </is>
      </c>
      <c r="D11" s="11" t="inlineStr">
        <is>
          <t>A2. SERVINGWARE</t>
        </is>
      </c>
      <c r="E11" s="11" t="inlineStr">
        <is>
          <t>SERVING SET MARBLE</t>
        </is>
      </c>
      <c r="F11" s="11" t="n"/>
      <c r="G11" s="11" t="inlineStr">
        <is>
          <t>WLL-01</t>
        </is>
      </c>
      <c r="H11" s="11" t="n">
        <v>4</v>
      </c>
      <c r="I11" s="11" t="inlineStr">
        <is>
          <t>Rak</t>
        </is>
      </c>
      <c r="J11" s="12">
        <f>IF(G11="","",IFERROR(INDEX(DAFTAR_FIXTURE!$B$2:$B$51,MATCH(G11,DAFTAR_FIXTURE!$A$2:$A$51,0)),""))</f>
        <v/>
      </c>
      <c r="K11" s="12">
        <f>IF(OR(J11="",H11=""),"",IFERROR(INDEX(LAYOUT!$D$2:$D$34,MATCH(J11&amp;"|"&amp;H11,LAYOUT!$E$2:$E$34,0)),"zona tidak ada di layout"))</f>
        <v/>
      </c>
      <c r="L11" s="12">
        <f>IF(OR(G11="",A11=""),"",COUNTIFS($G$2:$G$500,G11,$H$2:$H$500,H11,$A$2:$A$500,"&lt;&gt;"))</f>
        <v/>
      </c>
      <c r="M11" s="12">
        <f>IF(AND(A11="",G11=""),"",IF(G11="","Belum ditempatkan",IF(J11="","CEK ID FIXTURE tidak ada di DAFTAR_FIXTURE",IF(H11="","CEK ZONA NO kosong",IF(K11="zona tidak ada di layout","CEK ZONA NO di luar layout",IF(I11&lt;&gt;K11,"CEK JENIS ZONA",IF(A11="","Zona STOCK",IF(B11="","CEK SKU DESCRIPTION kosong","OK"))))))))</f>
        <v/>
      </c>
    </row>
    <row r="12">
      <c r="A12" s="10" t="inlineStr">
        <is>
          <t>10680419</t>
        </is>
      </c>
      <c r="B12" s="11" t="inlineStr">
        <is>
          <t>MOSQUE DOME GLASS JAR SET OF 3 450ML</t>
        </is>
      </c>
      <c r="C12" s="11" t="inlineStr">
        <is>
          <t>PENYIMPANAN</t>
        </is>
      </c>
      <c r="D12" s="11" t="inlineStr">
        <is>
          <t>E4. CANISTER</t>
        </is>
      </c>
      <c r="E12" s="11" t="inlineStr">
        <is>
          <t>GLASS FANCY</t>
        </is>
      </c>
      <c r="F12" s="11" t="n"/>
      <c r="G12" s="11" t="inlineStr">
        <is>
          <t>WLL-01</t>
        </is>
      </c>
      <c r="H12" s="11" t="n">
        <v>5</v>
      </c>
      <c r="I12" s="11" t="inlineStr">
        <is>
          <t>Rak</t>
        </is>
      </c>
      <c r="J12" s="12">
        <f>IF(G12="","",IFERROR(INDEX(DAFTAR_FIXTURE!$B$2:$B$51,MATCH(G12,DAFTAR_FIXTURE!$A$2:$A$51,0)),""))</f>
        <v/>
      </c>
      <c r="K12" s="12">
        <f>IF(OR(J12="",H12=""),"",IFERROR(INDEX(LAYOUT!$D$2:$D$34,MATCH(J12&amp;"|"&amp;H12,LAYOUT!$E$2:$E$34,0)),"zona tidak ada di layout"))</f>
        <v/>
      </c>
      <c r="L12" s="12">
        <f>IF(OR(G12="",A12=""),"",COUNTIFS($G$2:$G$500,G12,$H$2:$H$500,H12,$A$2:$A$500,"&lt;&gt;"))</f>
        <v/>
      </c>
      <c r="M12" s="12">
        <f>IF(AND(A12="",G12=""),"",IF(G12="","Belum ditempatkan",IF(J12="","CEK ID FIXTURE tidak ada di DAFTAR_FIXTURE",IF(H12="","CEK ZONA NO kosong",IF(K12="zona tidak ada di layout","CEK ZONA NO di luar layout",IF(I12&lt;&gt;K12,"CEK JENIS ZONA",IF(A12="","Zona STOCK",IF(B12="","CEK SKU DESCRIPTION kosong","OK"))))))))</f>
        <v/>
      </c>
    </row>
    <row r="13">
      <c r="A13" s="10" t="n"/>
      <c r="B13" s="11" t="n"/>
      <c r="C13" s="11" t="n"/>
      <c r="D13" s="11" t="n"/>
      <c r="E13" s="11" t="n"/>
      <c r="F13" s="11" t="n"/>
      <c r="G13" s="11" t="inlineStr">
        <is>
          <t>WLL-01</t>
        </is>
      </c>
      <c r="H13" s="11" t="n">
        <v>6</v>
      </c>
      <c r="I13" s="11" t="inlineStr">
        <is>
          <t>Rak</t>
        </is>
      </c>
      <c r="J13" s="12">
        <f>IF(G13="","",IFERROR(INDEX(DAFTAR_FIXTURE!$B$2:$B$51,MATCH(G13,DAFTAR_FIXTURE!$A$2:$A$51,0)),""))</f>
        <v/>
      </c>
      <c r="K13" s="12">
        <f>IF(OR(J13="",H13=""),"",IFERROR(INDEX(LAYOUT!$D$2:$D$34,MATCH(J13&amp;"|"&amp;H13,LAYOUT!$E$2:$E$34,0)),"zona tidak ada di layout"))</f>
        <v/>
      </c>
      <c r="L13" s="12">
        <f>IF(OR(G13="",A13=""),"",COUNTIFS($G$2:$G$500,G13,$H$2:$H$500,H13,$A$2:$A$500,"&lt;&gt;"))</f>
        <v/>
      </c>
      <c r="M13" s="12">
        <f>IF(AND(A13="",G13=""),"",IF(G13="","Belum ditempatkan",IF(J13="","CEK ID FIXTURE tidak ada di DAFTAR_FIXTURE",IF(H13="","CEK ZONA NO kosong",IF(K13="zona tidak ada di layout","CEK ZONA NO di luar layout",IF(I13&lt;&gt;K13,"CEK JENIS ZONA",IF(A13="","Zona STOCK",IF(B13="","CEK SKU DESCRIPTION kosong","OK"))))))))</f>
        <v/>
      </c>
    </row>
    <row r="14">
      <c r="A14" s="10" t="n"/>
      <c r="B14" s="11" t="n"/>
      <c r="C14" s="11" t="n"/>
      <c r="D14" s="11" t="n"/>
      <c r="E14" s="11" t="n"/>
      <c r="F14" s="11" t="n"/>
      <c r="G14" s="11" t="inlineStr">
        <is>
          <t>WLL-02</t>
        </is>
      </c>
      <c r="H14" s="11" t="n">
        <v>1</v>
      </c>
      <c r="I14" s="11" t="inlineStr">
        <is>
          <t>Rak</t>
        </is>
      </c>
      <c r="J14" s="12">
        <f>IF(G14="","",IFERROR(INDEX(DAFTAR_FIXTURE!$B$2:$B$51,MATCH(G14,DAFTAR_FIXTURE!$A$2:$A$51,0)),""))</f>
        <v/>
      </c>
      <c r="K14" s="12">
        <f>IF(OR(J14="",H14=""),"",IFERROR(INDEX(LAYOUT!$D$2:$D$34,MATCH(J14&amp;"|"&amp;H14,LAYOUT!$E$2:$E$34,0)),"zona tidak ada di layout"))</f>
        <v/>
      </c>
      <c r="L14" s="12">
        <f>IF(OR(G14="",A14=""),"",COUNTIFS($G$2:$G$500,G14,$H$2:$H$500,H14,$A$2:$A$500,"&lt;&gt;"))</f>
        <v/>
      </c>
      <c r="M14" s="12">
        <f>IF(AND(A14="",G14=""),"",IF(G14="","Belum ditempatkan",IF(J14="","CEK ID FIXTURE tidak ada di DAFTAR_FIXTURE",IF(H14="","CEK ZONA NO kosong",IF(K14="zona tidak ada di layout","CEK ZONA NO di luar layout",IF(I14&lt;&gt;K14,"CEK JENIS ZONA",IF(A14="","Zona STOCK",IF(B14="","CEK SKU DESCRIPTION kosong","OK"))))))))</f>
        <v/>
      </c>
    </row>
    <row r="15">
      <c r="A15" s="10" t="inlineStr">
        <is>
          <t>10445959</t>
        </is>
      </c>
      <c r="B15" s="11" t="inlineStr">
        <is>
          <t>CASSEROLE RECT GOLD MARBLE W/LID 33CM</t>
        </is>
      </c>
      <c r="C15" s="11" t="inlineStr">
        <is>
          <t>MASAK</t>
        </is>
      </c>
      <c r="D15" s="11" t="inlineStr">
        <is>
          <t>B1. CASSEROLE</t>
        </is>
      </c>
      <c r="E15" s="11" t="inlineStr">
        <is>
          <t>GOLD MARBLE</t>
        </is>
      </c>
      <c r="F15" s="11" t="n"/>
      <c r="G15" s="11" t="inlineStr">
        <is>
          <t>WLL-02</t>
        </is>
      </c>
      <c r="H15" s="11" t="n">
        <v>2</v>
      </c>
      <c r="I15" s="11" t="inlineStr">
        <is>
          <t>Rak</t>
        </is>
      </c>
      <c r="J15" s="12">
        <f>IF(G15="","",IFERROR(INDEX(DAFTAR_FIXTURE!$B$2:$B$51,MATCH(G15,DAFTAR_FIXTURE!$A$2:$A$51,0)),""))</f>
        <v/>
      </c>
      <c r="K15" s="12">
        <f>IF(OR(J15="",H15=""),"",IFERROR(INDEX(LAYOUT!$D$2:$D$34,MATCH(J15&amp;"|"&amp;H15,LAYOUT!$E$2:$E$34,0)),"zona tidak ada di layout"))</f>
        <v/>
      </c>
      <c r="L15" s="12">
        <f>IF(OR(G15="",A15=""),"",COUNTIFS($G$2:$G$500,G15,$H$2:$H$500,H15,$A$2:$A$500,"&lt;&gt;"))</f>
        <v/>
      </c>
      <c r="M15" s="12">
        <f>IF(AND(A15="",G15=""),"",IF(G15="","Belum ditempatkan",IF(J15="","CEK ID FIXTURE tidak ada di DAFTAR_FIXTURE",IF(H15="","CEK ZONA NO kosong",IF(K15="zona tidak ada di layout","CEK ZONA NO di luar layout",IF(I15&lt;&gt;K15,"CEK JENIS ZONA",IF(A15="","Zona STOCK",IF(B15="","CEK SKU DESCRIPTION kosong","OK"))))))))</f>
        <v/>
      </c>
    </row>
    <row r="16">
      <c r="A16" s="10" t="inlineStr">
        <is>
          <t>10445960</t>
        </is>
      </c>
      <c r="B16" s="11" t="inlineStr">
        <is>
          <t>CASSEROLE OVAL GOLD MARBLE W/LID 33CM</t>
        </is>
      </c>
      <c r="C16" s="11" t="inlineStr">
        <is>
          <t>MASAK</t>
        </is>
      </c>
      <c r="D16" s="11" t="inlineStr">
        <is>
          <t>B1. CASSEROLE</t>
        </is>
      </c>
      <c r="E16" s="11" t="inlineStr">
        <is>
          <t>GOLD MARBLE</t>
        </is>
      </c>
      <c r="F16" s="11" t="n"/>
      <c r="G16" s="11" t="inlineStr">
        <is>
          <t>WLL-02</t>
        </is>
      </c>
      <c r="H16" s="11" t="n">
        <v>2</v>
      </c>
      <c r="I16" s="11" t="inlineStr">
        <is>
          <t>Rak</t>
        </is>
      </c>
      <c r="J16" s="12">
        <f>IF(G16="","",IFERROR(INDEX(DAFTAR_FIXTURE!$B$2:$B$51,MATCH(G16,DAFTAR_FIXTURE!$A$2:$A$51,0)),""))</f>
        <v/>
      </c>
      <c r="K16" s="12">
        <f>IF(OR(J16="",H16=""),"",IFERROR(INDEX(LAYOUT!$D$2:$D$34,MATCH(J16&amp;"|"&amp;H16,LAYOUT!$E$2:$E$34,0)),"zona tidak ada di layout"))</f>
        <v/>
      </c>
      <c r="L16" s="12">
        <f>IF(OR(G16="",A16=""),"",COUNTIFS($G$2:$G$500,G16,$H$2:$H$500,H16,$A$2:$A$500,"&lt;&gt;"))</f>
        <v/>
      </c>
      <c r="M16" s="12">
        <f>IF(AND(A16="",G16=""),"",IF(G16="","Belum ditempatkan",IF(J16="","CEK ID FIXTURE tidak ada di DAFTAR_FIXTURE",IF(H16="","CEK ZONA NO kosong",IF(K16="zona tidak ada di layout","CEK ZONA NO di luar layout",IF(I16&lt;&gt;K16,"CEK JENIS ZONA",IF(A16="","Zona STOCK",IF(B16="","CEK SKU DESCRIPTION kosong","OK"))))))))</f>
        <v/>
      </c>
    </row>
    <row r="17">
      <c r="A17" s="10" t="inlineStr">
        <is>
          <t>10445961</t>
        </is>
      </c>
      <c r="B17" s="11" t="inlineStr">
        <is>
          <t>CASSEROLE ROUND GOLD MARBLE W/LID 33CM</t>
        </is>
      </c>
      <c r="C17" s="11" t="inlineStr">
        <is>
          <t>MASAK</t>
        </is>
      </c>
      <c r="D17" s="11" t="inlineStr">
        <is>
          <t>B1. CASSEROLE</t>
        </is>
      </c>
      <c r="E17" s="11" t="inlineStr">
        <is>
          <t>GOLD MARBLE</t>
        </is>
      </c>
      <c r="F17" s="11" t="n"/>
      <c r="G17" s="11" t="inlineStr">
        <is>
          <t>WLL-02</t>
        </is>
      </c>
      <c r="H17" s="11" t="n">
        <v>2</v>
      </c>
      <c r="I17" s="11" t="inlineStr">
        <is>
          <t>Rak</t>
        </is>
      </c>
      <c r="J17" s="12">
        <f>IF(G17="","",IFERROR(INDEX(DAFTAR_FIXTURE!$B$2:$B$51,MATCH(G17,DAFTAR_FIXTURE!$A$2:$A$51,0)),""))</f>
        <v/>
      </c>
      <c r="K17" s="12">
        <f>IF(OR(J17="",H17=""),"",IFERROR(INDEX(LAYOUT!$D$2:$D$34,MATCH(J17&amp;"|"&amp;H17,LAYOUT!$E$2:$E$34,0)),"zona tidak ada di layout"))</f>
        <v/>
      </c>
      <c r="L17" s="12">
        <f>IF(OR(G17="",A17=""),"",COUNTIFS($G$2:$G$500,G17,$H$2:$H$500,H17,$A$2:$A$500,"&lt;&gt;"))</f>
        <v/>
      </c>
      <c r="M17" s="12">
        <f>IF(AND(A17="",G17=""),"",IF(G17="","Belum ditempatkan",IF(J17="","CEK ID FIXTURE tidak ada di DAFTAR_FIXTURE",IF(H17="","CEK ZONA NO kosong",IF(K17="zona tidak ada di layout","CEK ZONA NO di luar layout",IF(I17&lt;&gt;K17,"CEK JENIS ZONA",IF(A17="","Zona STOCK",IF(B17="","CEK SKU DESCRIPTION kosong","OK"))))))))</f>
        <v/>
      </c>
    </row>
    <row r="18">
      <c r="A18" s="10" t="inlineStr">
        <is>
          <t>10445962</t>
        </is>
      </c>
      <c r="B18" s="11" t="inlineStr">
        <is>
          <t>CASSEROLE SQUARE GOLD MARBLE W/LID 33CM</t>
        </is>
      </c>
      <c r="C18" s="11" t="inlineStr">
        <is>
          <t>MASAK</t>
        </is>
      </c>
      <c r="D18" s="11" t="inlineStr">
        <is>
          <t>B1. CASSEROLE</t>
        </is>
      </c>
      <c r="E18" s="11" t="inlineStr">
        <is>
          <t>GOLD MARBLE</t>
        </is>
      </c>
      <c r="F18" s="11" t="n"/>
      <c r="G18" s="11" t="inlineStr">
        <is>
          <t>WLL-02</t>
        </is>
      </c>
      <c r="H18" s="11" t="n">
        <v>2</v>
      </c>
      <c r="I18" s="11" t="inlineStr">
        <is>
          <t>Rak</t>
        </is>
      </c>
      <c r="J18" s="12">
        <f>IF(G18="","",IFERROR(INDEX(DAFTAR_FIXTURE!$B$2:$B$51,MATCH(G18,DAFTAR_FIXTURE!$A$2:$A$51,0)),""))</f>
        <v/>
      </c>
      <c r="K18" s="12">
        <f>IF(OR(J18="",H18=""),"",IFERROR(INDEX(LAYOUT!$D$2:$D$34,MATCH(J18&amp;"|"&amp;H18,LAYOUT!$E$2:$E$34,0)),"zona tidak ada di layout"))</f>
        <v/>
      </c>
      <c r="L18" s="12">
        <f>IF(OR(G18="",A18=""),"",COUNTIFS($G$2:$G$500,G18,$H$2:$H$500,H18,$A$2:$A$500,"&lt;&gt;"))</f>
        <v/>
      </c>
      <c r="M18" s="12">
        <f>IF(AND(A18="",G18=""),"",IF(G18="","Belum ditempatkan",IF(J18="","CEK ID FIXTURE tidak ada di DAFTAR_FIXTURE",IF(H18="","CEK ZONA NO kosong",IF(K18="zona tidak ada di layout","CEK ZONA NO di luar layout",IF(I18&lt;&gt;K18,"CEK JENIS ZONA",IF(A18="","Zona STOCK",IF(B18="","CEK SKU DESCRIPTION kosong","OK"))))))))</f>
        <v/>
      </c>
    </row>
    <row r="19">
      <c r="A19" s="10" t="inlineStr">
        <is>
          <t>10470029</t>
        </is>
      </c>
      <c r="B19" s="11" t="inlineStr">
        <is>
          <t>SERVING SET W/RACK OCTAGON MARBLE (4)</t>
        </is>
      </c>
      <c r="C19" s="11" t="inlineStr">
        <is>
          <t>MAKAN</t>
        </is>
      </c>
      <c r="D19" s="11" t="inlineStr">
        <is>
          <t>A2. SERVINGWARE</t>
        </is>
      </c>
      <c r="E19" s="11" t="inlineStr">
        <is>
          <t>SERVING SET MARBLE</t>
        </is>
      </c>
      <c r="F19" s="11" t="n"/>
      <c r="G19" s="11" t="inlineStr">
        <is>
          <t>WLL-02</t>
        </is>
      </c>
      <c r="H19" s="11" t="n">
        <v>2</v>
      </c>
      <c r="I19" s="11" t="inlineStr">
        <is>
          <t>Rak</t>
        </is>
      </c>
      <c r="J19" s="12">
        <f>IF(G19="","",IFERROR(INDEX(DAFTAR_FIXTURE!$B$2:$B$51,MATCH(G19,DAFTAR_FIXTURE!$A$2:$A$51,0)),""))</f>
        <v/>
      </c>
      <c r="K19" s="12">
        <f>IF(OR(J19="",H19=""),"",IFERROR(INDEX(LAYOUT!$D$2:$D$34,MATCH(J19&amp;"|"&amp;H19,LAYOUT!$E$2:$E$34,0)),"zona tidak ada di layout"))</f>
        <v/>
      </c>
      <c r="L19" s="12">
        <f>IF(OR(G19="",A19=""),"",COUNTIFS($G$2:$G$500,G19,$H$2:$H$500,H19,$A$2:$A$500,"&lt;&gt;"))</f>
        <v/>
      </c>
      <c r="M19" s="12">
        <f>IF(AND(A19="",G19=""),"",IF(G19="","Belum ditempatkan",IF(J19="","CEK ID FIXTURE tidak ada di DAFTAR_FIXTURE",IF(H19="","CEK ZONA NO kosong",IF(K19="zona tidak ada di layout","CEK ZONA NO di luar layout",IF(I19&lt;&gt;K19,"CEK JENIS ZONA",IF(A19="","Zona STOCK",IF(B19="","CEK SKU DESCRIPTION kosong","OK"))))))))</f>
        <v/>
      </c>
    </row>
    <row r="20">
      <c r="A20" s="10" t="inlineStr">
        <is>
          <t>10470030</t>
        </is>
      </c>
      <c r="B20" s="11" t="inlineStr">
        <is>
          <t>SERVING SET RND DETACHABLE MARBLE (2)</t>
        </is>
      </c>
      <c r="C20" s="11" t="inlineStr">
        <is>
          <t>MAKAN</t>
        </is>
      </c>
      <c r="D20" s="11" t="inlineStr">
        <is>
          <t>A2. SERVINGWARE</t>
        </is>
      </c>
      <c r="E20" s="11" t="inlineStr">
        <is>
          <t>SERVING SET MARBLE</t>
        </is>
      </c>
      <c r="F20" s="11" t="n"/>
      <c r="G20" s="11" t="inlineStr">
        <is>
          <t>WLL-02</t>
        </is>
      </c>
      <c r="H20" s="11" t="n">
        <v>3</v>
      </c>
      <c r="I20" s="11" t="inlineStr">
        <is>
          <t>Rak</t>
        </is>
      </c>
      <c r="J20" s="12">
        <f>IF(G20="","",IFERROR(INDEX(DAFTAR_FIXTURE!$B$2:$B$51,MATCH(G20,DAFTAR_FIXTURE!$A$2:$A$51,0)),""))</f>
        <v/>
      </c>
      <c r="K20" s="12">
        <f>IF(OR(J20="",H20=""),"",IFERROR(INDEX(LAYOUT!$D$2:$D$34,MATCH(J20&amp;"|"&amp;H20,LAYOUT!$E$2:$E$34,0)),"zona tidak ada di layout"))</f>
        <v/>
      </c>
      <c r="L20" s="12">
        <f>IF(OR(G20="",A20=""),"",COUNTIFS($G$2:$G$500,G20,$H$2:$H$500,H20,$A$2:$A$500,"&lt;&gt;"))</f>
        <v/>
      </c>
      <c r="M20" s="12">
        <f>IF(AND(A20="",G20=""),"",IF(G20="","Belum ditempatkan",IF(J20="","CEK ID FIXTURE tidak ada di DAFTAR_FIXTURE",IF(H20="","CEK ZONA NO kosong",IF(K20="zona tidak ada di layout","CEK ZONA NO di luar layout",IF(I20&lt;&gt;K20,"CEK JENIS ZONA",IF(A20="","Zona STOCK",IF(B20="","CEK SKU DESCRIPTION kosong","OK"))))))))</f>
        <v/>
      </c>
    </row>
    <row r="21">
      <c r="A21" s="10" t="inlineStr">
        <is>
          <t>10470031</t>
        </is>
      </c>
      <c r="B21" s="11" t="inlineStr">
        <is>
          <t>SERVING SET W/RACK SQR MARBLE BLACK (3)</t>
        </is>
      </c>
      <c r="C21" s="11" t="inlineStr">
        <is>
          <t>MAKAN</t>
        </is>
      </c>
      <c r="D21" s="11" t="inlineStr">
        <is>
          <t>A2. SERVINGWARE</t>
        </is>
      </c>
      <c r="E21" s="11" t="inlineStr">
        <is>
          <t>SERVING SET MARBLE</t>
        </is>
      </c>
      <c r="F21" s="11" t="n"/>
      <c r="G21" s="11" t="inlineStr">
        <is>
          <t>WLL-02</t>
        </is>
      </c>
      <c r="H21" s="11" t="n">
        <v>3</v>
      </c>
      <c r="I21" s="11" t="inlineStr">
        <is>
          <t>Rak</t>
        </is>
      </c>
      <c r="J21" s="12">
        <f>IF(G21="","",IFERROR(INDEX(DAFTAR_FIXTURE!$B$2:$B$51,MATCH(G21,DAFTAR_FIXTURE!$A$2:$A$51,0)),""))</f>
        <v/>
      </c>
      <c r="K21" s="12">
        <f>IF(OR(J21="",H21=""),"",IFERROR(INDEX(LAYOUT!$D$2:$D$34,MATCH(J21&amp;"|"&amp;H21,LAYOUT!$E$2:$E$34,0)),"zona tidak ada di layout"))</f>
        <v/>
      </c>
      <c r="L21" s="12">
        <f>IF(OR(G21="",A21=""),"",COUNTIFS($G$2:$G$500,G21,$H$2:$H$500,H21,$A$2:$A$500,"&lt;&gt;"))</f>
        <v/>
      </c>
      <c r="M21" s="12">
        <f>IF(AND(A21="",G21=""),"",IF(G21="","Belum ditempatkan",IF(J21="","CEK ID FIXTURE tidak ada di DAFTAR_FIXTURE",IF(H21="","CEK ZONA NO kosong",IF(K21="zona tidak ada di layout","CEK ZONA NO di luar layout",IF(I21&lt;&gt;K21,"CEK JENIS ZONA",IF(A21="","Zona STOCK",IF(B21="","CEK SKU DESCRIPTION kosong","OK"))))))))</f>
        <v/>
      </c>
    </row>
    <row r="22">
      <c r="A22" s="10" t="inlineStr">
        <is>
          <t>10470032</t>
        </is>
      </c>
      <c r="B22" s="11" t="inlineStr">
        <is>
          <t>SERVING SET W/RACK STACK WHITE (3)</t>
        </is>
      </c>
      <c r="C22" s="11" t="inlineStr">
        <is>
          <t>MAKAN</t>
        </is>
      </c>
      <c r="D22" s="11" t="inlineStr">
        <is>
          <t>A2. SERVINGWARE</t>
        </is>
      </c>
      <c r="E22" s="11" t="inlineStr">
        <is>
          <t>SERVING SET MARBLE</t>
        </is>
      </c>
      <c r="F22" s="11" t="n"/>
      <c r="G22" s="11" t="inlineStr">
        <is>
          <t>WLL-02</t>
        </is>
      </c>
      <c r="H22" s="11" t="n">
        <v>3</v>
      </c>
      <c r="I22" s="11" t="inlineStr">
        <is>
          <t>Rak</t>
        </is>
      </c>
      <c r="J22" s="12">
        <f>IF(G22="","",IFERROR(INDEX(DAFTAR_FIXTURE!$B$2:$B$51,MATCH(G22,DAFTAR_FIXTURE!$A$2:$A$51,0)),""))</f>
        <v/>
      </c>
      <c r="K22" s="12">
        <f>IF(OR(J22="",H22=""),"",IFERROR(INDEX(LAYOUT!$D$2:$D$34,MATCH(J22&amp;"|"&amp;H22,LAYOUT!$E$2:$E$34,0)),"zona tidak ada di layout"))</f>
        <v/>
      </c>
      <c r="L22" s="12">
        <f>IF(OR(G22="",A22=""),"",COUNTIFS($G$2:$G$500,G22,$H$2:$H$500,H22,$A$2:$A$500,"&lt;&gt;"))</f>
        <v/>
      </c>
      <c r="M22" s="12">
        <f>IF(AND(A22="",G22=""),"",IF(G22="","Belum ditempatkan",IF(J22="","CEK ID FIXTURE tidak ada di DAFTAR_FIXTURE",IF(H22="","CEK ZONA NO kosong",IF(K22="zona tidak ada di layout","CEK ZONA NO di luar layout",IF(I22&lt;&gt;K22,"CEK JENIS ZONA",IF(A22="","Zona STOCK",IF(B22="","CEK SKU DESCRIPTION kosong","OK"))))))))</f>
        <v/>
      </c>
    </row>
    <row r="23">
      <c r="A23" s="10" t="inlineStr">
        <is>
          <t>10470033</t>
        </is>
      </c>
      <c r="B23" s="11" t="inlineStr">
        <is>
          <t>SERVING SET W/RACK CIRCLE BLACK (3)</t>
        </is>
      </c>
      <c r="C23" s="11" t="inlineStr">
        <is>
          <t>MAKAN</t>
        </is>
      </c>
      <c r="D23" s="11" t="inlineStr">
        <is>
          <t>A2. SERVINGWARE</t>
        </is>
      </c>
      <c r="E23" s="11" t="inlineStr">
        <is>
          <t>SERVING SET MARBLE</t>
        </is>
      </c>
      <c r="F23" s="11" t="n"/>
      <c r="G23" s="11" t="inlineStr">
        <is>
          <t>WLL-02</t>
        </is>
      </c>
      <c r="H23" s="11" t="n">
        <v>3</v>
      </c>
      <c r="I23" s="11" t="inlineStr">
        <is>
          <t>Rak</t>
        </is>
      </c>
      <c r="J23" s="12">
        <f>IF(G23="","",IFERROR(INDEX(DAFTAR_FIXTURE!$B$2:$B$51,MATCH(G23,DAFTAR_FIXTURE!$A$2:$A$51,0)),""))</f>
        <v/>
      </c>
      <c r="K23" s="12">
        <f>IF(OR(J23="",H23=""),"",IFERROR(INDEX(LAYOUT!$D$2:$D$34,MATCH(J23&amp;"|"&amp;H23,LAYOUT!$E$2:$E$34,0)),"zona tidak ada di layout"))</f>
        <v/>
      </c>
      <c r="L23" s="12">
        <f>IF(OR(G23="",A23=""),"",COUNTIFS($G$2:$G$500,G23,$H$2:$H$500,H23,$A$2:$A$500,"&lt;&gt;"))</f>
        <v/>
      </c>
      <c r="M23" s="12">
        <f>IF(AND(A23="",G23=""),"",IF(G23="","Belum ditempatkan",IF(J23="","CEK ID FIXTURE tidak ada di DAFTAR_FIXTURE",IF(H23="","CEK ZONA NO kosong",IF(K23="zona tidak ada di layout","CEK ZONA NO di luar layout",IF(I23&lt;&gt;K23,"CEK JENIS ZONA",IF(A23="","Zona STOCK",IF(B23="","CEK SKU DESCRIPTION kosong","OK"))))))))</f>
        <v/>
      </c>
    </row>
    <row r="24">
      <c r="A24" s="10" t="inlineStr">
        <is>
          <t>10606307</t>
        </is>
      </c>
      <c r="B24" s="11" t="inlineStr">
        <is>
          <t>CASSEROLE RECT MARBLE W/RACK WHT 38CM</t>
        </is>
      </c>
      <c r="C24" s="11" t="inlineStr">
        <is>
          <t>MASAK</t>
        </is>
      </c>
      <c r="D24" s="11" t="inlineStr">
        <is>
          <t>B1. CASSEROLE</t>
        </is>
      </c>
      <c r="E24" s="11" t="inlineStr">
        <is>
          <t>MARBLE W/RACK</t>
        </is>
      </c>
      <c r="F24" s="11" t="n"/>
      <c r="G24" s="11" t="inlineStr">
        <is>
          <t>WLL-02</t>
        </is>
      </c>
      <c r="H24" s="11" t="n">
        <v>3</v>
      </c>
      <c r="I24" s="11" t="inlineStr">
        <is>
          <t>Rak</t>
        </is>
      </c>
      <c r="J24" s="12">
        <f>IF(G24="","",IFERROR(INDEX(DAFTAR_FIXTURE!$B$2:$B$51,MATCH(G24,DAFTAR_FIXTURE!$A$2:$A$51,0)),""))</f>
        <v/>
      </c>
      <c r="K24" s="12">
        <f>IF(OR(J24="",H24=""),"",IFERROR(INDEX(LAYOUT!$D$2:$D$34,MATCH(J24&amp;"|"&amp;H24,LAYOUT!$E$2:$E$34,0)),"zona tidak ada di layout"))</f>
        <v/>
      </c>
      <c r="L24" s="12">
        <f>IF(OR(G24="",A24=""),"",COUNTIFS($G$2:$G$500,G24,$H$2:$H$500,H24,$A$2:$A$500,"&lt;&gt;"))</f>
        <v/>
      </c>
      <c r="M24" s="12">
        <f>IF(AND(A24="",G24=""),"",IF(G24="","Belum ditempatkan",IF(J24="","CEK ID FIXTURE tidak ada di DAFTAR_FIXTURE",IF(H24="","CEK ZONA NO kosong",IF(K24="zona tidak ada di layout","CEK ZONA NO di luar layout",IF(I24&lt;&gt;K24,"CEK JENIS ZONA",IF(A24="","Zona STOCK",IF(B24="","CEK SKU DESCRIPTION kosong","OK"))))))))</f>
        <v/>
      </c>
    </row>
    <row r="25">
      <c r="A25" s="10" t="inlineStr">
        <is>
          <t>10681571</t>
        </is>
      </c>
      <c r="B25" s="11" t="inlineStr">
        <is>
          <t>SERVING GLASS SQR PLATER ZEVY GOLD</t>
        </is>
      </c>
      <c r="C25" s="11" t="inlineStr">
        <is>
          <t>MAKAN</t>
        </is>
      </c>
      <c r="D25" s="11" t="inlineStr">
        <is>
          <t>A2. SERVINGWARE</t>
        </is>
      </c>
      <c r="E25" s="11" t="inlineStr">
        <is>
          <t>W/GOLD RACK GLASS</t>
        </is>
      </c>
      <c r="F25" s="11" t="n"/>
      <c r="G25" s="11" t="inlineStr">
        <is>
          <t>WLL-02</t>
        </is>
      </c>
      <c r="H25" s="11" t="n">
        <v>4</v>
      </c>
      <c r="I25" s="11" t="inlineStr">
        <is>
          <t>Rak</t>
        </is>
      </c>
      <c r="J25" s="12">
        <f>IF(G25="","",IFERROR(INDEX(DAFTAR_FIXTURE!$B$2:$B$51,MATCH(G25,DAFTAR_FIXTURE!$A$2:$A$51,0)),""))</f>
        <v/>
      </c>
      <c r="K25" s="12">
        <f>IF(OR(J25="",H25=""),"",IFERROR(INDEX(LAYOUT!$D$2:$D$34,MATCH(J25&amp;"|"&amp;H25,LAYOUT!$E$2:$E$34,0)),"zona tidak ada di layout"))</f>
        <v/>
      </c>
      <c r="L25" s="12">
        <f>IF(OR(G25="",A25=""),"",COUNTIFS($G$2:$G$500,G25,$H$2:$H$500,H25,$A$2:$A$500,"&lt;&gt;"))</f>
        <v/>
      </c>
      <c r="M25" s="12">
        <f>IF(AND(A25="",G25=""),"",IF(G25="","Belum ditempatkan",IF(J25="","CEK ID FIXTURE tidak ada di DAFTAR_FIXTURE",IF(H25="","CEK ZONA NO kosong",IF(K25="zona tidak ada di layout","CEK ZONA NO di luar layout",IF(I25&lt;&gt;K25,"CEK JENIS ZONA",IF(A25="","Zona STOCK",IF(B25="","CEK SKU DESCRIPTION kosong","OK"))))))))</f>
        <v/>
      </c>
    </row>
    <row r="26">
      <c r="A26" s="10" t="inlineStr">
        <is>
          <t>10421603</t>
        </is>
      </c>
      <c r="B26" s="11" t="inlineStr">
        <is>
          <t>KINGSTON SAUCEPAN WITH LID 16CM GREEN</t>
        </is>
      </c>
      <c r="C26" s="11" t="inlineStr">
        <is>
          <t>MASAK</t>
        </is>
      </c>
      <c r="D26" s="11" t="inlineStr">
        <is>
          <t>B2. COOKWARE</t>
        </is>
      </c>
      <c r="E26" s="11" t="inlineStr">
        <is>
          <t>KINGSTON</t>
        </is>
      </c>
      <c r="F26" s="11" t="n"/>
      <c r="G26" s="11" t="inlineStr">
        <is>
          <t>WLL-03</t>
        </is>
      </c>
      <c r="H26" s="11" t="n">
        <v>1</v>
      </c>
      <c r="I26" s="11" t="inlineStr">
        <is>
          <t>Gantungan</t>
        </is>
      </c>
      <c r="J26" s="12">
        <f>IF(G26="","",IFERROR(INDEX(DAFTAR_FIXTURE!$B$2:$B$51,MATCH(G26,DAFTAR_FIXTURE!$A$2:$A$51,0)),""))</f>
        <v/>
      </c>
      <c r="K26" s="12">
        <f>IF(OR(J26="",H26=""),"",IFERROR(INDEX(LAYOUT!$D$2:$D$34,MATCH(J26&amp;"|"&amp;H26,LAYOUT!$E$2:$E$34,0)),"zona tidak ada di layout"))</f>
        <v/>
      </c>
      <c r="L26" s="12">
        <f>IF(OR(G26="",A26=""),"",COUNTIFS($G$2:$G$500,G26,$H$2:$H$500,H26,$A$2:$A$500,"&lt;&gt;"))</f>
        <v/>
      </c>
      <c r="M26" s="12">
        <f>IF(AND(A26="",G26=""),"",IF(G26="","Belum ditempatkan",IF(J26="","CEK ID FIXTURE tidak ada di DAFTAR_FIXTURE",IF(H26="","CEK ZONA NO kosong",IF(K26="zona tidak ada di layout","CEK ZONA NO di luar layout",IF(I26&lt;&gt;K26,"CEK JENIS ZONA",IF(A26="","Zona STOCK",IF(B26="","CEK SKU DESCRIPTION kosong","OK"))))))))</f>
        <v/>
      </c>
    </row>
    <row r="27">
      <c r="A27" s="10" t="inlineStr">
        <is>
          <t>10421608</t>
        </is>
      </c>
      <c r="B27" s="11" t="inlineStr">
        <is>
          <t>KINGSTON CASSEROLE WITH LID 20 CM GREEN</t>
        </is>
      </c>
      <c r="C27" s="11" t="inlineStr">
        <is>
          <t>MASAK</t>
        </is>
      </c>
      <c r="D27" s="11" t="inlineStr">
        <is>
          <t>B2. COOKWARE</t>
        </is>
      </c>
      <c r="E27" s="11" t="inlineStr">
        <is>
          <t>KINGSTON</t>
        </is>
      </c>
      <c r="F27" s="11" t="n"/>
      <c r="G27" s="11" t="inlineStr">
        <is>
          <t>WLL-03</t>
        </is>
      </c>
      <c r="H27" s="11" t="n">
        <v>1</v>
      </c>
      <c r="I27" s="11" t="inlineStr">
        <is>
          <t>Gantungan</t>
        </is>
      </c>
      <c r="J27" s="12">
        <f>IF(G27="","",IFERROR(INDEX(DAFTAR_FIXTURE!$B$2:$B$51,MATCH(G27,DAFTAR_FIXTURE!$A$2:$A$51,0)),""))</f>
        <v/>
      </c>
      <c r="K27" s="12">
        <f>IF(OR(J27="",H27=""),"",IFERROR(INDEX(LAYOUT!$D$2:$D$34,MATCH(J27&amp;"|"&amp;H27,LAYOUT!$E$2:$E$34,0)),"zona tidak ada di layout"))</f>
        <v/>
      </c>
      <c r="L27" s="12">
        <f>IF(OR(G27="",A27=""),"",COUNTIFS($G$2:$G$500,G27,$H$2:$H$500,H27,$A$2:$A$500,"&lt;&gt;"))</f>
        <v/>
      </c>
      <c r="M27" s="12">
        <f>IF(AND(A27="",G27=""),"",IF(G27="","Belum ditempatkan",IF(J27="","CEK ID FIXTURE tidak ada di DAFTAR_FIXTURE",IF(H27="","CEK ZONA NO kosong",IF(K27="zona tidak ada di layout","CEK ZONA NO di luar layout",IF(I27&lt;&gt;K27,"CEK JENIS ZONA",IF(A27="","Zona STOCK",IF(B27="","CEK SKU DESCRIPTION kosong","OK"))))))))</f>
        <v/>
      </c>
    </row>
    <row r="28">
      <c r="A28" s="10" t="inlineStr">
        <is>
          <t>10421610</t>
        </is>
      </c>
      <c r="B28" s="11" t="inlineStr">
        <is>
          <t>KINGSTON GRILL PAN 24CM GREEN</t>
        </is>
      </c>
      <c r="C28" s="11" t="inlineStr">
        <is>
          <t>MASAK</t>
        </is>
      </c>
      <c r="D28" s="11" t="inlineStr">
        <is>
          <t>B2. COOKWARE</t>
        </is>
      </c>
      <c r="E28" s="11" t="inlineStr">
        <is>
          <t>KINGSTON</t>
        </is>
      </c>
      <c r="F28" s="11" t="n"/>
      <c r="G28" s="11" t="inlineStr">
        <is>
          <t>WLL-03</t>
        </is>
      </c>
      <c r="H28" s="11" t="n">
        <v>1</v>
      </c>
      <c r="I28" s="11" t="inlineStr">
        <is>
          <t>Gantungan</t>
        </is>
      </c>
      <c r="J28" s="12">
        <f>IF(G28="","",IFERROR(INDEX(DAFTAR_FIXTURE!$B$2:$B$51,MATCH(G28,DAFTAR_FIXTURE!$A$2:$A$51,0)),""))</f>
        <v/>
      </c>
      <c r="K28" s="12">
        <f>IF(OR(J28="",H28=""),"",IFERROR(INDEX(LAYOUT!$D$2:$D$34,MATCH(J28&amp;"|"&amp;H28,LAYOUT!$E$2:$E$34,0)),"zona tidak ada di layout"))</f>
        <v/>
      </c>
      <c r="L28" s="12">
        <f>IF(OR(G28="",A28=""),"",COUNTIFS($G$2:$G$500,G28,$H$2:$H$500,H28,$A$2:$A$500,"&lt;&gt;"))</f>
        <v/>
      </c>
      <c r="M28" s="12">
        <f>IF(AND(A28="",G28=""),"",IF(G28="","Belum ditempatkan",IF(J28="","CEK ID FIXTURE tidak ada di DAFTAR_FIXTURE",IF(H28="","CEK ZONA NO kosong",IF(K28="zona tidak ada di layout","CEK ZONA NO di luar layout",IF(I28&lt;&gt;K28,"CEK JENIS ZONA",IF(A28="","Zona STOCK",IF(B28="","CEK SKU DESCRIPTION kosong","OK"))))))))</f>
        <v/>
      </c>
    </row>
    <row r="29">
      <c r="A29" s="10" t="inlineStr">
        <is>
          <t>10421614</t>
        </is>
      </c>
      <c r="B29" s="11" t="inlineStr">
        <is>
          <t>KIRA WOK 2 HANDLE W LID AND UTENSIL BRN</t>
        </is>
      </c>
      <c r="C29" s="11" t="inlineStr">
        <is>
          <t>MASAK</t>
        </is>
      </c>
      <c r="D29" s="11" t="inlineStr">
        <is>
          <t>B2. COOKWARE</t>
        </is>
      </c>
      <c r="E29" s="11" t="inlineStr">
        <is>
          <t>KIRA</t>
        </is>
      </c>
      <c r="F29" s="11" t="n"/>
      <c r="G29" s="11" t="inlineStr">
        <is>
          <t>WLL-03</t>
        </is>
      </c>
      <c r="H29" s="11" t="n">
        <v>1</v>
      </c>
      <c r="I29" s="11" t="inlineStr">
        <is>
          <t>Gantungan</t>
        </is>
      </c>
      <c r="J29" s="12">
        <f>IF(G29="","",IFERROR(INDEX(DAFTAR_FIXTURE!$B$2:$B$51,MATCH(G29,DAFTAR_FIXTURE!$A$2:$A$51,0)),""))</f>
        <v/>
      </c>
      <c r="K29" s="12">
        <f>IF(OR(J29="",H29=""),"",IFERROR(INDEX(LAYOUT!$D$2:$D$34,MATCH(J29&amp;"|"&amp;H29,LAYOUT!$E$2:$E$34,0)),"zona tidak ada di layout"))</f>
        <v/>
      </c>
      <c r="L29" s="12">
        <f>IF(OR(G29="",A29=""),"",COUNTIFS($G$2:$G$500,G29,$H$2:$H$500,H29,$A$2:$A$500,"&lt;&gt;"))</f>
        <v/>
      </c>
      <c r="M29" s="12">
        <f>IF(AND(A29="",G29=""),"",IF(G29="","Belum ditempatkan",IF(J29="","CEK ID FIXTURE tidak ada di DAFTAR_FIXTURE",IF(H29="","CEK ZONA NO kosong",IF(K29="zona tidak ada di layout","CEK ZONA NO di luar layout",IF(I29&lt;&gt;K29,"CEK JENIS ZONA",IF(A29="","Zona STOCK",IF(B29="","CEK SKU DESCRIPTION kosong","OK"))))))))</f>
        <v/>
      </c>
    </row>
    <row r="30">
      <c r="A30" s="10" t="inlineStr">
        <is>
          <t>10421603</t>
        </is>
      </c>
      <c r="B30" s="11" t="inlineStr">
        <is>
          <t>KINGSTON SAUCEPAN WITH LID 16CM GREEN</t>
        </is>
      </c>
      <c r="C30" s="11" t="inlineStr">
        <is>
          <t>MASAK</t>
        </is>
      </c>
      <c r="D30" s="11" t="inlineStr">
        <is>
          <t>B2. COOKWARE</t>
        </is>
      </c>
      <c r="E30" s="11" t="inlineStr">
        <is>
          <t>KINGSTON</t>
        </is>
      </c>
      <c r="F30" s="11" t="n"/>
      <c r="G30" s="11" t="inlineStr">
        <is>
          <t>WLL-03</t>
        </is>
      </c>
      <c r="H30" s="11" t="n">
        <v>2</v>
      </c>
      <c r="I30" s="11" t="inlineStr">
        <is>
          <t>Gantungan</t>
        </is>
      </c>
      <c r="J30" s="12">
        <f>IF(G30="","",IFERROR(INDEX(DAFTAR_FIXTURE!$B$2:$B$51,MATCH(G30,DAFTAR_FIXTURE!$A$2:$A$51,0)),""))</f>
        <v/>
      </c>
      <c r="K30" s="12">
        <f>IF(OR(J30="",H30=""),"",IFERROR(INDEX(LAYOUT!$D$2:$D$34,MATCH(J30&amp;"|"&amp;H30,LAYOUT!$E$2:$E$34,0)),"zona tidak ada di layout"))</f>
        <v/>
      </c>
      <c r="L30" s="12">
        <f>IF(OR(G30="",A30=""),"",COUNTIFS($G$2:$G$500,G30,$H$2:$H$500,H30,$A$2:$A$500,"&lt;&gt;"))</f>
        <v/>
      </c>
      <c r="M30" s="12">
        <f>IF(AND(A30="",G30=""),"",IF(G30="","Belum ditempatkan",IF(J30="","CEK ID FIXTURE tidak ada di DAFTAR_FIXTURE",IF(H30="","CEK ZONA NO kosong",IF(K30="zona tidak ada di layout","CEK ZONA NO di luar layout",IF(I30&lt;&gt;K30,"CEK JENIS ZONA",IF(A30="","Zona STOCK",IF(B30="","CEK SKU DESCRIPTION kosong","OK"))))))))</f>
        <v/>
      </c>
    </row>
    <row r="31">
      <c r="A31" s="10" t="inlineStr">
        <is>
          <t>10421608</t>
        </is>
      </c>
      <c r="B31" s="11" t="inlineStr">
        <is>
          <t>KINGSTON CASSEROLE WITH LID 20 CM GREEN</t>
        </is>
      </c>
      <c r="C31" s="11" t="inlineStr">
        <is>
          <t>MASAK</t>
        </is>
      </c>
      <c r="D31" s="11" t="inlineStr">
        <is>
          <t>B2. COOKWARE</t>
        </is>
      </c>
      <c r="E31" s="11" t="inlineStr">
        <is>
          <t>KINGSTON</t>
        </is>
      </c>
      <c r="F31" s="11" t="n"/>
      <c r="G31" s="11" t="inlineStr">
        <is>
          <t>WLL-03</t>
        </is>
      </c>
      <c r="H31" s="11" t="n">
        <v>2</v>
      </c>
      <c r="I31" s="11" t="inlineStr">
        <is>
          <t>Gantungan</t>
        </is>
      </c>
      <c r="J31" s="12">
        <f>IF(G31="","",IFERROR(INDEX(DAFTAR_FIXTURE!$B$2:$B$51,MATCH(G31,DAFTAR_FIXTURE!$A$2:$A$51,0)),""))</f>
        <v/>
      </c>
      <c r="K31" s="12">
        <f>IF(OR(J31="",H31=""),"",IFERROR(INDEX(LAYOUT!$D$2:$D$34,MATCH(J31&amp;"|"&amp;H31,LAYOUT!$E$2:$E$34,0)),"zona tidak ada di layout"))</f>
        <v/>
      </c>
      <c r="L31" s="12">
        <f>IF(OR(G31="",A31=""),"",COUNTIFS($G$2:$G$500,G31,$H$2:$H$500,H31,$A$2:$A$500,"&lt;&gt;"))</f>
        <v/>
      </c>
      <c r="M31" s="12">
        <f>IF(AND(A31="",G31=""),"",IF(G31="","Belum ditempatkan",IF(J31="","CEK ID FIXTURE tidak ada di DAFTAR_FIXTURE",IF(H31="","CEK ZONA NO kosong",IF(K31="zona tidak ada di layout","CEK ZONA NO di luar layout",IF(I31&lt;&gt;K31,"CEK JENIS ZONA",IF(A31="","Zona STOCK",IF(B31="","CEK SKU DESCRIPTION kosong","OK"))))))))</f>
        <v/>
      </c>
    </row>
    <row r="32">
      <c r="A32" s="10" t="inlineStr">
        <is>
          <t>10421610</t>
        </is>
      </c>
      <c r="B32" s="11" t="inlineStr">
        <is>
          <t>KINGSTON GRILL PAN 24CM GREEN</t>
        </is>
      </c>
      <c r="C32" s="11" t="inlineStr">
        <is>
          <t>MASAK</t>
        </is>
      </c>
      <c r="D32" s="11" t="inlineStr">
        <is>
          <t>B2. COOKWARE</t>
        </is>
      </c>
      <c r="E32" s="11" t="inlineStr">
        <is>
          <t>KINGSTON</t>
        </is>
      </c>
      <c r="F32" s="11" t="n"/>
      <c r="G32" s="11" t="inlineStr">
        <is>
          <t>WLL-03</t>
        </is>
      </c>
      <c r="H32" s="11" t="n">
        <v>2</v>
      </c>
      <c r="I32" s="11" t="inlineStr">
        <is>
          <t>Gantungan</t>
        </is>
      </c>
      <c r="J32" s="12">
        <f>IF(G32="","",IFERROR(INDEX(DAFTAR_FIXTURE!$B$2:$B$51,MATCH(G32,DAFTAR_FIXTURE!$A$2:$A$51,0)),""))</f>
        <v/>
      </c>
      <c r="K32" s="12">
        <f>IF(OR(J32="",H32=""),"",IFERROR(INDEX(LAYOUT!$D$2:$D$34,MATCH(J32&amp;"|"&amp;H32,LAYOUT!$E$2:$E$34,0)),"zona tidak ada di layout"))</f>
        <v/>
      </c>
      <c r="L32" s="12">
        <f>IF(OR(G32="",A32=""),"",COUNTIFS($G$2:$G$500,G32,$H$2:$H$500,H32,$A$2:$A$500,"&lt;&gt;"))</f>
        <v/>
      </c>
      <c r="M32" s="12">
        <f>IF(AND(A32="",G32=""),"",IF(G32="","Belum ditempatkan",IF(J32="","CEK ID FIXTURE tidak ada di DAFTAR_FIXTURE",IF(H32="","CEK ZONA NO kosong",IF(K32="zona tidak ada di layout","CEK ZONA NO di luar layout",IF(I32&lt;&gt;K32,"CEK JENIS ZONA",IF(A32="","Zona STOCK",IF(B32="","CEK SKU DESCRIPTION kosong","OK"))))))))</f>
        <v/>
      </c>
    </row>
    <row r="33">
      <c r="A33" s="10" t="inlineStr">
        <is>
          <t>10421614</t>
        </is>
      </c>
      <c r="B33" s="11" t="inlineStr">
        <is>
          <t>KIRA WOK 2 HANDLE W LID AND UTENSIL BRN</t>
        </is>
      </c>
      <c r="C33" s="11" t="inlineStr">
        <is>
          <t>MASAK</t>
        </is>
      </c>
      <c r="D33" s="11" t="inlineStr">
        <is>
          <t>B2. COOKWARE</t>
        </is>
      </c>
      <c r="E33" s="11" t="inlineStr">
        <is>
          <t>KIRA</t>
        </is>
      </c>
      <c r="F33" s="11" t="n"/>
      <c r="G33" s="11" t="inlineStr">
        <is>
          <t>WLL-03</t>
        </is>
      </c>
      <c r="H33" s="11" t="n">
        <v>2</v>
      </c>
      <c r="I33" s="11" t="inlineStr">
        <is>
          <t>Gantungan</t>
        </is>
      </c>
      <c r="J33" s="12">
        <f>IF(G33="","",IFERROR(INDEX(DAFTAR_FIXTURE!$B$2:$B$51,MATCH(G33,DAFTAR_FIXTURE!$A$2:$A$51,0)),""))</f>
        <v/>
      </c>
      <c r="K33" s="12">
        <f>IF(OR(J33="",H33=""),"",IFERROR(INDEX(LAYOUT!$D$2:$D$34,MATCH(J33&amp;"|"&amp;H33,LAYOUT!$E$2:$E$34,0)),"zona tidak ada di layout"))</f>
        <v/>
      </c>
      <c r="L33" s="12">
        <f>IF(OR(G33="",A33=""),"",COUNTIFS($G$2:$G$500,G33,$H$2:$H$500,H33,$A$2:$A$500,"&lt;&gt;"))</f>
        <v/>
      </c>
      <c r="M33" s="12">
        <f>IF(AND(A33="",G33=""),"",IF(G33="","Belum ditempatkan",IF(J33="","CEK ID FIXTURE tidak ada di DAFTAR_FIXTURE",IF(H33="","CEK ZONA NO kosong",IF(K33="zona tidak ada di layout","CEK ZONA NO di luar layout",IF(I33&lt;&gt;K33,"CEK JENIS ZONA",IF(A33="","Zona STOCK",IF(B33="","CEK SKU DESCRIPTION kosong","OK"))))))))</f>
        <v/>
      </c>
    </row>
    <row r="34">
      <c r="A34" s="10" t="inlineStr">
        <is>
          <t>10198150</t>
        </is>
      </c>
      <c r="B34" s="11" t="inlineStr">
        <is>
          <t>TANTA NYLON TONGS 9 INCH</t>
        </is>
      </c>
      <c r="C34" s="11" t="inlineStr">
        <is>
          <t>ALAT MASAK</t>
        </is>
      </c>
      <c r="D34" s="11" t="inlineStr">
        <is>
          <t>C1. KITCHEN TOOLS</t>
        </is>
      </c>
      <c r="E34" s="11" t="inlineStr">
        <is>
          <t>TANTA NYLON</t>
        </is>
      </c>
      <c r="F34" s="11" t="n"/>
      <c r="G34" s="11" t="inlineStr">
        <is>
          <t>WLL-03</t>
        </is>
      </c>
      <c r="H34" s="11" t="n">
        <v>3</v>
      </c>
      <c r="I34" s="11" t="inlineStr">
        <is>
          <t>Rak</t>
        </is>
      </c>
      <c r="J34" s="12">
        <f>IF(G34="","",IFERROR(INDEX(DAFTAR_FIXTURE!$B$2:$B$51,MATCH(G34,DAFTAR_FIXTURE!$A$2:$A$51,0)),""))</f>
        <v/>
      </c>
      <c r="K34" s="12">
        <f>IF(OR(J34="",H34=""),"",IFERROR(INDEX(LAYOUT!$D$2:$D$34,MATCH(J34&amp;"|"&amp;H34,LAYOUT!$E$2:$E$34,0)),"zona tidak ada di layout"))</f>
        <v/>
      </c>
      <c r="L34" s="12">
        <f>IF(OR(G34="",A34=""),"",COUNTIFS($G$2:$G$500,G34,$H$2:$H$500,H34,$A$2:$A$500,"&lt;&gt;"))</f>
        <v/>
      </c>
      <c r="M34" s="12">
        <f>IF(AND(A34="",G34=""),"",IF(G34="","Belum ditempatkan",IF(J34="","CEK ID FIXTURE tidak ada di DAFTAR_FIXTURE",IF(H34="","CEK ZONA NO kosong",IF(K34="zona tidak ada di layout","CEK ZONA NO di luar layout",IF(I34&lt;&gt;K34,"CEK JENIS ZONA",IF(A34="","Zona STOCK",IF(B34="","CEK SKU DESCRIPTION kosong","OK"))))))))</f>
        <v/>
      </c>
    </row>
    <row r="35">
      <c r="A35" s="10" t="n"/>
      <c r="B35" s="11" t="n"/>
      <c r="C35" s="11" t="n"/>
      <c r="D35" s="11" t="n"/>
      <c r="E35" s="11" t="n"/>
      <c r="F35" s="11" t="n"/>
      <c r="G35" s="11" t="inlineStr">
        <is>
          <t>WLL-03</t>
        </is>
      </c>
      <c r="H35" s="11" t="n">
        <v>4</v>
      </c>
      <c r="I35" s="11" t="inlineStr">
        <is>
          <t>Rak</t>
        </is>
      </c>
      <c r="J35" s="12">
        <f>IF(G35="","",IFERROR(INDEX(DAFTAR_FIXTURE!$B$2:$B$51,MATCH(G35,DAFTAR_FIXTURE!$A$2:$A$51,0)),""))</f>
        <v/>
      </c>
      <c r="K35" s="12">
        <f>IF(OR(J35="",H35=""),"",IFERROR(INDEX(LAYOUT!$D$2:$D$34,MATCH(J35&amp;"|"&amp;H35,LAYOUT!$E$2:$E$34,0)),"zona tidak ada di layout"))</f>
        <v/>
      </c>
      <c r="L35" s="12">
        <f>IF(OR(G35="",A35=""),"",COUNTIFS($G$2:$G$500,G35,$H$2:$H$500,H35,$A$2:$A$500,"&lt;&gt;"))</f>
        <v/>
      </c>
      <c r="M35" s="12">
        <f>IF(AND(A35="",G35=""),"",IF(G35="","Belum ditempatkan",IF(J35="","CEK ID FIXTURE tidak ada di DAFTAR_FIXTURE",IF(H35="","CEK ZONA NO kosong",IF(K35="zona tidak ada di layout","CEK ZONA NO di luar layout",IF(I35&lt;&gt;K35,"CEK JENIS ZONA",IF(A35="","Zona STOCK",IF(B35="","CEK SKU DESCRIPTION kosong","OK"))))))))</f>
        <v/>
      </c>
    </row>
    <row r="36">
      <c r="A36" s="10" t="n"/>
      <c r="B36" s="11" t="n"/>
      <c r="C36" s="11" t="n"/>
      <c r="D36" s="11" t="n"/>
      <c r="E36" s="11" t="n"/>
      <c r="F36" s="11" t="n"/>
      <c r="G36" s="11" t="inlineStr">
        <is>
          <t>WLL-03</t>
        </is>
      </c>
      <c r="H36" s="11" t="n">
        <v>5</v>
      </c>
      <c r="I36" s="11" t="inlineStr">
        <is>
          <t>Rak</t>
        </is>
      </c>
      <c r="J36" s="12">
        <f>IF(G36="","",IFERROR(INDEX(DAFTAR_FIXTURE!$B$2:$B$51,MATCH(G36,DAFTAR_FIXTURE!$A$2:$A$51,0)),""))</f>
        <v/>
      </c>
      <c r="K36" s="12">
        <f>IF(OR(J36="",H36=""),"",IFERROR(INDEX(LAYOUT!$D$2:$D$34,MATCH(J36&amp;"|"&amp;H36,LAYOUT!$E$2:$E$34,0)),"zona tidak ada di layout"))</f>
        <v/>
      </c>
      <c r="L36" s="12">
        <f>IF(OR(G36="",A36=""),"",COUNTIFS($G$2:$G$500,G36,$H$2:$H$500,H36,$A$2:$A$500,"&lt;&gt;"))</f>
        <v/>
      </c>
      <c r="M36" s="12">
        <f>IF(AND(A36="",G36=""),"",IF(G36="","Belum ditempatkan",IF(J36="","CEK ID FIXTURE tidak ada di DAFTAR_FIXTURE",IF(H36="","CEK ZONA NO kosong",IF(K36="zona tidak ada di layout","CEK ZONA NO di luar layout",IF(I36&lt;&gt;K36,"CEK JENIS ZONA",IF(A36="","Zona STOCK",IF(B36="","CEK SKU DESCRIPTION kosong","OK"))))))))</f>
        <v/>
      </c>
    </row>
    <row r="37">
      <c r="A37" s="10" t="inlineStr">
        <is>
          <t>10445959</t>
        </is>
      </c>
      <c r="B37" s="11" t="inlineStr">
        <is>
          <t>CASSEROLE RECT GOLD MARBLE W/LID 33CM</t>
        </is>
      </c>
      <c r="C37" s="11" t="inlineStr">
        <is>
          <t>MASAK</t>
        </is>
      </c>
      <c r="D37" s="11" t="inlineStr">
        <is>
          <t>B1. CASSEROLE</t>
        </is>
      </c>
      <c r="E37" s="11" t="inlineStr">
        <is>
          <t>GOLD MARBLE</t>
        </is>
      </c>
      <c r="F37" s="11" t="n"/>
      <c r="G37" s="11" t="inlineStr">
        <is>
          <t>GND-01</t>
        </is>
      </c>
      <c r="H37" s="11" t="n">
        <v>1</v>
      </c>
      <c r="I37" s="11" t="inlineStr">
        <is>
          <t>Rak</t>
        </is>
      </c>
      <c r="J37" s="12">
        <f>IF(G37="","",IFERROR(INDEX(DAFTAR_FIXTURE!$B$2:$B$51,MATCH(G37,DAFTAR_FIXTURE!$A$2:$A$51,0)),""))</f>
        <v/>
      </c>
      <c r="K37" s="12">
        <f>IF(OR(J37="",H37=""),"",IFERROR(INDEX(LAYOUT!$D$2:$D$34,MATCH(J37&amp;"|"&amp;H37,LAYOUT!$E$2:$E$34,0)),"zona tidak ada di layout"))</f>
        <v/>
      </c>
      <c r="L37" s="12">
        <f>IF(OR(G37="",A37=""),"",COUNTIFS($G$2:$G$500,G37,$H$2:$H$500,H37,$A$2:$A$500,"&lt;&gt;"))</f>
        <v/>
      </c>
      <c r="M37" s="12">
        <f>IF(AND(A37="",G37=""),"",IF(G37="","Belum ditempatkan",IF(J37="","CEK ID FIXTURE tidak ada di DAFTAR_FIXTURE",IF(H37="","CEK ZONA NO kosong",IF(K37="zona tidak ada di layout","CEK ZONA NO di luar layout",IF(I37&lt;&gt;K37,"CEK JENIS ZONA",IF(A37="","Zona STOCK",IF(B37="","CEK SKU DESCRIPTION kosong","OK"))))))))</f>
        <v/>
      </c>
    </row>
    <row r="38">
      <c r="A38" s="10" t="inlineStr">
        <is>
          <t>10445960</t>
        </is>
      </c>
      <c r="B38" s="11" t="inlineStr">
        <is>
          <t>CASSEROLE OVAL GOLD MARBLE W/LID 33CM</t>
        </is>
      </c>
      <c r="C38" s="11" t="inlineStr">
        <is>
          <t>MASAK</t>
        </is>
      </c>
      <c r="D38" s="11" t="inlineStr">
        <is>
          <t>B1. CASSEROLE</t>
        </is>
      </c>
      <c r="E38" s="11" t="inlineStr">
        <is>
          <t>GOLD MARBLE</t>
        </is>
      </c>
      <c r="F38" s="11" t="n"/>
      <c r="G38" s="11" t="inlineStr">
        <is>
          <t>GND-01</t>
        </is>
      </c>
      <c r="H38" s="11" t="n">
        <v>1</v>
      </c>
      <c r="I38" s="11" t="inlineStr">
        <is>
          <t>Rak</t>
        </is>
      </c>
      <c r="J38" s="12">
        <f>IF(G38="","",IFERROR(INDEX(DAFTAR_FIXTURE!$B$2:$B$51,MATCH(G38,DAFTAR_FIXTURE!$A$2:$A$51,0)),""))</f>
        <v/>
      </c>
      <c r="K38" s="12">
        <f>IF(OR(J38="",H38=""),"",IFERROR(INDEX(LAYOUT!$D$2:$D$34,MATCH(J38&amp;"|"&amp;H38,LAYOUT!$E$2:$E$34,0)),"zona tidak ada di layout"))</f>
        <v/>
      </c>
      <c r="L38" s="12">
        <f>IF(OR(G38="",A38=""),"",COUNTIFS($G$2:$G$500,G38,$H$2:$H$500,H38,$A$2:$A$500,"&lt;&gt;"))</f>
        <v/>
      </c>
      <c r="M38" s="12">
        <f>IF(AND(A38="",G38=""),"",IF(G38="","Belum ditempatkan",IF(J38="","CEK ID FIXTURE tidak ada di DAFTAR_FIXTURE",IF(H38="","CEK ZONA NO kosong",IF(K38="zona tidak ada di layout","CEK ZONA NO di luar layout",IF(I38&lt;&gt;K38,"CEK JENIS ZONA",IF(A38="","Zona STOCK",IF(B38="","CEK SKU DESCRIPTION kosong","OK"))))))))</f>
        <v/>
      </c>
    </row>
    <row r="39">
      <c r="A39" s="10" t="inlineStr">
        <is>
          <t>10445961</t>
        </is>
      </c>
      <c r="B39" s="11" t="inlineStr">
        <is>
          <t>CASSEROLE ROUND GOLD MARBLE W/LID 33CM</t>
        </is>
      </c>
      <c r="C39" s="11" t="inlineStr">
        <is>
          <t>MASAK</t>
        </is>
      </c>
      <c r="D39" s="11" t="inlineStr">
        <is>
          <t>B1. CASSEROLE</t>
        </is>
      </c>
      <c r="E39" s="11" t="inlineStr">
        <is>
          <t>GOLD MARBLE</t>
        </is>
      </c>
      <c r="F39" s="11" t="n"/>
      <c r="G39" s="11" t="inlineStr">
        <is>
          <t>GND-01</t>
        </is>
      </c>
      <c r="H39" s="11" t="n">
        <v>1</v>
      </c>
      <c r="I39" s="11" t="inlineStr">
        <is>
          <t>Rak</t>
        </is>
      </c>
      <c r="J39" s="12">
        <f>IF(G39="","",IFERROR(INDEX(DAFTAR_FIXTURE!$B$2:$B$51,MATCH(G39,DAFTAR_FIXTURE!$A$2:$A$51,0)),""))</f>
        <v/>
      </c>
      <c r="K39" s="12">
        <f>IF(OR(J39="",H39=""),"",IFERROR(INDEX(LAYOUT!$D$2:$D$34,MATCH(J39&amp;"|"&amp;H39,LAYOUT!$E$2:$E$34,0)),"zona tidak ada di layout"))</f>
        <v/>
      </c>
      <c r="L39" s="12">
        <f>IF(OR(G39="",A39=""),"",COUNTIFS($G$2:$G$500,G39,$H$2:$H$500,H39,$A$2:$A$500,"&lt;&gt;"))</f>
        <v/>
      </c>
      <c r="M39" s="12">
        <f>IF(AND(A39="",G39=""),"",IF(G39="","Belum ditempatkan",IF(J39="","CEK ID FIXTURE tidak ada di DAFTAR_FIXTURE",IF(H39="","CEK ZONA NO kosong",IF(K39="zona tidak ada di layout","CEK ZONA NO di luar layout",IF(I39&lt;&gt;K39,"CEK JENIS ZONA",IF(A39="","Zona STOCK",IF(B39="","CEK SKU DESCRIPTION kosong","OK"))))))))</f>
        <v/>
      </c>
    </row>
    <row r="40">
      <c r="A40" s="10" t="inlineStr">
        <is>
          <t>10445962</t>
        </is>
      </c>
      <c r="B40" s="11" t="inlineStr">
        <is>
          <t>CASSEROLE SQUARE GOLD MARBLE W/LID 33CM</t>
        </is>
      </c>
      <c r="C40" s="11" t="inlineStr">
        <is>
          <t>MASAK</t>
        </is>
      </c>
      <c r="D40" s="11" t="inlineStr">
        <is>
          <t>B1. CASSEROLE</t>
        </is>
      </c>
      <c r="E40" s="11" t="inlineStr">
        <is>
          <t>GOLD MARBLE</t>
        </is>
      </c>
      <c r="F40" s="11" t="n"/>
      <c r="G40" s="11" t="inlineStr">
        <is>
          <t>GND-01</t>
        </is>
      </c>
      <c r="H40" s="11" t="n">
        <v>2</v>
      </c>
      <c r="I40" s="11" t="inlineStr">
        <is>
          <t>Rak</t>
        </is>
      </c>
      <c r="J40" s="12">
        <f>IF(G40="","",IFERROR(INDEX(DAFTAR_FIXTURE!$B$2:$B$51,MATCH(G40,DAFTAR_FIXTURE!$A$2:$A$51,0)),""))</f>
        <v/>
      </c>
      <c r="K40" s="12">
        <f>IF(OR(J40="",H40=""),"",IFERROR(INDEX(LAYOUT!$D$2:$D$34,MATCH(J40&amp;"|"&amp;H40,LAYOUT!$E$2:$E$34,0)),"zona tidak ada di layout"))</f>
        <v/>
      </c>
      <c r="L40" s="12">
        <f>IF(OR(G40="",A40=""),"",COUNTIFS($G$2:$G$500,G40,$H$2:$H$500,H40,$A$2:$A$500,"&lt;&gt;"))</f>
        <v/>
      </c>
      <c r="M40" s="12">
        <f>IF(AND(A40="",G40=""),"",IF(G40="","Belum ditempatkan",IF(J40="","CEK ID FIXTURE tidak ada di DAFTAR_FIXTURE",IF(H40="","CEK ZONA NO kosong",IF(K40="zona tidak ada di layout","CEK ZONA NO di luar layout",IF(I40&lt;&gt;K40,"CEK JENIS ZONA",IF(A40="","Zona STOCK",IF(B40="","CEK SKU DESCRIPTION kosong","OK"))))))))</f>
        <v/>
      </c>
    </row>
    <row r="41">
      <c r="A41" s="10" t="inlineStr">
        <is>
          <t>10470029</t>
        </is>
      </c>
      <c r="B41" s="11" t="inlineStr">
        <is>
          <t>SERVING SET W/RACK OCTAGON MARBLE (4)</t>
        </is>
      </c>
      <c r="C41" s="11" t="inlineStr">
        <is>
          <t>MAKAN</t>
        </is>
      </c>
      <c r="D41" s="11" t="inlineStr">
        <is>
          <t>A2. SERVINGWARE</t>
        </is>
      </c>
      <c r="E41" s="11" t="inlineStr">
        <is>
          <t>SERVING SET MARBLE</t>
        </is>
      </c>
      <c r="F41" s="11" t="n"/>
      <c r="G41" s="11" t="inlineStr">
        <is>
          <t>GND-01</t>
        </is>
      </c>
      <c r="H41" s="11" t="n">
        <v>2</v>
      </c>
      <c r="I41" s="11" t="inlineStr">
        <is>
          <t>Rak</t>
        </is>
      </c>
      <c r="J41" s="12">
        <f>IF(G41="","",IFERROR(INDEX(DAFTAR_FIXTURE!$B$2:$B$51,MATCH(G41,DAFTAR_FIXTURE!$A$2:$A$51,0)),""))</f>
        <v/>
      </c>
      <c r="K41" s="12">
        <f>IF(OR(J41="",H41=""),"",IFERROR(INDEX(LAYOUT!$D$2:$D$34,MATCH(J41&amp;"|"&amp;H41,LAYOUT!$E$2:$E$34,0)),"zona tidak ada di layout"))</f>
        <v/>
      </c>
      <c r="L41" s="12">
        <f>IF(OR(G41="",A41=""),"",COUNTIFS($G$2:$G$500,G41,$H$2:$H$500,H41,$A$2:$A$500,"&lt;&gt;"))</f>
        <v/>
      </c>
      <c r="M41" s="12">
        <f>IF(AND(A41="",G41=""),"",IF(G41="","Belum ditempatkan",IF(J41="","CEK ID FIXTURE tidak ada di DAFTAR_FIXTURE",IF(H41="","CEK ZONA NO kosong",IF(K41="zona tidak ada di layout","CEK ZONA NO di luar layout",IF(I41&lt;&gt;K41,"CEK JENIS ZONA",IF(A41="","Zona STOCK",IF(B41="","CEK SKU DESCRIPTION kosong","OK"))))))))</f>
        <v/>
      </c>
    </row>
    <row r="42">
      <c r="A42" s="10" t="inlineStr">
        <is>
          <t>10470030</t>
        </is>
      </c>
      <c r="B42" s="11" t="inlineStr">
        <is>
          <t>SERVING SET RND DETACHABLE MARBLE (2)</t>
        </is>
      </c>
      <c r="C42" s="11" t="inlineStr">
        <is>
          <t>MAKAN</t>
        </is>
      </c>
      <c r="D42" s="11" t="inlineStr">
        <is>
          <t>A2. SERVINGWARE</t>
        </is>
      </c>
      <c r="E42" s="11" t="inlineStr">
        <is>
          <t>SERVING SET MARBLE</t>
        </is>
      </c>
      <c r="F42" s="11" t="n"/>
      <c r="G42" s="11" t="inlineStr">
        <is>
          <t>GND-01</t>
        </is>
      </c>
      <c r="H42" s="11" t="n">
        <v>2</v>
      </c>
      <c r="I42" s="11" t="inlineStr">
        <is>
          <t>Rak</t>
        </is>
      </c>
      <c r="J42" s="12">
        <f>IF(G42="","",IFERROR(INDEX(DAFTAR_FIXTURE!$B$2:$B$51,MATCH(G42,DAFTAR_FIXTURE!$A$2:$A$51,0)),""))</f>
        <v/>
      </c>
      <c r="K42" s="12">
        <f>IF(OR(J42="",H42=""),"",IFERROR(INDEX(LAYOUT!$D$2:$D$34,MATCH(J42&amp;"|"&amp;H42,LAYOUT!$E$2:$E$34,0)),"zona tidak ada di layout"))</f>
        <v/>
      </c>
      <c r="L42" s="12">
        <f>IF(OR(G42="",A42=""),"",COUNTIFS($G$2:$G$500,G42,$H$2:$H$500,H42,$A$2:$A$500,"&lt;&gt;"))</f>
        <v/>
      </c>
      <c r="M42" s="12">
        <f>IF(AND(A42="",G42=""),"",IF(G42="","Belum ditempatkan",IF(J42="","CEK ID FIXTURE tidak ada di DAFTAR_FIXTURE",IF(H42="","CEK ZONA NO kosong",IF(K42="zona tidak ada di layout","CEK ZONA NO di luar layout",IF(I42&lt;&gt;K42,"CEK JENIS ZONA",IF(A42="","Zona STOCK",IF(B42="","CEK SKU DESCRIPTION kosong","OK"))))))))</f>
        <v/>
      </c>
    </row>
    <row r="43">
      <c r="A43" s="10" t="inlineStr">
        <is>
          <t>10681571</t>
        </is>
      </c>
      <c r="B43" s="11" t="inlineStr">
        <is>
          <t>SERVING GLASS SQR PLATER ZEVY GOLD</t>
        </is>
      </c>
      <c r="C43" s="11" t="inlineStr">
        <is>
          <t>MAKAN</t>
        </is>
      </c>
      <c r="D43" s="11" t="inlineStr">
        <is>
          <t>A2. SERVINGWARE</t>
        </is>
      </c>
      <c r="E43" s="11" t="inlineStr">
        <is>
          <t>W/GOLD RACK GLASS</t>
        </is>
      </c>
      <c r="F43" s="11" t="n"/>
      <c r="G43" s="11" t="inlineStr">
        <is>
          <t>GND-01</t>
        </is>
      </c>
      <c r="H43" s="11" t="n">
        <v>3</v>
      </c>
      <c r="I43" s="11" t="inlineStr">
        <is>
          <t>Rak</t>
        </is>
      </c>
      <c r="J43" s="12">
        <f>IF(G43="","",IFERROR(INDEX(DAFTAR_FIXTURE!$B$2:$B$51,MATCH(G43,DAFTAR_FIXTURE!$A$2:$A$51,0)),""))</f>
        <v/>
      </c>
      <c r="K43" s="12">
        <f>IF(OR(J43="",H43=""),"",IFERROR(INDEX(LAYOUT!$D$2:$D$34,MATCH(J43&amp;"|"&amp;H43,LAYOUT!$E$2:$E$34,0)),"zona tidak ada di layout"))</f>
        <v/>
      </c>
      <c r="L43" s="12">
        <f>IF(OR(G43="",A43=""),"",COUNTIFS($G$2:$G$500,G43,$H$2:$H$500,H43,$A$2:$A$500,"&lt;&gt;"))</f>
        <v/>
      </c>
      <c r="M43" s="12">
        <f>IF(AND(A43="",G43=""),"",IF(G43="","Belum ditempatkan",IF(J43="","CEK ID FIXTURE tidak ada di DAFTAR_FIXTURE",IF(H43="","CEK ZONA NO kosong",IF(K43="zona tidak ada di layout","CEK ZONA NO di luar layout",IF(I43&lt;&gt;K43,"CEK JENIS ZONA",IF(A43="","Zona STOCK",IF(B43="","CEK SKU DESCRIPTION kosong","OK"))))))))</f>
        <v/>
      </c>
    </row>
    <row r="44">
      <c r="A44" s="10" t="inlineStr">
        <is>
          <t>10680419</t>
        </is>
      </c>
      <c r="B44" s="11" t="inlineStr">
        <is>
          <t>MOSQUE DOME GLASS JAR SET OF 3 450ML</t>
        </is>
      </c>
      <c r="C44" s="11" t="inlineStr">
        <is>
          <t>PENYIMPANAN</t>
        </is>
      </c>
      <c r="D44" s="11" t="inlineStr">
        <is>
          <t>E4. CANISTER</t>
        </is>
      </c>
      <c r="E44" s="11" t="inlineStr">
        <is>
          <t>GLASS FANCY</t>
        </is>
      </c>
      <c r="F44" s="11" t="n"/>
      <c r="G44" s="11" t="inlineStr">
        <is>
          <t>GND-01</t>
        </is>
      </c>
      <c r="H44" s="11" t="n">
        <v>4</v>
      </c>
      <c r="I44" s="11" t="inlineStr">
        <is>
          <t>Rak</t>
        </is>
      </c>
      <c r="J44" s="12">
        <f>IF(G44="","",IFERROR(INDEX(DAFTAR_FIXTURE!$B$2:$B$51,MATCH(G44,DAFTAR_FIXTURE!$A$2:$A$51,0)),""))</f>
        <v/>
      </c>
      <c r="K44" s="12">
        <f>IF(OR(J44="",H44=""),"",IFERROR(INDEX(LAYOUT!$D$2:$D$34,MATCH(J44&amp;"|"&amp;H44,LAYOUT!$E$2:$E$34,0)),"zona tidak ada di layout"))</f>
        <v/>
      </c>
      <c r="L44" s="12">
        <f>IF(OR(G44="",A44=""),"",COUNTIFS($G$2:$G$500,G44,$H$2:$H$500,H44,$A$2:$A$500,"&lt;&gt;"))</f>
        <v/>
      </c>
      <c r="M44" s="12">
        <f>IF(AND(A44="",G44=""),"",IF(G44="","Belum ditempatkan",IF(J44="","CEK ID FIXTURE tidak ada di DAFTAR_FIXTURE",IF(H44="","CEK ZONA NO kosong",IF(K44="zona tidak ada di layout","CEK ZONA NO di luar layout",IF(I44&lt;&gt;K44,"CEK JENIS ZONA",IF(A44="","Zona STOCK",IF(B44="","CEK SKU DESCRIPTION kosong","OK"))))))))</f>
        <v/>
      </c>
    </row>
    <row r="45">
      <c r="A45" s="10" t="inlineStr">
        <is>
          <t>10198149</t>
        </is>
      </c>
      <c r="B45" s="11" t="inlineStr">
        <is>
          <t>TANTA STRAINER DIA 10CM</t>
        </is>
      </c>
      <c r="C45" s="11" t="inlineStr">
        <is>
          <t>ALAT MASAK</t>
        </is>
      </c>
      <c r="D45" s="11" t="inlineStr">
        <is>
          <t>C1. KITCHEN TOOLS</t>
        </is>
      </c>
      <c r="E45" s="11" t="inlineStr">
        <is>
          <t>TANTA S/S</t>
        </is>
      </c>
      <c r="F45" s="11" t="n"/>
      <c r="G45" s="11" t="inlineStr">
        <is>
          <t>GND-02</t>
        </is>
      </c>
      <c r="H45" s="11" t="n">
        <v>1</v>
      </c>
      <c r="I45" s="11" t="inlineStr">
        <is>
          <t>Gantungan</t>
        </is>
      </c>
      <c r="J45" s="12">
        <f>IF(G45="","",IFERROR(INDEX(DAFTAR_FIXTURE!$B$2:$B$51,MATCH(G45,DAFTAR_FIXTURE!$A$2:$A$51,0)),""))</f>
        <v/>
      </c>
      <c r="K45" s="12">
        <f>IF(OR(J45="",H45=""),"",IFERROR(INDEX(LAYOUT!$D$2:$D$34,MATCH(J45&amp;"|"&amp;H45,LAYOUT!$E$2:$E$34,0)),"zona tidak ada di layout"))</f>
        <v/>
      </c>
      <c r="L45" s="12">
        <f>IF(OR(G45="",A45=""),"",COUNTIFS($G$2:$G$500,G45,$H$2:$H$500,H45,$A$2:$A$500,"&lt;&gt;"))</f>
        <v/>
      </c>
      <c r="M45" s="12">
        <f>IF(AND(A45="",G45=""),"",IF(G45="","Belum ditempatkan",IF(J45="","CEK ID FIXTURE tidak ada di DAFTAR_FIXTURE",IF(H45="","CEK ZONA NO kosong",IF(K45="zona tidak ada di layout","CEK ZONA NO di luar layout",IF(I45&lt;&gt;K45,"CEK JENIS ZONA",IF(A45="","Zona STOCK",IF(B45="","CEK SKU DESCRIPTION kosong","OK"))))))))</f>
        <v/>
      </c>
    </row>
    <row r="46">
      <c r="A46" s="10" t="inlineStr">
        <is>
          <t>10198150</t>
        </is>
      </c>
      <c r="B46" s="11" t="inlineStr">
        <is>
          <t>TANTA NYLON TONGS 9 INCH</t>
        </is>
      </c>
      <c r="C46" s="11" t="inlineStr">
        <is>
          <t>ALAT MASAK</t>
        </is>
      </c>
      <c r="D46" s="11" t="inlineStr">
        <is>
          <t>C1. KITCHEN TOOLS</t>
        </is>
      </c>
      <c r="E46" s="11" t="inlineStr">
        <is>
          <t>TANTA NYLON</t>
        </is>
      </c>
      <c r="F46" s="11" t="n"/>
      <c r="G46" s="11" t="inlineStr">
        <is>
          <t>GND-02</t>
        </is>
      </c>
      <c r="H46" s="11" t="n">
        <v>1</v>
      </c>
      <c r="I46" s="11" t="inlineStr">
        <is>
          <t>Gantungan</t>
        </is>
      </c>
      <c r="J46" s="12">
        <f>IF(G46="","",IFERROR(INDEX(DAFTAR_FIXTURE!$B$2:$B$51,MATCH(G46,DAFTAR_FIXTURE!$A$2:$A$51,0)),""))</f>
        <v/>
      </c>
      <c r="K46" s="12">
        <f>IF(OR(J46="",H46=""),"",IFERROR(INDEX(LAYOUT!$D$2:$D$34,MATCH(J46&amp;"|"&amp;H46,LAYOUT!$E$2:$E$34,0)),"zona tidak ada di layout"))</f>
        <v/>
      </c>
      <c r="L46" s="12">
        <f>IF(OR(G46="",A46=""),"",COUNTIFS($G$2:$G$500,G46,$H$2:$H$500,H46,$A$2:$A$500,"&lt;&gt;"))</f>
        <v/>
      </c>
      <c r="M46" s="12">
        <f>IF(AND(A46="",G46=""),"",IF(G46="","Belum ditempatkan",IF(J46="","CEK ID FIXTURE tidak ada di DAFTAR_FIXTURE",IF(H46="","CEK ZONA NO kosong",IF(K46="zona tidak ada di layout","CEK ZONA NO di luar layout",IF(I46&lt;&gt;K46,"CEK JENIS ZONA",IF(A46="","Zona STOCK",IF(B46="","CEK SKU DESCRIPTION kosong","OK"))))))))</f>
        <v/>
      </c>
    </row>
    <row r="47">
      <c r="A47" s="10" t="inlineStr">
        <is>
          <t>10198151</t>
        </is>
      </c>
      <c r="B47" s="11" t="inlineStr">
        <is>
          <t>TANTA NYLON TONGS 12 INCH</t>
        </is>
      </c>
      <c r="C47" s="11" t="inlineStr">
        <is>
          <t>ALAT MASAK</t>
        </is>
      </c>
      <c r="D47" s="11" t="inlineStr">
        <is>
          <t>C1. KITCHEN TOOLS</t>
        </is>
      </c>
      <c r="E47" s="11" t="inlineStr">
        <is>
          <t>TANTA NYLON</t>
        </is>
      </c>
      <c r="F47" s="11" t="n"/>
      <c r="G47" s="11" t="inlineStr">
        <is>
          <t>GND-02</t>
        </is>
      </c>
      <c r="H47" s="11" t="n">
        <v>1</v>
      </c>
      <c r="I47" s="11" t="inlineStr">
        <is>
          <t>Gantungan</t>
        </is>
      </c>
      <c r="J47" s="12">
        <f>IF(G47="","",IFERROR(INDEX(DAFTAR_FIXTURE!$B$2:$B$51,MATCH(G47,DAFTAR_FIXTURE!$A$2:$A$51,0)),""))</f>
        <v/>
      </c>
      <c r="K47" s="12">
        <f>IF(OR(J47="",H47=""),"",IFERROR(INDEX(LAYOUT!$D$2:$D$34,MATCH(J47&amp;"|"&amp;H47,LAYOUT!$E$2:$E$34,0)),"zona tidak ada di layout"))</f>
        <v/>
      </c>
      <c r="L47" s="12">
        <f>IF(OR(G47="",A47=""),"",COUNTIFS($G$2:$G$500,G47,$H$2:$H$500,H47,$A$2:$A$500,"&lt;&gt;"))</f>
        <v/>
      </c>
      <c r="M47" s="12">
        <f>IF(AND(A47="",G47=""),"",IF(G47="","Belum ditempatkan",IF(J47="","CEK ID FIXTURE tidak ada di DAFTAR_FIXTURE",IF(H47="","CEK ZONA NO kosong",IF(K47="zona tidak ada di layout","CEK ZONA NO di luar layout",IF(I47&lt;&gt;K47,"CEK JENIS ZONA",IF(A47="","Zona STOCK",IF(B47="","CEK SKU DESCRIPTION kosong","OK"))))))))</f>
        <v/>
      </c>
    </row>
    <row r="48">
      <c r="A48" s="10" t="inlineStr">
        <is>
          <t>10198152</t>
        </is>
      </c>
      <c r="B48" s="11" t="inlineStr">
        <is>
          <t>TANTA S/S SOLID TURNER M</t>
        </is>
      </c>
      <c r="C48" s="11" t="inlineStr">
        <is>
          <t>ALAT MASAK</t>
        </is>
      </c>
      <c r="D48" s="11" t="inlineStr">
        <is>
          <t>C1. KITCHEN TOOLS</t>
        </is>
      </c>
      <c r="E48" s="11" t="inlineStr">
        <is>
          <t>TANTA S/S</t>
        </is>
      </c>
      <c r="F48" s="11" t="n"/>
      <c r="G48" s="11" t="inlineStr">
        <is>
          <t>GND-02</t>
        </is>
      </c>
      <c r="H48" s="11" t="n">
        <v>1</v>
      </c>
      <c r="I48" s="11" t="inlineStr">
        <is>
          <t>Gantungan</t>
        </is>
      </c>
      <c r="J48" s="12">
        <f>IF(G48="","",IFERROR(INDEX(DAFTAR_FIXTURE!$B$2:$B$51,MATCH(G48,DAFTAR_FIXTURE!$A$2:$A$51,0)),""))</f>
        <v/>
      </c>
      <c r="K48" s="12">
        <f>IF(OR(J48="",H48=""),"",IFERROR(INDEX(LAYOUT!$D$2:$D$34,MATCH(J48&amp;"|"&amp;H48,LAYOUT!$E$2:$E$34,0)),"zona tidak ada di layout"))</f>
        <v/>
      </c>
      <c r="L48" s="12">
        <f>IF(OR(G48="",A48=""),"",COUNTIFS($G$2:$G$500,G48,$H$2:$H$500,H48,$A$2:$A$500,"&lt;&gt;"))</f>
        <v/>
      </c>
      <c r="M48" s="12">
        <f>IF(AND(A48="",G48=""),"",IF(G48="","Belum ditempatkan",IF(J48="","CEK ID FIXTURE tidak ada di DAFTAR_FIXTURE",IF(H48="","CEK ZONA NO kosong",IF(K48="zona tidak ada di layout","CEK ZONA NO di luar layout",IF(I48&lt;&gt;K48,"CEK JENIS ZONA",IF(A48="","Zona STOCK",IF(B48="","CEK SKU DESCRIPTION kosong","OK"))))))))</f>
        <v/>
      </c>
    </row>
    <row r="49">
      <c r="A49" s="10" t="inlineStr">
        <is>
          <t>10198154</t>
        </is>
      </c>
      <c r="B49" s="11" t="inlineStr">
        <is>
          <t>TANTA S/S LADLE</t>
        </is>
      </c>
      <c r="C49" s="11" t="inlineStr">
        <is>
          <t>ALAT MASAK</t>
        </is>
      </c>
      <c r="D49" s="11" t="inlineStr">
        <is>
          <t>C1. KITCHEN TOOLS</t>
        </is>
      </c>
      <c r="E49" s="11" t="inlineStr">
        <is>
          <t>TANTA S/S</t>
        </is>
      </c>
      <c r="F49" s="11" t="n"/>
      <c r="G49" s="11" t="inlineStr">
        <is>
          <t>GND-02</t>
        </is>
      </c>
      <c r="H49" s="11" t="n">
        <v>1</v>
      </c>
      <c r="I49" s="11" t="inlineStr">
        <is>
          <t>Gantungan</t>
        </is>
      </c>
      <c r="J49" s="12">
        <f>IF(G49="","",IFERROR(INDEX(DAFTAR_FIXTURE!$B$2:$B$51,MATCH(G49,DAFTAR_FIXTURE!$A$2:$A$51,0)),""))</f>
        <v/>
      </c>
      <c r="K49" s="12">
        <f>IF(OR(J49="",H49=""),"",IFERROR(INDEX(LAYOUT!$D$2:$D$34,MATCH(J49&amp;"|"&amp;H49,LAYOUT!$E$2:$E$34,0)),"zona tidak ada di layout"))</f>
        <v/>
      </c>
      <c r="L49" s="12">
        <f>IF(OR(G49="",A49=""),"",COUNTIFS($G$2:$G$500,G49,$H$2:$H$500,H49,$A$2:$A$500,"&lt;&gt;"))</f>
        <v/>
      </c>
      <c r="M49" s="12">
        <f>IF(AND(A49="",G49=""),"",IF(G49="","Belum ditempatkan",IF(J49="","CEK ID FIXTURE tidak ada di DAFTAR_FIXTURE",IF(H49="","CEK ZONA NO kosong",IF(K49="zona tidak ada di layout","CEK ZONA NO di luar layout",IF(I49&lt;&gt;K49,"CEK JENIS ZONA",IF(A49="","Zona STOCK",IF(B49="","CEK SKU DESCRIPTION kosong","OK"))))))))</f>
        <v/>
      </c>
    </row>
    <row r="50">
      <c r="A50" s="10" t="inlineStr">
        <is>
          <t>10198156</t>
        </is>
      </c>
      <c r="B50" s="11" t="inlineStr">
        <is>
          <t>TANTA NYLON SLOTTED TURNER M</t>
        </is>
      </c>
      <c r="C50" s="11" t="inlineStr">
        <is>
          <t>ALAT MASAK</t>
        </is>
      </c>
      <c r="D50" s="11" t="inlineStr">
        <is>
          <t>C1. KITCHEN TOOLS</t>
        </is>
      </c>
      <c r="E50" s="11" t="inlineStr">
        <is>
          <t>TANTA NYLON</t>
        </is>
      </c>
      <c r="F50" s="11" t="n"/>
      <c r="G50" s="11" t="inlineStr">
        <is>
          <t>GND-02</t>
        </is>
      </c>
      <c r="H50" s="11" t="n">
        <v>1</v>
      </c>
      <c r="I50" s="11" t="inlineStr">
        <is>
          <t>Gantungan</t>
        </is>
      </c>
      <c r="J50" s="12">
        <f>IF(G50="","",IFERROR(INDEX(DAFTAR_FIXTURE!$B$2:$B$51,MATCH(G50,DAFTAR_FIXTURE!$A$2:$A$51,0)),""))</f>
        <v/>
      </c>
      <c r="K50" s="12">
        <f>IF(OR(J50="",H50=""),"",IFERROR(INDEX(LAYOUT!$D$2:$D$34,MATCH(J50&amp;"|"&amp;H50,LAYOUT!$E$2:$E$34,0)),"zona tidak ada di layout"))</f>
        <v/>
      </c>
      <c r="L50" s="12">
        <f>IF(OR(G50="",A50=""),"",COUNTIFS($G$2:$G$500,G50,$H$2:$H$500,H50,$A$2:$A$500,"&lt;&gt;"))</f>
        <v/>
      </c>
      <c r="M50" s="12">
        <f>IF(AND(A50="",G50=""),"",IF(G50="","Belum ditempatkan",IF(J50="","CEK ID FIXTURE tidak ada di DAFTAR_FIXTURE",IF(H50="","CEK ZONA NO kosong",IF(K50="zona tidak ada di layout","CEK ZONA NO di luar layout",IF(I50&lt;&gt;K50,"CEK JENIS ZONA",IF(A50="","Zona STOCK",IF(B50="","CEK SKU DESCRIPTION kosong","OK"))))))))</f>
        <v/>
      </c>
    </row>
    <row r="51">
      <c r="A51" s="10" t="inlineStr">
        <is>
          <t>10198157</t>
        </is>
      </c>
      <c r="B51" s="11" t="inlineStr">
        <is>
          <t>TANTA NYLON SOLID TURNER L</t>
        </is>
      </c>
      <c r="C51" s="11" t="inlineStr">
        <is>
          <t>ALAT MASAK</t>
        </is>
      </c>
      <c r="D51" s="11" t="inlineStr">
        <is>
          <t>C1. KITCHEN TOOLS</t>
        </is>
      </c>
      <c r="E51" s="11" t="inlineStr">
        <is>
          <t>TANTA NYLON</t>
        </is>
      </c>
      <c r="F51" s="11" t="n"/>
      <c r="G51" s="11" t="inlineStr">
        <is>
          <t>GND-02</t>
        </is>
      </c>
      <c r="H51" s="11" t="n">
        <v>1</v>
      </c>
      <c r="I51" s="11" t="inlineStr">
        <is>
          <t>Gantungan</t>
        </is>
      </c>
      <c r="J51" s="12">
        <f>IF(G51="","",IFERROR(INDEX(DAFTAR_FIXTURE!$B$2:$B$51,MATCH(G51,DAFTAR_FIXTURE!$A$2:$A$51,0)),""))</f>
        <v/>
      </c>
      <c r="K51" s="12">
        <f>IF(OR(J51="",H51=""),"",IFERROR(INDEX(LAYOUT!$D$2:$D$34,MATCH(J51&amp;"|"&amp;H51,LAYOUT!$E$2:$E$34,0)),"zona tidak ada di layout"))</f>
        <v/>
      </c>
      <c r="L51" s="12">
        <f>IF(OR(G51="",A51=""),"",COUNTIFS($G$2:$G$500,G51,$H$2:$H$500,H51,$A$2:$A$500,"&lt;&gt;"))</f>
        <v/>
      </c>
      <c r="M51" s="12">
        <f>IF(AND(A51="",G51=""),"",IF(G51="","Belum ditempatkan",IF(J51="","CEK ID FIXTURE tidak ada di DAFTAR_FIXTURE",IF(H51="","CEK ZONA NO kosong",IF(K51="zona tidak ada di layout","CEK ZONA NO di luar layout",IF(I51&lt;&gt;K51,"CEK JENIS ZONA",IF(A51="","Zona STOCK",IF(B51="","CEK SKU DESCRIPTION kosong","OK"))))))))</f>
        <v/>
      </c>
    </row>
    <row r="52">
      <c r="A52" s="10" t="inlineStr">
        <is>
          <t>10198159</t>
        </is>
      </c>
      <c r="B52" s="11" t="inlineStr">
        <is>
          <t>TANTA NYLON LADLE</t>
        </is>
      </c>
      <c r="C52" s="11" t="inlineStr">
        <is>
          <t>ALAT MASAK</t>
        </is>
      </c>
      <c r="D52" s="11" t="inlineStr">
        <is>
          <t>C1. KITCHEN TOOLS</t>
        </is>
      </c>
      <c r="E52" s="11" t="inlineStr">
        <is>
          <t>TANTA NYLON</t>
        </is>
      </c>
      <c r="F52" s="11" t="n"/>
      <c r="G52" s="11" t="inlineStr">
        <is>
          <t>GND-02</t>
        </is>
      </c>
      <c r="H52" s="11" t="n">
        <v>1</v>
      </c>
      <c r="I52" s="11" t="inlineStr">
        <is>
          <t>Gantungan</t>
        </is>
      </c>
      <c r="J52" s="12">
        <f>IF(G52="","",IFERROR(INDEX(DAFTAR_FIXTURE!$B$2:$B$51,MATCH(G52,DAFTAR_FIXTURE!$A$2:$A$51,0)),""))</f>
        <v/>
      </c>
      <c r="K52" s="12">
        <f>IF(OR(J52="",H52=""),"",IFERROR(INDEX(LAYOUT!$D$2:$D$34,MATCH(J52&amp;"|"&amp;H52,LAYOUT!$E$2:$E$34,0)),"zona tidak ada di layout"))</f>
        <v/>
      </c>
      <c r="L52" s="12">
        <f>IF(OR(G52="",A52=""),"",COUNTIFS($G$2:$G$500,G52,$H$2:$H$500,H52,$A$2:$A$500,"&lt;&gt;"))</f>
        <v/>
      </c>
      <c r="M52" s="12">
        <f>IF(AND(A52="",G52=""),"",IF(G52="","Belum ditempatkan",IF(J52="","CEK ID FIXTURE tidak ada di DAFTAR_FIXTURE",IF(H52="","CEK ZONA NO kosong",IF(K52="zona tidak ada di layout","CEK ZONA NO di luar layout",IF(I52&lt;&gt;K52,"CEK JENIS ZONA",IF(A52="","Zona STOCK",IF(B52="","CEK SKU DESCRIPTION kosong","OK"))))))))</f>
        <v/>
      </c>
    </row>
    <row r="53">
      <c r="A53" s="10" t="inlineStr">
        <is>
          <t>10198160</t>
        </is>
      </c>
      <c r="B53" s="11" t="inlineStr">
        <is>
          <t>TANTA NYLON WHISK</t>
        </is>
      </c>
      <c r="C53" s="11" t="inlineStr">
        <is>
          <t>ALAT MASAK</t>
        </is>
      </c>
      <c r="D53" s="11" t="inlineStr">
        <is>
          <t>C1. KITCHEN TOOLS</t>
        </is>
      </c>
      <c r="E53" s="11" t="inlineStr">
        <is>
          <t>TANTA NYLON</t>
        </is>
      </c>
      <c r="F53" s="11" t="n"/>
      <c r="G53" s="11" t="inlineStr">
        <is>
          <t>GND-02</t>
        </is>
      </c>
      <c r="H53" s="11" t="n">
        <v>1</v>
      </c>
      <c r="I53" s="11" t="inlineStr">
        <is>
          <t>Gantungan</t>
        </is>
      </c>
      <c r="J53" s="12">
        <f>IF(G53="","",IFERROR(INDEX(DAFTAR_FIXTURE!$B$2:$B$51,MATCH(G53,DAFTAR_FIXTURE!$A$2:$A$51,0)),""))</f>
        <v/>
      </c>
      <c r="K53" s="12">
        <f>IF(OR(J53="",H53=""),"",IFERROR(INDEX(LAYOUT!$D$2:$D$34,MATCH(J53&amp;"|"&amp;H53,LAYOUT!$E$2:$E$34,0)),"zona tidak ada di layout"))</f>
        <v/>
      </c>
      <c r="L53" s="12">
        <f>IF(OR(G53="",A53=""),"",COUNTIFS($G$2:$G$500,G53,$H$2:$H$500,H53,$A$2:$A$500,"&lt;&gt;"))</f>
        <v/>
      </c>
      <c r="M53" s="12">
        <f>IF(AND(A53="",G53=""),"",IF(G53="","Belum ditempatkan",IF(J53="","CEK ID FIXTURE tidak ada di DAFTAR_FIXTURE",IF(H53="","CEK ZONA NO kosong",IF(K53="zona tidak ada di layout","CEK ZONA NO di luar layout",IF(I53&lt;&gt;K53,"CEK JENIS ZONA",IF(A53="","Zona STOCK",IF(B53="","CEK SKU DESCRIPTION kosong","OK"))))))))</f>
        <v/>
      </c>
    </row>
    <row r="54">
      <c r="A54" s="10" t="inlineStr">
        <is>
          <t>10198149</t>
        </is>
      </c>
      <c r="B54" s="11" t="inlineStr">
        <is>
          <t>TANTA STRAINER DIA 10CM</t>
        </is>
      </c>
      <c r="C54" s="11" t="inlineStr">
        <is>
          <t>ALAT MASAK</t>
        </is>
      </c>
      <c r="D54" s="11" t="inlineStr">
        <is>
          <t>C1. KITCHEN TOOLS</t>
        </is>
      </c>
      <c r="E54" s="11" t="inlineStr">
        <is>
          <t>TANTA S/S</t>
        </is>
      </c>
      <c r="F54" s="11" t="n"/>
      <c r="G54" s="11" t="inlineStr">
        <is>
          <t>GND-02</t>
        </is>
      </c>
      <c r="H54" s="11" t="n">
        <v>2</v>
      </c>
      <c r="I54" s="11" t="inlineStr">
        <is>
          <t>Gantungan</t>
        </is>
      </c>
      <c r="J54" s="12">
        <f>IF(G54="","",IFERROR(INDEX(DAFTAR_FIXTURE!$B$2:$B$51,MATCH(G54,DAFTAR_FIXTURE!$A$2:$A$51,0)),""))</f>
        <v/>
      </c>
      <c r="K54" s="12">
        <f>IF(OR(J54="",H54=""),"",IFERROR(INDEX(LAYOUT!$D$2:$D$34,MATCH(J54&amp;"|"&amp;H54,LAYOUT!$E$2:$E$34,0)),"zona tidak ada di layout"))</f>
        <v/>
      </c>
      <c r="L54" s="12">
        <f>IF(OR(G54="",A54=""),"",COUNTIFS($G$2:$G$500,G54,$H$2:$H$500,H54,$A$2:$A$500,"&lt;&gt;"))</f>
        <v/>
      </c>
      <c r="M54" s="12">
        <f>IF(AND(A54="",G54=""),"",IF(G54="","Belum ditempatkan",IF(J54="","CEK ID FIXTURE tidak ada di DAFTAR_FIXTURE",IF(H54="","CEK ZONA NO kosong",IF(K54="zona tidak ada di layout","CEK ZONA NO di luar layout",IF(I54&lt;&gt;K54,"CEK JENIS ZONA",IF(A54="","Zona STOCK",IF(B54="","CEK SKU DESCRIPTION kosong","OK"))))))))</f>
        <v/>
      </c>
    </row>
    <row r="55">
      <c r="A55" s="10" t="inlineStr">
        <is>
          <t>10198150</t>
        </is>
      </c>
      <c r="B55" s="11" t="inlineStr">
        <is>
          <t>TANTA NYLON TONGS 9 INCH</t>
        </is>
      </c>
      <c r="C55" s="11" t="inlineStr">
        <is>
          <t>ALAT MASAK</t>
        </is>
      </c>
      <c r="D55" s="11" t="inlineStr">
        <is>
          <t>C1. KITCHEN TOOLS</t>
        </is>
      </c>
      <c r="E55" s="11" t="inlineStr">
        <is>
          <t>TANTA NYLON</t>
        </is>
      </c>
      <c r="F55" s="11" t="n"/>
      <c r="G55" s="11" t="inlineStr">
        <is>
          <t>GND-02</t>
        </is>
      </c>
      <c r="H55" s="11" t="n">
        <v>2</v>
      </c>
      <c r="I55" s="11" t="inlineStr">
        <is>
          <t>Gantungan</t>
        </is>
      </c>
      <c r="J55" s="12">
        <f>IF(G55="","",IFERROR(INDEX(DAFTAR_FIXTURE!$B$2:$B$51,MATCH(G55,DAFTAR_FIXTURE!$A$2:$A$51,0)),""))</f>
        <v/>
      </c>
      <c r="K55" s="12">
        <f>IF(OR(J55="",H55=""),"",IFERROR(INDEX(LAYOUT!$D$2:$D$34,MATCH(J55&amp;"|"&amp;H55,LAYOUT!$E$2:$E$34,0)),"zona tidak ada di layout"))</f>
        <v/>
      </c>
      <c r="L55" s="12">
        <f>IF(OR(G55="",A55=""),"",COUNTIFS($G$2:$G$500,G55,$H$2:$H$500,H55,$A$2:$A$500,"&lt;&gt;"))</f>
        <v/>
      </c>
      <c r="M55" s="12">
        <f>IF(AND(A55="",G55=""),"",IF(G55="","Belum ditempatkan",IF(J55="","CEK ID FIXTURE tidak ada di DAFTAR_FIXTURE",IF(H55="","CEK ZONA NO kosong",IF(K55="zona tidak ada di layout","CEK ZONA NO di luar layout",IF(I55&lt;&gt;K55,"CEK JENIS ZONA",IF(A55="","Zona STOCK",IF(B55="","CEK SKU DESCRIPTION kosong","OK"))))))))</f>
        <v/>
      </c>
    </row>
    <row r="56">
      <c r="A56" s="10" t="inlineStr">
        <is>
          <t>10198151</t>
        </is>
      </c>
      <c r="B56" s="11" t="inlineStr">
        <is>
          <t>TANTA NYLON TONGS 12 INCH</t>
        </is>
      </c>
      <c r="C56" s="11" t="inlineStr">
        <is>
          <t>ALAT MASAK</t>
        </is>
      </c>
      <c r="D56" s="11" t="inlineStr">
        <is>
          <t>C1. KITCHEN TOOLS</t>
        </is>
      </c>
      <c r="E56" s="11" t="inlineStr">
        <is>
          <t>TANTA NYLON</t>
        </is>
      </c>
      <c r="F56" s="11" t="n"/>
      <c r="G56" s="11" t="inlineStr">
        <is>
          <t>GND-02</t>
        </is>
      </c>
      <c r="H56" s="11" t="n">
        <v>2</v>
      </c>
      <c r="I56" s="11" t="inlineStr">
        <is>
          <t>Gantungan</t>
        </is>
      </c>
      <c r="J56" s="12">
        <f>IF(G56="","",IFERROR(INDEX(DAFTAR_FIXTURE!$B$2:$B$51,MATCH(G56,DAFTAR_FIXTURE!$A$2:$A$51,0)),""))</f>
        <v/>
      </c>
      <c r="K56" s="12">
        <f>IF(OR(J56="",H56=""),"",IFERROR(INDEX(LAYOUT!$D$2:$D$34,MATCH(J56&amp;"|"&amp;H56,LAYOUT!$E$2:$E$34,0)),"zona tidak ada di layout"))</f>
        <v/>
      </c>
      <c r="L56" s="12">
        <f>IF(OR(G56="",A56=""),"",COUNTIFS($G$2:$G$500,G56,$H$2:$H$500,H56,$A$2:$A$500,"&lt;&gt;"))</f>
        <v/>
      </c>
      <c r="M56" s="12">
        <f>IF(AND(A56="",G56=""),"",IF(G56="","Belum ditempatkan",IF(J56="","CEK ID FIXTURE tidak ada di DAFTAR_FIXTURE",IF(H56="","CEK ZONA NO kosong",IF(K56="zona tidak ada di layout","CEK ZONA NO di luar layout",IF(I56&lt;&gt;K56,"CEK JENIS ZONA",IF(A56="","Zona STOCK",IF(B56="","CEK SKU DESCRIPTION kosong","OK"))))))))</f>
        <v/>
      </c>
    </row>
    <row r="57">
      <c r="A57" s="10" t="inlineStr">
        <is>
          <t>10198152</t>
        </is>
      </c>
      <c r="B57" s="11" t="inlineStr">
        <is>
          <t>TANTA S/S SOLID TURNER M</t>
        </is>
      </c>
      <c r="C57" s="11" t="inlineStr">
        <is>
          <t>ALAT MASAK</t>
        </is>
      </c>
      <c r="D57" s="11" t="inlineStr">
        <is>
          <t>C1. KITCHEN TOOLS</t>
        </is>
      </c>
      <c r="E57" s="11" t="inlineStr">
        <is>
          <t>TANTA S/S</t>
        </is>
      </c>
      <c r="F57" s="11" t="n"/>
      <c r="G57" s="11" t="inlineStr">
        <is>
          <t>GND-02</t>
        </is>
      </c>
      <c r="H57" s="11" t="n">
        <v>2</v>
      </c>
      <c r="I57" s="11" t="inlineStr">
        <is>
          <t>Gantungan</t>
        </is>
      </c>
      <c r="J57" s="12">
        <f>IF(G57="","",IFERROR(INDEX(DAFTAR_FIXTURE!$B$2:$B$51,MATCH(G57,DAFTAR_FIXTURE!$A$2:$A$51,0)),""))</f>
        <v/>
      </c>
      <c r="K57" s="12">
        <f>IF(OR(J57="",H57=""),"",IFERROR(INDEX(LAYOUT!$D$2:$D$34,MATCH(J57&amp;"|"&amp;H57,LAYOUT!$E$2:$E$34,0)),"zona tidak ada di layout"))</f>
        <v/>
      </c>
      <c r="L57" s="12">
        <f>IF(OR(G57="",A57=""),"",COUNTIFS($G$2:$G$500,G57,$H$2:$H$500,H57,$A$2:$A$500,"&lt;&gt;"))</f>
        <v/>
      </c>
      <c r="M57" s="12">
        <f>IF(AND(A57="",G57=""),"",IF(G57="","Belum ditempatkan",IF(J57="","CEK ID FIXTURE tidak ada di DAFTAR_FIXTURE",IF(H57="","CEK ZONA NO kosong",IF(K57="zona tidak ada di layout","CEK ZONA NO di luar layout",IF(I57&lt;&gt;K57,"CEK JENIS ZONA",IF(A57="","Zona STOCK",IF(B57="","CEK SKU DESCRIPTION kosong","OK"))))))))</f>
        <v/>
      </c>
    </row>
    <row r="58">
      <c r="A58" s="10" t="inlineStr">
        <is>
          <t>10198154</t>
        </is>
      </c>
      <c r="B58" s="11" t="inlineStr">
        <is>
          <t>TANTA S/S LADLE</t>
        </is>
      </c>
      <c r="C58" s="11" t="inlineStr">
        <is>
          <t>ALAT MASAK</t>
        </is>
      </c>
      <c r="D58" s="11" t="inlineStr">
        <is>
          <t>C1. KITCHEN TOOLS</t>
        </is>
      </c>
      <c r="E58" s="11" t="inlineStr">
        <is>
          <t>TANTA S/S</t>
        </is>
      </c>
      <c r="F58" s="11" t="n"/>
      <c r="G58" s="11" t="inlineStr">
        <is>
          <t>GND-02</t>
        </is>
      </c>
      <c r="H58" s="11" t="n">
        <v>2</v>
      </c>
      <c r="I58" s="11" t="inlineStr">
        <is>
          <t>Gantungan</t>
        </is>
      </c>
      <c r="J58" s="12">
        <f>IF(G58="","",IFERROR(INDEX(DAFTAR_FIXTURE!$B$2:$B$51,MATCH(G58,DAFTAR_FIXTURE!$A$2:$A$51,0)),""))</f>
        <v/>
      </c>
      <c r="K58" s="12">
        <f>IF(OR(J58="",H58=""),"",IFERROR(INDEX(LAYOUT!$D$2:$D$34,MATCH(J58&amp;"|"&amp;H58,LAYOUT!$E$2:$E$34,0)),"zona tidak ada di layout"))</f>
        <v/>
      </c>
      <c r="L58" s="12">
        <f>IF(OR(G58="",A58=""),"",COUNTIFS($G$2:$G$500,G58,$H$2:$H$500,H58,$A$2:$A$500,"&lt;&gt;"))</f>
        <v/>
      </c>
      <c r="M58" s="12">
        <f>IF(AND(A58="",G58=""),"",IF(G58="","Belum ditempatkan",IF(J58="","CEK ID FIXTURE tidak ada di DAFTAR_FIXTURE",IF(H58="","CEK ZONA NO kosong",IF(K58="zona tidak ada di layout","CEK ZONA NO di luar layout",IF(I58&lt;&gt;K58,"CEK JENIS ZONA",IF(A58="","Zona STOCK",IF(B58="","CEK SKU DESCRIPTION kosong","OK"))))))))</f>
        <v/>
      </c>
    </row>
    <row r="59">
      <c r="A59" s="10" t="inlineStr">
        <is>
          <t>10198156</t>
        </is>
      </c>
      <c r="B59" s="11" t="inlineStr">
        <is>
          <t>TANTA NYLON SLOTTED TURNER M</t>
        </is>
      </c>
      <c r="C59" s="11" t="inlineStr">
        <is>
          <t>ALAT MASAK</t>
        </is>
      </c>
      <c r="D59" s="11" t="inlineStr">
        <is>
          <t>C1. KITCHEN TOOLS</t>
        </is>
      </c>
      <c r="E59" s="11" t="inlineStr">
        <is>
          <t>TANTA NYLON</t>
        </is>
      </c>
      <c r="F59" s="11" t="n"/>
      <c r="G59" s="11" t="inlineStr">
        <is>
          <t>GND-02</t>
        </is>
      </c>
      <c r="H59" s="11" t="n">
        <v>2</v>
      </c>
      <c r="I59" s="11" t="inlineStr">
        <is>
          <t>Gantungan</t>
        </is>
      </c>
      <c r="J59" s="12">
        <f>IF(G59="","",IFERROR(INDEX(DAFTAR_FIXTURE!$B$2:$B$51,MATCH(G59,DAFTAR_FIXTURE!$A$2:$A$51,0)),""))</f>
        <v/>
      </c>
      <c r="K59" s="12">
        <f>IF(OR(J59="",H59=""),"",IFERROR(INDEX(LAYOUT!$D$2:$D$34,MATCH(J59&amp;"|"&amp;H59,LAYOUT!$E$2:$E$34,0)),"zona tidak ada di layout"))</f>
        <v/>
      </c>
      <c r="L59" s="12">
        <f>IF(OR(G59="",A59=""),"",COUNTIFS($G$2:$G$500,G59,$H$2:$H$500,H59,$A$2:$A$500,"&lt;&gt;"))</f>
        <v/>
      </c>
      <c r="M59" s="12">
        <f>IF(AND(A59="",G59=""),"",IF(G59="","Belum ditempatkan",IF(J59="","CEK ID FIXTURE tidak ada di DAFTAR_FIXTURE",IF(H59="","CEK ZONA NO kosong",IF(K59="zona tidak ada di layout","CEK ZONA NO di luar layout",IF(I59&lt;&gt;K59,"CEK JENIS ZONA",IF(A59="","Zona STOCK",IF(B59="","CEK SKU DESCRIPTION kosong","OK"))))))))</f>
        <v/>
      </c>
    </row>
    <row r="60">
      <c r="A60" s="10" t="inlineStr">
        <is>
          <t>10198157</t>
        </is>
      </c>
      <c r="B60" s="11" t="inlineStr">
        <is>
          <t>TANTA NYLON SOLID TURNER L</t>
        </is>
      </c>
      <c r="C60" s="11" t="inlineStr">
        <is>
          <t>ALAT MASAK</t>
        </is>
      </c>
      <c r="D60" s="11" t="inlineStr">
        <is>
          <t>C1. KITCHEN TOOLS</t>
        </is>
      </c>
      <c r="E60" s="11" t="inlineStr">
        <is>
          <t>TANTA NYLON</t>
        </is>
      </c>
      <c r="F60" s="11" t="n"/>
      <c r="G60" s="11" t="inlineStr">
        <is>
          <t>GND-02</t>
        </is>
      </c>
      <c r="H60" s="11" t="n">
        <v>2</v>
      </c>
      <c r="I60" s="11" t="inlineStr">
        <is>
          <t>Gantungan</t>
        </is>
      </c>
      <c r="J60" s="12">
        <f>IF(G60="","",IFERROR(INDEX(DAFTAR_FIXTURE!$B$2:$B$51,MATCH(G60,DAFTAR_FIXTURE!$A$2:$A$51,0)),""))</f>
        <v/>
      </c>
      <c r="K60" s="12">
        <f>IF(OR(J60="",H60=""),"",IFERROR(INDEX(LAYOUT!$D$2:$D$34,MATCH(J60&amp;"|"&amp;H60,LAYOUT!$E$2:$E$34,0)),"zona tidak ada di layout"))</f>
        <v/>
      </c>
      <c r="L60" s="12">
        <f>IF(OR(G60="",A60=""),"",COUNTIFS($G$2:$G$500,G60,$H$2:$H$500,H60,$A$2:$A$500,"&lt;&gt;"))</f>
        <v/>
      </c>
      <c r="M60" s="12">
        <f>IF(AND(A60="",G60=""),"",IF(G60="","Belum ditempatkan",IF(J60="","CEK ID FIXTURE tidak ada di DAFTAR_FIXTURE",IF(H60="","CEK ZONA NO kosong",IF(K60="zona tidak ada di layout","CEK ZONA NO di luar layout",IF(I60&lt;&gt;K60,"CEK JENIS ZONA",IF(A60="","Zona STOCK",IF(B60="","CEK SKU DESCRIPTION kosong","OK"))))))))</f>
        <v/>
      </c>
    </row>
    <row r="61">
      <c r="A61" s="10" t="inlineStr">
        <is>
          <t>10198159</t>
        </is>
      </c>
      <c r="B61" s="11" t="inlineStr">
        <is>
          <t>TANTA NYLON LADLE</t>
        </is>
      </c>
      <c r="C61" s="11" t="inlineStr">
        <is>
          <t>ALAT MASAK</t>
        </is>
      </c>
      <c r="D61" s="11" t="inlineStr">
        <is>
          <t>C1. KITCHEN TOOLS</t>
        </is>
      </c>
      <c r="E61" s="11" t="inlineStr">
        <is>
          <t>TANTA NYLON</t>
        </is>
      </c>
      <c r="F61" s="11" t="n"/>
      <c r="G61" s="11" t="inlineStr">
        <is>
          <t>GND-02</t>
        </is>
      </c>
      <c r="H61" s="11" t="n">
        <v>2</v>
      </c>
      <c r="I61" s="11" t="inlineStr">
        <is>
          <t>Gantungan</t>
        </is>
      </c>
      <c r="J61" s="12">
        <f>IF(G61="","",IFERROR(INDEX(DAFTAR_FIXTURE!$B$2:$B$51,MATCH(G61,DAFTAR_FIXTURE!$A$2:$A$51,0)),""))</f>
        <v/>
      </c>
      <c r="K61" s="12">
        <f>IF(OR(J61="",H61=""),"",IFERROR(INDEX(LAYOUT!$D$2:$D$34,MATCH(J61&amp;"|"&amp;H61,LAYOUT!$E$2:$E$34,0)),"zona tidak ada di layout"))</f>
        <v/>
      </c>
      <c r="L61" s="12">
        <f>IF(OR(G61="",A61=""),"",COUNTIFS($G$2:$G$500,G61,$H$2:$H$500,H61,$A$2:$A$500,"&lt;&gt;"))</f>
        <v/>
      </c>
      <c r="M61" s="12">
        <f>IF(AND(A61="",G61=""),"",IF(G61="","Belum ditempatkan",IF(J61="","CEK ID FIXTURE tidak ada di DAFTAR_FIXTURE",IF(H61="","CEK ZONA NO kosong",IF(K61="zona tidak ada di layout","CEK ZONA NO di luar layout",IF(I61&lt;&gt;K61,"CEK JENIS ZONA",IF(A61="","Zona STOCK",IF(B61="","CEK SKU DESCRIPTION kosong","OK"))))))))</f>
        <v/>
      </c>
    </row>
    <row r="62">
      <c r="A62" s="10" t="inlineStr">
        <is>
          <t>10198160</t>
        </is>
      </c>
      <c r="B62" s="11" t="inlineStr">
        <is>
          <t>TANTA NYLON WHISK</t>
        </is>
      </c>
      <c r="C62" s="11" t="inlineStr">
        <is>
          <t>ALAT MASAK</t>
        </is>
      </c>
      <c r="D62" s="11" t="inlineStr">
        <is>
          <t>C1. KITCHEN TOOLS</t>
        </is>
      </c>
      <c r="E62" s="11" t="inlineStr">
        <is>
          <t>TANTA NYLON</t>
        </is>
      </c>
      <c r="F62" s="11" t="n"/>
      <c r="G62" s="11" t="inlineStr">
        <is>
          <t>GND-02</t>
        </is>
      </c>
      <c r="H62" s="11" t="n">
        <v>2</v>
      </c>
      <c r="I62" s="11" t="inlineStr">
        <is>
          <t>Gantungan</t>
        </is>
      </c>
      <c r="J62" s="12">
        <f>IF(G62="","",IFERROR(INDEX(DAFTAR_FIXTURE!$B$2:$B$51,MATCH(G62,DAFTAR_FIXTURE!$A$2:$A$51,0)),""))</f>
        <v/>
      </c>
      <c r="K62" s="12">
        <f>IF(OR(J62="",H62=""),"",IFERROR(INDEX(LAYOUT!$D$2:$D$34,MATCH(J62&amp;"|"&amp;H62,LAYOUT!$E$2:$E$34,0)),"zona tidak ada di layout"))</f>
        <v/>
      </c>
      <c r="L62" s="12">
        <f>IF(OR(G62="",A62=""),"",COUNTIFS($G$2:$G$500,G62,$H$2:$H$500,H62,$A$2:$A$500,"&lt;&gt;"))</f>
        <v/>
      </c>
      <c r="M62" s="12">
        <f>IF(AND(A62="",G62=""),"",IF(G62="","Belum ditempatkan",IF(J62="","CEK ID FIXTURE tidak ada di DAFTAR_FIXTURE",IF(H62="","CEK ZONA NO kosong",IF(K62="zona tidak ada di layout","CEK ZONA NO di luar layout",IF(I62&lt;&gt;K62,"CEK JENIS ZONA",IF(A62="","Zona STOCK",IF(B62="","CEK SKU DESCRIPTION kosong","OK"))))))))</f>
        <v/>
      </c>
    </row>
    <row r="63">
      <c r="A63" s="10" t="inlineStr">
        <is>
          <t>10198149</t>
        </is>
      </c>
      <c r="B63" s="11" t="inlineStr">
        <is>
          <t>TANTA STRAINER DIA 10CM</t>
        </is>
      </c>
      <c r="C63" s="11" t="inlineStr">
        <is>
          <t>ALAT MASAK</t>
        </is>
      </c>
      <c r="D63" s="11" t="inlineStr">
        <is>
          <t>C1. KITCHEN TOOLS</t>
        </is>
      </c>
      <c r="E63" s="11" t="inlineStr">
        <is>
          <t>TANTA S/S</t>
        </is>
      </c>
      <c r="F63" s="11" t="n"/>
      <c r="G63" s="11" t="inlineStr">
        <is>
          <t>GND-02</t>
        </is>
      </c>
      <c r="H63" s="11" t="n">
        <v>3</v>
      </c>
      <c r="I63" s="11" t="inlineStr">
        <is>
          <t>Gantungan</t>
        </is>
      </c>
      <c r="J63" s="12">
        <f>IF(G63="","",IFERROR(INDEX(DAFTAR_FIXTURE!$B$2:$B$51,MATCH(G63,DAFTAR_FIXTURE!$A$2:$A$51,0)),""))</f>
        <v/>
      </c>
      <c r="K63" s="12">
        <f>IF(OR(J63="",H63=""),"",IFERROR(INDEX(LAYOUT!$D$2:$D$34,MATCH(J63&amp;"|"&amp;H63,LAYOUT!$E$2:$E$34,0)),"zona tidak ada di layout"))</f>
        <v/>
      </c>
      <c r="L63" s="12">
        <f>IF(OR(G63="",A63=""),"",COUNTIFS($G$2:$G$500,G63,$H$2:$H$500,H63,$A$2:$A$500,"&lt;&gt;"))</f>
        <v/>
      </c>
      <c r="M63" s="12">
        <f>IF(AND(A63="",G63=""),"",IF(G63="","Belum ditempatkan",IF(J63="","CEK ID FIXTURE tidak ada di DAFTAR_FIXTURE",IF(H63="","CEK ZONA NO kosong",IF(K63="zona tidak ada di layout","CEK ZONA NO di luar layout",IF(I63&lt;&gt;K63,"CEK JENIS ZONA",IF(A63="","Zona STOCK",IF(B63="","CEK SKU DESCRIPTION kosong","OK"))))))))</f>
        <v/>
      </c>
    </row>
    <row r="64">
      <c r="A64" s="10" t="inlineStr">
        <is>
          <t>10198150</t>
        </is>
      </c>
      <c r="B64" s="11" t="inlineStr">
        <is>
          <t>TANTA NYLON TONGS 9 INCH</t>
        </is>
      </c>
      <c r="C64" s="11" t="inlineStr">
        <is>
          <t>ALAT MASAK</t>
        </is>
      </c>
      <c r="D64" s="11" t="inlineStr">
        <is>
          <t>C1. KITCHEN TOOLS</t>
        </is>
      </c>
      <c r="E64" s="11" t="inlineStr">
        <is>
          <t>TANTA NYLON</t>
        </is>
      </c>
      <c r="F64" s="11" t="n"/>
      <c r="G64" s="11" t="inlineStr">
        <is>
          <t>GND-02</t>
        </is>
      </c>
      <c r="H64" s="11" t="n">
        <v>3</v>
      </c>
      <c r="I64" s="11" t="inlineStr">
        <is>
          <t>Gantungan</t>
        </is>
      </c>
      <c r="J64" s="12">
        <f>IF(G64="","",IFERROR(INDEX(DAFTAR_FIXTURE!$B$2:$B$51,MATCH(G64,DAFTAR_FIXTURE!$A$2:$A$51,0)),""))</f>
        <v/>
      </c>
      <c r="K64" s="12">
        <f>IF(OR(J64="",H64=""),"",IFERROR(INDEX(LAYOUT!$D$2:$D$34,MATCH(J64&amp;"|"&amp;H64,LAYOUT!$E$2:$E$34,0)),"zona tidak ada di layout"))</f>
        <v/>
      </c>
      <c r="L64" s="12">
        <f>IF(OR(G64="",A64=""),"",COUNTIFS($G$2:$G$500,G64,$H$2:$H$500,H64,$A$2:$A$500,"&lt;&gt;"))</f>
        <v/>
      </c>
      <c r="M64" s="12">
        <f>IF(AND(A64="",G64=""),"",IF(G64="","Belum ditempatkan",IF(J64="","CEK ID FIXTURE tidak ada di DAFTAR_FIXTURE",IF(H64="","CEK ZONA NO kosong",IF(K64="zona tidak ada di layout","CEK ZONA NO di luar layout",IF(I64&lt;&gt;K64,"CEK JENIS ZONA",IF(A64="","Zona STOCK",IF(B64="","CEK SKU DESCRIPTION kosong","OK"))))))))</f>
        <v/>
      </c>
    </row>
    <row r="65">
      <c r="A65" s="10" t="inlineStr">
        <is>
          <t>10198151</t>
        </is>
      </c>
      <c r="B65" s="11" t="inlineStr">
        <is>
          <t>TANTA NYLON TONGS 12 INCH</t>
        </is>
      </c>
      <c r="C65" s="11" t="inlineStr">
        <is>
          <t>ALAT MASAK</t>
        </is>
      </c>
      <c r="D65" s="11" t="inlineStr">
        <is>
          <t>C1. KITCHEN TOOLS</t>
        </is>
      </c>
      <c r="E65" s="11" t="inlineStr">
        <is>
          <t>TANTA NYLON</t>
        </is>
      </c>
      <c r="F65" s="11" t="n"/>
      <c r="G65" s="11" t="inlineStr">
        <is>
          <t>GND-02</t>
        </is>
      </c>
      <c r="H65" s="11" t="n">
        <v>3</v>
      </c>
      <c r="I65" s="11" t="inlineStr">
        <is>
          <t>Gantungan</t>
        </is>
      </c>
      <c r="J65" s="12">
        <f>IF(G65="","",IFERROR(INDEX(DAFTAR_FIXTURE!$B$2:$B$51,MATCH(G65,DAFTAR_FIXTURE!$A$2:$A$51,0)),""))</f>
        <v/>
      </c>
      <c r="K65" s="12">
        <f>IF(OR(J65="",H65=""),"",IFERROR(INDEX(LAYOUT!$D$2:$D$34,MATCH(J65&amp;"|"&amp;H65,LAYOUT!$E$2:$E$34,0)),"zona tidak ada di layout"))</f>
        <v/>
      </c>
      <c r="L65" s="12">
        <f>IF(OR(G65="",A65=""),"",COUNTIFS($G$2:$G$500,G65,$H$2:$H$500,H65,$A$2:$A$500,"&lt;&gt;"))</f>
        <v/>
      </c>
      <c r="M65" s="12">
        <f>IF(AND(A65="",G65=""),"",IF(G65="","Belum ditempatkan",IF(J65="","CEK ID FIXTURE tidak ada di DAFTAR_FIXTURE",IF(H65="","CEK ZONA NO kosong",IF(K65="zona tidak ada di layout","CEK ZONA NO di luar layout",IF(I65&lt;&gt;K65,"CEK JENIS ZONA",IF(A65="","Zona STOCK",IF(B65="","CEK SKU DESCRIPTION kosong","OK"))))))))</f>
        <v/>
      </c>
    </row>
    <row r="66">
      <c r="A66" s="10" t="inlineStr">
        <is>
          <t>10198152</t>
        </is>
      </c>
      <c r="B66" s="11" t="inlineStr">
        <is>
          <t>TANTA S/S SOLID TURNER M</t>
        </is>
      </c>
      <c r="C66" s="11" t="inlineStr">
        <is>
          <t>ALAT MASAK</t>
        </is>
      </c>
      <c r="D66" s="11" t="inlineStr">
        <is>
          <t>C1. KITCHEN TOOLS</t>
        </is>
      </c>
      <c r="E66" s="11" t="inlineStr">
        <is>
          <t>TANTA S/S</t>
        </is>
      </c>
      <c r="F66" s="11" t="n"/>
      <c r="G66" s="11" t="inlineStr">
        <is>
          <t>GND-02</t>
        </is>
      </c>
      <c r="H66" s="11" t="n">
        <v>3</v>
      </c>
      <c r="I66" s="11" t="inlineStr">
        <is>
          <t>Gantungan</t>
        </is>
      </c>
      <c r="J66" s="12">
        <f>IF(G66="","",IFERROR(INDEX(DAFTAR_FIXTURE!$B$2:$B$51,MATCH(G66,DAFTAR_FIXTURE!$A$2:$A$51,0)),""))</f>
        <v/>
      </c>
      <c r="K66" s="12">
        <f>IF(OR(J66="",H66=""),"",IFERROR(INDEX(LAYOUT!$D$2:$D$34,MATCH(J66&amp;"|"&amp;H66,LAYOUT!$E$2:$E$34,0)),"zona tidak ada di layout"))</f>
        <v/>
      </c>
      <c r="L66" s="12">
        <f>IF(OR(G66="",A66=""),"",COUNTIFS($G$2:$G$500,G66,$H$2:$H$500,H66,$A$2:$A$500,"&lt;&gt;"))</f>
        <v/>
      </c>
      <c r="M66" s="12">
        <f>IF(AND(A66="",G66=""),"",IF(G66="","Belum ditempatkan",IF(J66="","CEK ID FIXTURE tidak ada di DAFTAR_FIXTURE",IF(H66="","CEK ZONA NO kosong",IF(K66="zona tidak ada di layout","CEK ZONA NO di luar layout",IF(I66&lt;&gt;K66,"CEK JENIS ZONA",IF(A66="","Zona STOCK",IF(B66="","CEK SKU DESCRIPTION kosong","OK"))))))))</f>
        <v/>
      </c>
    </row>
    <row r="67">
      <c r="A67" s="10" t="inlineStr">
        <is>
          <t>10198154</t>
        </is>
      </c>
      <c r="B67" s="11" t="inlineStr">
        <is>
          <t>TANTA S/S LADLE</t>
        </is>
      </c>
      <c r="C67" s="11" t="inlineStr">
        <is>
          <t>ALAT MASAK</t>
        </is>
      </c>
      <c r="D67" s="11" t="inlineStr">
        <is>
          <t>C1. KITCHEN TOOLS</t>
        </is>
      </c>
      <c r="E67" s="11" t="inlineStr">
        <is>
          <t>TANTA S/S</t>
        </is>
      </c>
      <c r="F67" s="11" t="n"/>
      <c r="G67" s="11" t="inlineStr">
        <is>
          <t>GND-02</t>
        </is>
      </c>
      <c r="H67" s="11" t="n">
        <v>3</v>
      </c>
      <c r="I67" s="11" t="inlineStr">
        <is>
          <t>Gantungan</t>
        </is>
      </c>
      <c r="J67" s="12">
        <f>IF(G67="","",IFERROR(INDEX(DAFTAR_FIXTURE!$B$2:$B$51,MATCH(G67,DAFTAR_FIXTURE!$A$2:$A$51,0)),""))</f>
        <v/>
      </c>
      <c r="K67" s="12">
        <f>IF(OR(J67="",H67=""),"",IFERROR(INDEX(LAYOUT!$D$2:$D$34,MATCH(J67&amp;"|"&amp;H67,LAYOUT!$E$2:$E$34,0)),"zona tidak ada di layout"))</f>
        <v/>
      </c>
      <c r="L67" s="12">
        <f>IF(OR(G67="",A67=""),"",COUNTIFS($G$2:$G$500,G67,$H$2:$H$500,H67,$A$2:$A$500,"&lt;&gt;"))</f>
        <v/>
      </c>
      <c r="M67" s="12">
        <f>IF(AND(A67="",G67=""),"",IF(G67="","Belum ditempatkan",IF(J67="","CEK ID FIXTURE tidak ada di DAFTAR_FIXTURE",IF(H67="","CEK ZONA NO kosong",IF(K67="zona tidak ada di layout","CEK ZONA NO di luar layout",IF(I67&lt;&gt;K67,"CEK JENIS ZONA",IF(A67="","Zona STOCK",IF(B67="","CEK SKU DESCRIPTION kosong","OK"))))))))</f>
        <v/>
      </c>
    </row>
    <row r="68">
      <c r="A68" s="10" t="inlineStr">
        <is>
          <t>10198156</t>
        </is>
      </c>
      <c r="B68" s="11" t="inlineStr">
        <is>
          <t>TANTA NYLON SLOTTED TURNER M</t>
        </is>
      </c>
      <c r="C68" s="11" t="inlineStr">
        <is>
          <t>ALAT MASAK</t>
        </is>
      </c>
      <c r="D68" s="11" t="inlineStr">
        <is>
          <t>C1. KITCHEN TOOLS</t>
        </is>
      </c>
      <c r="E68" s="11" t="inlineStr">
        <is>
          <t>TANTA NYLON</t>
        </is>
      </c>
      <c r="F68" s="11" t="n"/>
      <c r="G68" s="11" t="inlineStr">
        <is>
          <t>GND-02</t>
        </is>
      </c>
      <c r="H68" s="11" t="n">
        <v>3</v>
      </c>
      <c r="I68" s="11" t="inlineStr">
        <is>
          <t>Gantungan</t>
        </is>
      </c>
      <c r="J68" s="12">
        <f>IF(G68="","",IFERROR(INDEX(DAFTAR_FIXTURE!$B$2:$B$51,MATCH(G68,DAFTAR_FIXTURE!$A$2:$A$51,0)),""))</f>
        <v/>
      </c>
      <c r="K68" s="12">
        <f>IF(OR(J68="",H68=""),"",IFERROR(INDEX(LAYOUT!$D$2:$D$34,MATCH(J68&amp;"|"&amp;H68,LAYOUT!$E$2:$E$34,0)),"zona tidak ada di layout"))</f>
        <v/>
      </c>
      <c r="L68" s="12">
        <f>IF(OR(G68="",A68=""),"",COUNTIFS($G$2:$G$500,G68,$H$2:$H$500,H68,$A$2:$A$500,"&lt;&gt;"))</f>
        <v/>
      </c>
      <c r="M68" s="12">
        <f>IF(AND(A68="",G68=""),"",IF(G68="","Belum ditempatkan",IF(J68="","CEK ID FIXTURE tidak ada di DAFTAR_FIXTURE",IF(H68="","CEK ZONA NO kosong",IF(K68="zona tidak ada di layout","CEK ZONA NO di luar layout",IF(I68&lt;&gt;K68,"CEK JENIS ZONA",IF(A68="","Zona STOCK",IF(B68="","CEK SKU DESCRIPTION kosong","OK"))))))))</f>
        <v/>
      </c>
    </row>
    <row r="69">
      <c r="A69" s="10" t="inlineStr">
        <is>
          <t>10198157</t>
        </is>
      </c>
      <c r="B69" s="11" t="inlineStr">
        <is>
          <t>TANTA NYLON SOLID TURNER L</t>
        </is>
      </c>
      <c r="C69" s="11" t="inlineStr">
        <is>
          <t>ALAT MASAK</t>
        </is>
      </c>
      <c r="D69" s="11" t="inlineStr">
        <is>
          <t>C1. KITCHEN TOOLS</t>
        </is>
      </c>
      <c r="E69" s="11" t="inlineStr">
        <is>
          <t>TANTA NYLON</t>
        </is>
      </c>
      <c r="F69" s="11" t="n"/>
      <c r="G69" s="11" t="inlineStr">
        <is>
          <t>GND-02</t>
        </is>
      </c>
      <c r="H69" s="11" t="n">
        <v>3</v>
      </c>
      <c r="I69" s="11" t="inlineStr">
        <is>
          <t>Gantungan</t>
        </is>
      </c>
      <c r="J69" s="12">
        <f>IF(G69="","",IFERROR(INDEX(DAFTAR_FIXTURE!$B$2:$B$51,MATCH(G69,DAFTAR_FIXTURE!$A$2:$A$51,0)),""))</f>
        <v/>
      </c>
      <c r="K69" s="12">
        <f>IF(OR(J69="",H69=""),"",IFERROR(INDEX(LAYOUT!$D$2:$D$34,MATCH(J69&amp;"|"&amp;H69,LAYOUT!$E$2:$E$34,0)),"zona tidak ada di layout"))</f>
        <v/>
      </c>
      <c r="L69" s="12">
        <f>IF(OR(G69="",A69=""),"",COUNTIFS($G$2:$G$500,G69,$H$2:$H$500,H69,$A$2:$A$500,"&lt;&gt;"))</f>
        <v/>
      </c>
      <c r="M69" s="12">
        <f>IF(AND(A69="",G69=""),"",IF(G69="","Belum ditempatkan",IF(J69="","CEK ID FIXTURE tidak ada di DAFTAR_FIXTURE",IF(H69="","CEK ZONA NO kosong",IF(K69="zona tidak ada di layout","CEK ZONA NO di luar layout",IF(I69&lt;&gt;K69,"CEK JENIS ZONA",IF(A69="","Zona STOCK",IF(B69="","CEK SKU DESCRIPTION kosong","OK"))))))))</f>
        <v/>
      </c>
    </row>
    <row r="70">
      <c r="A70" s="10" t="inlineStr">
        <is>
          <t>10198159</t>
        </is>
      </c>
      <c r="B70" s="11" t="inlineStr">
        <is>
          <t>TANTA NYLON LADLE</t>
        </is>
      </c>
      <c r="C70" s="11" t="inlineStr">
        <is>
          <t>ALAT MASAK</t>
        </is>
      </c>
      <c r="D70" s="11" t="inlineStr">
        <is>
          <t>C1. KITCHEN TOOLS</t>
        </is>
      </c>
      <c r="E70" s="11" t="inlineStr">
        <is>
          <t>TANTA NYLON</t>
        </is>
      </c>
      <c r="F70" s="11" t="n"/>
      <c r="G70" s="11" t="inlineStr">
        <is>
          <t>GND-02</t>
        </is>
      </c>
      <c r="H70" s="11" t="n">
        <v>3</v>
      </c>
      <c r="I70" s="11" t="inlineStr">
        <is>
          <t>Gantungan</t>
        </is>
      </c>
      <c r="J70" s="12">
        <f>IF(G70="","",IFERROR(INDEX(DAFTAR_FIXTURE!$B$2:$B$51,MATCH(G70,DAFTAR_FIXTURE!$A$2:$A$51,0)),""))</f>
        <v/>
      </c>
      <c r="K70" s="12">
        <f>IF(OR(J70="",H70=""),"",IFERROR(INDEX(LAYOUT!$D$2:$D$34,MATCH(J70&amp;"|"&amp;H70,LAYOUT!$E$2:$E$34,0)),"zona tidak ada di layout"))</f>
        <v/>
      </c>
      <c r="L70" s="12">
        <f>IF(OR(G70="",A70=""),"",COUNTIFS($G$2:$G$500,G70,$H$2:$H$500,H70,$A$2:$A$500,"&lt;&gt;"))</f>
        <v/>
      </c>
      <c r="M70" s="12">
        <f>IF(AND(A70="",G70=""),"",IF(G70="","Belum ditempatkan",IF(J70="","CEK ID FIXTURE tidak ada di DAFTAR_FIXTURE",IF(H70="","CEK ZONA NO kosong",IF(K70="zona tidak ada di layout","CEK ZONA NO di luar layout",IF(I70&lt;&gt;K70,"CEK JENIS ZONA",IF(A70="","Zona STOCK",IF(B70="","CEK SKU DESCRIPTION kosong","OK"))))))))</f>
        <v/>
      </c>
    </row>
    <row r="71">
      <c r="A71" s="10" t="inlineStr">
        <is>
          <t>10198160</t>
        </is>
      </c>
      <c r="B71" s="11" t="inlineStr">
        <is>
          <t>TANTA NYLON WHISK</t>
        </is>
      </c>
      <c r="C71" s="11" t="inlineStr">
        <is>
          <t>ALAT MASAK</t>
        </is>
      </c>
      <c r="D71" s="11" t="inlineStr">
        <is>
          <t>C1. KITCHEN TOOLS</t>
        </is>
      </c>
      <c r="E71" s="11" t="inlineStr">
        <is>
          <t>TANTA NYLON</t>
        </is>
      </c>
      <c r="F71" s="11" t="n"/>
      <c r="G71" s="11" t="inlineStr">
        <is>
          <t>GND-02</t>
        </is>
      </c>
      <c r="H71" s="11" t="n">
        <v>3</v>
      </c>
      <c r="I71" s="11" t="inlineStr">
        <is>
          <t>Gantungan</t>
        </is>
      </c>
      <c r="J71" s="12">
        <f>IF(G71="","",IFERROR(INDEX(DAFTAR_FIXTURE!$B$2:$B$51,MATCH(G71,DAFTAR_FIXTURE!$A$2:$A$51,0)),""))</f>
        <v/>
      </c>
      <c r="K71" s="12">
        <f>IF(OR(J71="",H71=""),"",IFERROR(INDEX(LAYOUT!$D$2:$D$34,MATCH(J71&amp;"|"&amp;H71,LAYOUT!$E$2:$E$34,0)),"zona tidak ada di layout"))</f>
        <v/>
      </c>
      <c r="L71" s="12">
        <f>IF(OR(G71="",A71=""),"",COUNTIFS($G$2:$G$500,G71,$H$2:$H$500,H71,$A$2:$A$500,"&lt;&gt;"))</f>
        <v/>
      </c>
      <c r="M71" s="12">
        <f>IF(AND(A71="",G71=""),"",IF(G71="","Belum ditempatkan",IF(J71="","CEK ID FIXTURE tidak ada di DAFTAR_FIXTURE",IF(H71="","CEK ZONA NO kosong",IF(K71="zona tidak ada di layout","CEK ZONA NO di luar layout",IF(I71&lt;&gt;K71,"CEK JENIS ZONA",IF(A71="","Zona STOCK",IF(B71="","CEK SKU DESCRIPTION kosong","OK"))))))))</f>
        <v/>
      </c>
    </row>
    <row r="72">
      <c r="A72" s="10" t="inlineStr">
        <is>
          <t>10198149</t>
        </is>
      </c>
      <c r="B72" s="11" t="inlineStr">
        <is>
          <t>TANTA STRAINER DIA 10CM</t>
        </is>
      </c>
      <c r="C72" s="11" t="inlineStr">
        <is>
          <t>ALAT MASAK</t>
        </is>
      </c>
      <c r="D72" s="11" t="inlineStr">
        <is>
          <t>C1. KITCHEN TOOLS</t>
        </is>
      </c>
      <c r="E72" s="11" t="inlineStr">
        <is>
          <t>TANTA S/S</t>
        </is>
      </c>
      <c r="F72" s="11" t="n"/>
      <c r="G72" s="11" t="inlineStr">
        <is>
          <t>GND-02</t>
        </is>
      </c>
      <c r="H72" s="11" t="n">
        <v>4</v>
      </c>
      <c r="I72" s="11" t="inlineStr">
        <is>
          <t>Gantungan</t>
        </is>
      </c>
      <c r="J72" s="12">
        <f>IF(G72="","",IFERROR(INDEX(DAFTAR_FIXTURE!$B$2:$B$51,MATCH(G72,DAFTAR_FIXTURE!$A$2:$A$51,0)),""))</f>
        <v/>
      </c>
      <c r="K72" s="12">
        <f>IF(OR(J72="",H72=""),"",IFERROR(INDEX(LAYOUT!$D$2:$D$34,MATCH(J72&amp;"|"&amp;H72,LAYOUT!$E$2:$E$34,0)),"zona tidak ada di layout"))</f>
        <v/>
      </c>
      <c r="L72" s="12">
        <f>IF(OR(G72="",A72=""),"",COUNTIFS($G$2:$G$500,G72,$H$2:$H$500,H72,$A$2:$A$500,"&lt;&gt;"))</f>
        <v/>
      </c>
      <c r="M72" s="12">
        <f>IF(AND(A72="",G72=""),"",IF(G72="","Belum ditempatkan",IF(J72="","CEK ID FIXTURE tidak ada di DAFTAR_FIXTURE",IF(H72="","CEK ZONA NO kosong",IF(K72="zona tidak ada di layout","CEK ZONA NO di luar layout",IF(I72&lt;&gt;K72,"CEK JENIS ZONA",IF(A72="","Zona STOCK",IF(B72="","CEK SKU DESCRIPTION kosong","OK"))))))))</f>
        <v/>
      </c>
    </row>
    <row r="73">
      <c r="A73" s="10" t="inlineStr">
        <is>
          <t>10198150</t>
        </is>
      </c>
      <c r="B73" s="11" t="inlineStr">
        <is>
          <t>TANTA NYLON TONGS 9 INCH</t>
        </is>
      </c>
      <c r="C73" s="11" t="inlineStr">
        <is>
          <t>ALAT MASAK</t>
        </is>
      </c>
      <c r="D73" s="11" t="inlineStr">
        <is>
          <t>C1. KITCHEN TOOLS</t>
        </is>
      </c>
      <c r="E73" s="11" t="inlineStr">
        <is>
          <t>TANTA NYLON</t>
        </is>
      </c>
      <c r="F73" s="11" t="n"/>
      <c r="G73" s="11" t="inlineStr">
        <is>
          <t>GND-02</t>
        </is>
      </c>
      <c r="H73" s="11" t="n">
        <v>4</v>
      </c>
      <c r="I73" s="11" t="inlineStr">
        <is>
          <t>Gantungan</t>
        </is>
      </c>
      <c r="J73" s="12">
        <f>IF(G73="","",IFERROR(INDEX(DAFTAR_FIXTURE!$B$2:$B$51,MATCH(G73,DAFTAR_FIXTURE!$A$2:$A$51,0)),""))</f>
        <v/>
      </c>
      <c r="K73" s="12">
        <f>IF(OR(J73="",H73=""),"",IFERROR(INDEX(LAYOUT!$D$2:$D$34,MATCH(J73&amp;"|"&amp;H73,LAYOUT!$E$2:$E$34,0)),"zona tidak ada di layout"))</f>
        <v/>
      </c>
      <c r="L73" s="12">
        <f>IF(OR(G73="",A73=""),"",COUNTIFS($G$2:$G$500,G73,$H$2:$H$500,H73,$A$2:$A$500,"&lt;&gt;"))</f>
        <v/>
      </c>
      <c r="M73" s="12">
        <f>IF(AND(A73="",G73=""),"",IF(G73="","Belum ditempatkan",IF(J73="","CEK ID FIXTURE tidak ada di DAFTAR_FIXTURE",IF(H73="","CEK ZONA NO kosong",IF(K73="zona tidak ada di layout","CEK ZONA NO di luar layout",IF(I73&lt;&gt;K73,"CEK JENIS ZONA",IF(A73="","Zona STOCK",IF(B73="","CEK SKU DESCRIPTION kosong","OK"))))))))</f>
        <v/>
      </c>
    </row>
    <row r="74">
      <c r="A74" s="10" t="inlineStr">
        <is>
          <t>10198151</t>
        </is>
      </c>
      <c r="B74" s="11" t="inlineStr">
        <is>
          <t>TANTA NYLON TONGS 12 INCH</t>
        </is>
      </c>
      <c r="C74" s="11" t="inlineStr">
        <is>
          <t>ALAT MASAK</t>
        </is>
      </c>
      <c r="D74" s="11" t="inlineStr">
        <is>
          <t>C1. KITCHEN TOOLS</t>
        </is>
      </c>
      <c r="E74" s="11" t="inlineStr">
        <is>
          <t>TANTA NYLON</t>
        </is>
      </c>
      <c r="F74" s="11" t="n"/>
      <c r="G74" s="11" t="inlineStr">
        <is>
          <t>GND-02</t>
        </is>
      </c>
      <c r="H74" s="11" t="n">
        <v>4</v>
      </c>
      <c r="I74" s="11" t="inlineStr">
        <is>
          <t>Gantungan</t>
        </is>
      </c>
      <c r="J74" s="12">
        <f>IF(G74="","",IFERROR(INDEX(DAFTAR_FIXTURE!$B$2:$B$51,MATCH(G74,DAFTAR_FIXTURE!$A$2:$A$51,0)),""))</f>
        <v/>
      </c>
      <c r="K74" s="12">
        <f>IF(OR(J74="",H74=""),"",IFERROR(INDEX(LAYOUT!$D$2:$D$34,MATCH(J74&amp;"|"&amp;H74,LAYOUT!$E$2:$E$34,0)),"zona tidak ada di layout"))</f>
        <v/>
      </c>
      <c r="L74" s="12">
        <f>IF(OR(G74="",A74=""),"",COUNTIFS($G$2:$G$500,G74,$H$2:$H$500,H74,$A$2:$A$500,"&lt;&gt;"))</f>
        <v/>
      </c>
      <c r="M74" s="12">
        <f>IF(AND(A74="",G74=""),"",IF(G74="","Belum ditempatkan",IF(J74="","CEK ID FIXTURE tidak ada di DAFTAR_FIXTURE",IF(H74="","CEK ZONA NO kosong",IF(K74="zona tidak ada di layout","CEK ZONA NO di luar layout",IF(I74&lt;&gt;K74,"CEK JENIS ZONA",IF(A74="","Zona STOCK",IF(B74="","CEK SKU DESCRIPTION kosong","OK"))))))))</f>
        <v/>
      </c>
    </row>
    <row r="75">
      <c r="A75" s="10" t="inlineStr">
        <is>
          <t>10198152</t>
        </is>
      </c>
      <c r="B75" s="11" t="inlineStr">
        <is>
          <t>TANTA S/S SOLID TURNER M</t>
        </is>
      </c>
      <c r="C75" s="11" t="inlineStr">
        <is>
          <t>ALAT MASAK</t>
        </is>
      </c>
      <c r="D75" s="11" t="inlineStr">
        <is>
          <t>C1. KITCHEN TOOLS</t>
        </is>
      </c>
      <c r="E75" s="11" t="inlineStr">
        <is>
          <t>TANTA S/S</t>
        </is>
      </c>
      <c r="F75" s="11" t="n"/>
      <c r="G75" s="11" t="inlineStr">
        <is>
          <t>GND-02</t>
        </is>
      </c>
      <c r="H75" s="11" t="n">
        <v>4</v>
      </c>
      <c r="I75" s="11" t="inlineStr">
        <is>
          <t>Gantungan</t>
        </is>
      </c>
      <c r="J75" s="12">
        <f>IF(G75="","",IFERROR(INDEX(DAFTAR_FIXTURE!$B$2:$B$51,MATCH(G75,DAFTAR_FIXTURE!$A$2:$A$51,0)),""))</f>
        <v/>
      </c>
      <c r="K75" s="12">
        <f>IF(OR(J75="",H75=""),"",IFERROR(INDEX(LAYOUT!$D$2:$D$34,MATCH(J75&amp;"|"&amp;H75,LAYOUT!$E$2:$E$34,0)),"zona tidak ada di layout"))</f>
        <v/>
      </c>
      <c r="L75" s="12">
        <f>IF(OR(G75="",A75=""),"",COUNTIFS($G$2:$G$500,G75,$H$2:$H$500,H75,$A$2:$A$500,"&lt;&gt;"))</f>
        <v/>
      </c>
      <c r="M75" s="12">
        <f>IF(AND(A75="",G75=""),"",IF(G75="","Belum ditempatkan",IF(J75="","CEK ID FIXTURE tidak ada di DAFTAR_FIXTURE",IF(H75="","CEK ZONA NO kosong",IF(K75="zona tidak ada di layout","CEK ZONA NO di luar layout",IF(I75&lt;&gt;K75,"CEK JENIS ZONA",IF(A75="","Zona STOCK",IF(B75="","CEK SKU DESCRIPTION kosong","OK"))))))))</f>
        <v/>
      </c>
    </row>
    <row r="76">
      <c r="A76" s="10" t="inlineStr">
        <is>
          <t>10198154</t>
        </is>
      </c>
      <c r="B76" s="11" t="inlineStr">
        <is>
          <t>TANTA S/S LADLE</t>
        </is>
      </c>
      <c r="C76" s="11" t="inlineStr">
        <is>
          <t>ALAT MASAK</t>
        </is>
      </c>
      <c r="D76" s="11" t="inlineStr">
        <is>
          <t>C1. KITCHEN TOOLS</t>
        </is>
      </c>
      <c r="E76" s="11" t="inlineStr">
        <is>
          <t>TANTA S/S</t>
        </is>
      </c>
      <c r="F76" s="11" t="n"/>
      <c r="G76" s="11" t="inlineStr">
        <is>
          <t>GND-02</t>
        </is>
      </c>
      <c r="H76" s="11" t="n">
        <v>4</v>
      </c>
      <c r="I76" s="11" t="inlineStr">
        <is>
          <t>Gantungan</t>
        </is>
      </c>
      <c r="J76" s="12">
        <f>IF(G76="","",IFERROR(INDEX(DAFTAR_FIXTURE!$B$2:$B$51,MATCH(G76,DAFTAR_FIXTURE!$A$2:$A$51,0)),""))</f>
        <v/>
      </c>
      <c r="K76" s="12">
        <f>IF(OR(J76="",H76=""),"",IFERROR(INDEX(LAYOUT!$D$2:$D$34,MATCH(J76&amp;"|"&amp;H76,LAYOUT!$E$2:$E$34,0)),"zona tidak ada di layout"))</f>
        <v/>
      </c>
      <c r="L76" s="12">
        <f>IF(OR(G76="",A76=""),"",COUNTIFS($G$2:$G$500,G76,$H$2:$H$500,H76,$A$2:$A$500,"&lt;&gt;"))</f>
        <v/>
      </c>
      <c r="M76" s="12">
        <f>IF(AND(A76="",G76=""),"",IF(G76="","Belum ditempatkan",IF(J76="","CEK ID FIXTURE tidak ada di DAFTAR_FIXTURE",IF(H76="","CEK ZONA NO kosong",IF(K76="zona tidak ada di layout","CEK ZONA NO di luar layout",IF(I76&lt;&gt;K76,"CEK JENIS ZONA",IF(A76="","Zona STOCK",IF(B76="","CEK SKU DESCRIPTION kosong","OK"))))))))</f>
        <v/>
      </c>
    </row>
    <row r="77">
      <c r="A77" s="10" t="inlineStr">
        <is>
          <t>10198156</t>
        </is>
      </c>
      <c r="B77" s="11" t="inlineStr">
        <is>
          <t>TANTA NYLON SLOTTED TURNER M</t>
        </is>
      </c>
      <c r="C77" s="11" t="inlineStr">
        <is>
          <t>ALAT MASAK</t>
        </is>
      </c>
      <c r="D77" s="11" t="inlineStr">
        <is>
          <t>C1. KITCHEN TOOLS</t>
        </is>
      </c>
      <c r="E77" s="11" t="inlineStr">
        <is>
          <t>TANTA NYLON</t>
        </is>
      </c>
      <c r="F77" s="11" t="n"/>
      <c r="G77" s="11" t="inlineStr">
        <is>
          <t>GND-02</t>
        </is>
      </c>
      <c r="H77" s="11" t="n">
        <v>4</v>
      </c>
      <c r="I77" s="11" t="inlineStr">
        <is>
          <t>Gantungan</t>
        </is>
      </c>
      <c r="J77" s="12">
        <f>IF(G77="","",IFERROR(INDEX(DAFTAR_FIXTURE!$B$2:$B$51,MATCH(G77,DAFTAR_FIXTURE!$A$2:$A$51,0)),""))</f>
        <v/>
      </c>
      <c r="K77" s="12">
        <f>IF(OR(J77="",H77=""),"",IFERROR(INDEX(LAYOUT!$D$2:$D$34,MATCH(J77&amp;"|"&amp;H77,LAYOUT!$E$2:$E$34,0)),"zona tidak ada di layout"))</f>
        <v/>
      </c>
      <c r="L77" s="12">
        <f>IF(OR(G77="",A77=""),"",COUNTIFS($G$2:$G$500,G77,$H$2:$H$500,H77,$A$2:$A$500,"&lt;&gt;"))</f>
        <v/>
      </c>
      <c r="M77" s="12">
        <f>IF(AND(A77="",G77=""),"",IF(G77="","Belum ditempatkan",IF(J77="","CEK ID FIXTURE tidak ada di DAFTAR_FIXTURE",IF(H77="","CEK ZONA NO kosong",IF(K77="zona tidak ada di layout","CEK ZONA NO di luar layout",IF(I77&lt;&gt;K77,"CEK JENIS ZONA",IF(A77="","Zona STOCK",IF(B77="","CEK SKU DESCRIPTION kosong","OK"))))))))</f>
        <v/>
      </c>
    </row>
    <row r="78">
      <c r="A78" s="10" t="inlineStr">
        <is>
          <t>10198157</t>
        </is>
      </c>
      <c r="B78" s="11" t="inlineStr">
        <is>
          <t>TANTA NYLON SOLID TURNER L</t>
        </is>
      </c>
      <c r="C78" s="11" t="inlineStr">
        <is>
          <t>ALAT MASAK</t>
        </is>
      </c>
      <c r="D78" s="11" t="inlineStr">
        <is>
          <t>C1. KITCHEN TOOLS</t>
        </is>
      </c>
      <c r="E78" s="11" t="inlineStr">
        <is>
          <t>TANTA NYLON</t>
        </is>
      </c>
      <c r="F78" s="11" t="n"/>
      <c r="G78" s="11" t="inlineStr">
        <is>
          <t>GND-02</t>
        </is>
      </c>
      <c r="H78" s="11" t="n">
        <v>4</v>
      </c>
      <c r="I78" s="11" t="inlineStr">
        <is>
          <t>Gantungan</t>
        </is>
      </c>
      <c r="J78" s="12">
        <f>IF(G78="","",IFERROR(INDEX(DAFTAR_FIXTURE!$B$2:$B$51,MATCH(G78,DAFTAR_FIXTURE!$A$2:$A$51,0)),""))</f>
        <v/>
      </c>
      <c r="K78" s="12">
        <f>IF(OR(J78="",H78=""),"",IFERROR(INDEX(LAYOUT!$D$2:$D$34,MATCH(J78&amp;"|"&amp;H78,LAYOUT!$E$2:$E$34,0)),"zona tidak ada di layout"))</f>
        <v/>
      </c>
      <c r="L78" s="12">
        <f>IF(OR(G78="",A78=""),"",COUNTIFS($G$2:$G$500,G78,$H$2:$H$500,H78,$A$2:$A$500,"&lt;&gt;"))</f>
        <v/>
      </c>
      <c r="M78" s="12">
        <f>IF(AND(A78="",G78=""),"",IF(G78="","Belum ditempatkan",IF(J78="","CEK ID FIXTURE tidak ada di DAFTAR_FIXTURE",IF(H78="","CEK ZONA NO kosong",IF(K78="zona tidak ada di layout","CEK ZONA NO di luar layout",IF(I78&lt;&gt;K78,"CEK JENIS ZONA",IF(A78="","Zona STOCK",IF(B78="","CEK SKU DESCRIPTION kosong","OK"))))))))</f>
        <v/>
      </c>
    </row>
    <row r="79">
      <c r="A79" s="10" t="inlineStr">
        <is>
          <t>10198159</t>
        </is>
      </c>
      <c r="B79" s="11" t="inlineStr">
        <is>
          <t>TANTA NYLON LADLE</t>
        </is>
      </c>
      <c r="C79" s="11" t="inlineStr">
        <is>
          <t>ALAT MASAK</t>
        </is>
      </c>
      <c r="D79" s="11" t="inlineStr">
        <is>
          <t>C1. KITCHEN TOOLS</t>
        </is>
      </c>
      <c r="E79" s="11" t="inlineStr">
        <is>
          <t>TANTA NYLON</t>
        </is>
      </c>
      <c r="F79" s="11" t="n"/>
      <c r="G79" s="11" t="inlineStr">
        <is>
          <t>GND-02</t>
        </is>
      </c>
      <c r="H79" s="11" t="n">
        <v>4</v>
      </c>
      <c r="I79" s="11" t="inlineStr">
        <is>
          <t>Gantungan</t>
        </is>
      </c>
      <c r="J79" s="12">
        <f>IF(G79="","",IFERROR(INDEX(DAFTAR_FIXTURE!$B$2:$B$51,MATCH(G79,DAFTAR_FIXTURE!$A$2:$A$51,0)),""))</f>
        <v/>
      </c>
      <c r="K79" s="12">
        <f>IF(OR(J79="",H79=""),"",IFERROR(INDEX(LAYOUT!$D$2:$D$34,MATCH(J79&amp;"|"&amp;H79,LAYOUT!$E$2:$E$34,0)),"zona tidak ada di layout"))</f>
        <v/>
      </c>
      <c r="L79" s="12">
        <f>IF(OR(G79="",A79=""),"",COUNTIFS($G$2:$G$500,G79,$H$2:$H$500,H79,$A$2:$A$500,"&lt;&gt;"))</f>
        <v/>
      </c>
      <c r="M79" s="12">
        <f>IF(AND(A79="",G79=""),"",IF(G79="","Belum ditempatkan",IF(J79="","CEK ID FIXTURE tidak ada di DAFTAR_FIXTURE",IF(H79="","CEK ZONA NO kosong",IF(K79="zona tidak ada di layout","CEK ZONA NO di luar layout",IF(I79&lt;&gt;K79,"CEK JENIS ZONA",IF(A79="","Zona STOCK",IF(B79="","CEK SKU DESCRIPTION kosong","OK"))))))))</f>
        <v/>
      </c>
    </row>
    <row r="80">
      <c r="A80" s="10" t="inlineStr">
        <is>
          <t>10198160</t>
        </is>
      </c>
      <c r="B80" s="11" t="inlineStr">
        <is>
          <t>TANTA NYLON WHISK</t>
        </is>
      </c>
      <c r="C80" s="11" t="inlineStr">
        <is>
          <t>ALAT MASAK</t>
        </is>
      </c>
      <c r="D80" s="11" t="inlineStr">
        <is>
          <t>C1. KITCHEN TOOLS</t>
        </is>
      </c>
      <c r="E80" s="11" t="inlineStr">
        <is>
          <t>TANTA NYLON</t>
        </is>
      </c>
      <c r="F80" s="11" t="n"/>
      <c r="G80" s="11" t="inlineStr">
        <is>
          <t>GND-02</t>
        </is>
      </c>
      <c r="H80" s="11" t="n">
        <v>4</v>
      </c>
      <c r="I80" s="11" t="inlineStr">
        <is>
          <t>Gantungan</t>
        </is>
      </c>
      <c r="J80" s="12">
        <f>IF(G80="","",IFERROR(INDEX(DAFTAR_FIXTURE!$B$2:$B$51,MATCH(G80,DAFTAR_FIXTURE!$A$2:$A$51,0)),""))</f>
        <v/>
      </c>
      <c r="K80" s="12">
        <f>IF(OR(J80="",H80=""),"",IFERROR(INDEX(LAYOUT!$D$2:$D$34,MATCH(J80&amp;"|"&amp;H80,LAYOUT!$E$2:$E$34,0)),"zona tidak ada di layout"))</f>
        <v/>
      </c>
      <c r="L80" s="12">
        <f>IF(OR(G80="",A80=""),"",COUNTIFS($G$2:$G$500,G80,$H$2:$H$500,H80,$A$2:$A$500,"&lt;&gt;"))</f>
        <v/>
      </c>
      <c r="M80" s="12">
        <f>IF(AND(A80="",G80=""),"",IF(G80="","Belum ditempatkan",IF(J80="","CEK ID FIXTURE tidak ada di DAFTAR_FIXTURE",IF(H80="","CEK ZONA NO kosong",IF(K80="zona tidak ada di layout","CEK ZONA NO di luar layout",IF(I80&lt;&gt;K80,"CEK JENIS ZONA",IF(A80="","Zona STOCK",IF(B80="","CEK SKU DESCRIPTION kosong","OK"))))))))</f>
        <v/>
      </c>
    </row>
    <row r="81">
      <c r="A81" s="10" t="inlineStr">
        <is>
          <t>10421603</t>
        </is>
      </c>
      <c r="B81" s="11" t="inlineStr">
        <is>
          <t>KINGSTON SAUCEPAN WITH LID 16CM GREEN</t>
        </is>
      </c>
      <c r="C81" s="11" t="inlineStr">
        <is>
          <t>MASAK</t>
        </is>
      </c>
      <c r="D81" s="11" t="inlineStr">
        <is>
          <t>B2. COOKWARE</t>
        </is>
      </c>
      <c r="E81" s="11" t="inlineStr">
        <is>
          <t>KINGSTON</t>
        </is>
      </c>
      <c r="F81" s="11" t="n"/>
      <c r="G81" s="11" t="inlineStr">
        <is>
          <t>GND-03</t>
        </is>
      </c>
      <c r="H81" s="11" t="n">
        <v>1</v>
      </c>
      <c r="I81" s="11" t="inlineStr">
        <is>
          <t>Rak</t>
        </is>
      </c>
      <c r="J81" s="12">
        <f>IF(G81="","",IFERROR(INDEX(DAFTAR_FIXTURE!$B$2:$B$51,MATCH(G81,DAFTAR_FIXTURE!$A$2:$A$51,0)),""))</f>
        <v/>
      </c>
      <c r="K81" s="12">
        <f>IF(OR(J81="",H81=""),"",IFERROR(INDEX(LAYOUT!$D$2:$D$34,MATCH(J81&amp;"|"&amp;H81,LAYOUT!$E$2:$E$34,0)),"zona tidak ada di layout"))</f>
        <v/>
      </c>
      <c r="L81" s="12">
        <f>IF(OR(G81="",A81=""),"",COUNTIFS($G$2:$G$500,G81,$H$2:$H$500,H81,$A$2:$A$500,"&lt;&gt;"))</f>
        <v/>
      </c>
      <c r="M81" s="12">
        <f>IF(AND(A81="",G81=""),"",IF(G81="","Belum ditempatkan",IF(J81="","CEK ID FIXTURE tidak ada di DAFTAR_FIXTURE",IF(H81="","CEK ZONA NO kosong",IF(K81="zona tidak ada di layout","CEK ZONA NO di luar layout",IF(I81&lt;&gt;K81,"CEK JENIS ZONA",IF(A81="","Zona STOCK",IF(B81="","CEK SKU DESCRIPTION kosong","OK"))))))))</f>
        <v/>
      </c>
    </row>
    <row r="82">
      <c r="A82" s="10" t="inlineStr">
        <is>
          <t>10421608</t>
        </is>
      </c>
      <c r="B82" s="11" t="inlineStr">
        <is>
          <t>KINGSTON CASSEROLE WITH LID 20 CM GREEN</t>
        </is>
      </c>
      <c r="C82" s="11" t="inlineStr">
        <is>
          <t>MASAK</t>
        </is>
      </c>
      <c r="D82" s="11" t="inlineStr">
        <is>
          <t>B2. COOKWARE</t>
        </is>
      </c>
      <c r="E82" s="11" t="inlineStr">
        <is>
          <t>KINGSTON</t>
        </is>
      </c>
      <c r="F82" s="11" t="n"/>
      <c r="G82" s="11" t="inlineStr">
        <is>
          <t>GND-03</t>
        </is>
      </c>
      <c r="H82" s="11" t="n">
        <v>1</v>
      </c>
      <c r="I82" s="11" t="inlineStr">
        <is>
          <t>Rak</t>
        </is>
      </c>
      <c r="J82" s="12">
        <f>IF(G82="","",IFERROR(INDEX(DAFTAR_FIXTURE!$B$2:$B$51,MATCH(G82,DAFTAR_FIXTURE!$A$2:$A$51,0)),""))</f>
        <v/>
      </c>
      <c r="K82" s="12">
        <f>IF(OR(J82="",H82=""),"",IFERROR(INDEX(LAYOUT!$D$2:$D$34,MATCH(J82&amp;"|"&amp;H82,LAYOUT!$E$2:$E$34,0)),"zona tidak ada di layout"))</f>
        <v/>
      </c>
      <c r="L82" s="12">
        <f>IF(OR(G82="",A82=""),"",COUNTIFS($G$2:$G$500,G82,$H$2:$H$500,H82,$A$2:$A$500,"&lt;&gt;"))</f>
        <v/>
      </c>
      <c r="M82" s="12">
        <f>IF(AND(A82="",G82=""),"",IF(G82="","Belum ditempatkan",IF(J82="","CEK ID FIXTURE tidak ada di DAFTAR_FIXTURE",IF(H82="","CEK ZONA NO kosong",IF(K82="zona tidak ada di layout","CEK ZONA NO di luar layout",IF(I82&lt;&gt;K82,"CEK JENIS ZONA",IF(A82="","Zona STOCK",IF(B82="","CEK SKU DESCRIPTION kosong","OK"))))))))</f>
        <v/>
      </c>
    </row>
    <row r="83">
      <c r="A83" s="10" t="inlineStr">
        <is>
          <t>10421610</t>
        </is>
      </c>
      <c r="B83" s="11" t="inlineStr">
        <is>
          <t>KINGSTON GRILL PAN 24CM GREEN</t>
        </is>
      </c>
      <c r="C83" s="11" t="inlineStr">
        <is>
          <t>MASAK</t>
        </is>
      </c>
      <c r="D83" s="11" t="inlineStr">
        <is>
          <t>B2. COOKWARE</t>
        </is>
      </c>
      <c r="E83" s="11" t="inlineStr">
        <is>
          <t>KINGSTON</t>
        </is>
      </c>
      <c r="F83" s="11" t="n"/>
      <c r="G83" s="11" t="inlineStr">
        <is>
          <t>GND-03</t>
        </is>
      </c>
      <c r="H83" s="11" t="n">
        <v>1</v>
      </c>
      <c r="I83" s="11" t="inlineStr">
        <is>
          <t>Rak</t>
        </is>
      </c>
      <c r="J83" s="12">
        <f>IF(G83="","",IFERROR(INDEX(DAFTAR_FIXTURE!$B$2:$B$51,MATCH(G83,DAFTAR_FIXTURE!$A$2:$A$51,0)),""))</f>
        <v/>
      </c>
      <c r="K83" s="12">
        <f>IF(OR(J83="",H83=""),"",IFERROR(INDEX(LAYOUT!$D$2:$D$34,MATCH(J83&amp;"|"&amp;H83,LAYOUT!$E$2:$E$34,0)),"zona tidak ada di layout"))</f>
        <v/>
      </c>
      <c r="L83" s="12">
        <f>IF(OR(G83="",A83=""),"",COUNTIFS($G$2:$G$500,G83,$H$2:$H$500,H83,$A$2:$A$500,"&lt;&gt;"))</f>
        <v/>
      </c>
      <c r="M83" s="12">
        <f>IF(AND(A83="",G83=""),"",IF(G83="","Belum ditempatkan",IF(J83="","CEK ID FIXTURE tidak ada di DAFTAR_FIXTURE",IF(H83="","CEK ZONA NO kosong",IF(K83="zona tidak ada di layout","CEK ZONA NO di luar layout",IF(I83&lt;&gt;K83,"CEK JENIS ZONA",IF(A83="","Zona STOCK",IF(B83="","CEK SKU DESCRIPTION kosong","OK"))))))))</f>
        <v/>
      </c>
    </row>
    <row r="84">
      <c r="A84" s="10" t="inlineStr">
        <is>
          <t>10421614</t>
        </is>
      </c>
      <c r="B84" s="11" t="inlineStr">
        <is>
          <t>KIRA WOK 2 HANDLE W LID AND UTENSIL BRN</t>
        </is>
      </c>
      <c r="C84" s="11" t="inlineStr">
        <is>
          <t>MASAK</t>
        </is>
      </c>
      <c r="D84" s="11" t="inlineStr">
        <is>
          <t>B2. COOKWARE</t>
        </is>
      </c>
      <c r="E84" s="11" t="inlineStr">
        <is>
          <t>KIRA</t>
        </is>
      </c>
      <c r="F84" s="11" t="n"/>
      <c r="G84" s="11" t="inlineStr">
        <is>
          <t>GND-03</t>
        </is>
      </c>
      <c r="H84" s="11" t="n">
        <v>1</v>
      </c>
      <c r="I84" s="11" t="inlineStr">
        <is>
          <t>Rak</t>
        </is>
      </c>
      <c r="J84" s="12">
        <f>IF(G84="","",IFERROR(INDEX(DAFTAR_FIXTURE!$B$2:$B$51,MATCH(G84,DAFTAR_FIXTURE!$A$2:$A$51,0)),""))</f>
        <v/>
      </c>
      <c r="K84" s="12">
        <f>IF(OR(J84="",H84=""),"",IFERROR(INDEX(LAYOUT!$D$2:$D$34,MATCH(J84&amp;"|"&amp;H84,LAYOUT!$E$2:$E$34,0)),"zona tidak ada di layout"))</f>
        <v/>
      </c>
      <c r="L84" s="12">
        <f>IF(OR(G84="",A84=""),"",COUNTIFS($G$2:$G$500,G84,$H$2:$H$500,H84,$A$2:$A$500,"&lt;&gt;"))</f>
        <v/>
      </c>
      <c r="M84" s="12">
        <f>IF(AND(A84="",G84=""),"",IF(G84="","Belum ditempatkan",IF(J84="","CEK ID FIXTURE tidak ada di DAFTAR_FIXTURE",IF(H84="","CEK ZONA NO kosong",IF(K84="zona tidak ada di layout","CEK ZONA NO di luar layout",IF(I84&lt;&gt;K84,"CEK JENIS ZONA",IF(A84="","Zona STOCK",IF(B84="","CEK SKU DESCRIPTION kosong","OK"))))))))</f>
        <v/>
      </c>
    </row>
    <row r="85">
      <c r="A85" s="10" t="inlineStr">
        <is>
          <t>10198149</t>
        </is>
      </c>
      <c r="B85" s="11" t="inlineStr">
        <is>
          <t>TANTA STRAINER DIA 10CM</t>
        </is>
      </c>
      <c r="C85" s="11" t="inlineStr">
        <is>
          <t>ALAT MASAK</t>
        </is>
      </c>
      <c r="D85" s="11" t="inlineStr">
        <is>
          <t>C1. KITCHEN TOOLS</t>
        </is>
      </c>
      <c r="E85" s="11" t="inlineStr">
        <is>
          <t>TANTA S/S</t>
        </is>
      </c>
      <c r="F85" s="11" t="n"/>
      <c r="G85" s="11" t="inlineStr">
        <is>
          <t>GND-02</t>
        </is>
      </c>
      <c r="H85" s="11" t="n">
        <v>2</v>
      </c>
      <c r="I85" s="11" t="inlineStr">
        <is>
          <t>Gantungan</t>
        </is>
      </c>
      <c r="J85" s="12">
        <f>IF(G85="","",IFERROR(INDEX(DAFTAR_FIXTURE!$B$2:$B$51,MATCH(G85,DAFTAR_FIXTURE!$A$2:$A$51,0)),""))</f>
        <v/>
      </c>
      <c r="K85" s="12">
        <f>IF(OR(J85="",H85=""),"",IFERROR(INDEX(LAYOUT!$D$2:$D$34,MATCH(J85&amp;"|"&amp;H85,LAYOUT!$E$2:$E$34,0)),"zona tidak ada di layout"))</f>
        <v/>
      </c>
      <c r="L85" s="12">
        <f>IF(OR(G85="",A85=""),"",COUNTIFS($G$2:$G$500,G85,$H$2:$H$500,H85,$A$2:$A$500,"&lt;&gt;"))</f>
        <v/>
      </c>
      <c r="M85" s="12">
        <f>IF(AND(A85="",G85=""),"",IF(G85="","Belum ditempatkan",IF(J85="","CEK ID FIXTURE tidak ada di DAFTAR_FIXTURE",IF(H85="","CEK ZONA NO kosong",IF(K85="zona tidak ada di layout","CEK ZONA NO di luar layout",IF(I85&lt;&gt;K85,"CEK JENIS ZONA",IF(A85="","Zona STOCK",IF(B85="","CEK SKU DESCRIPTION kosong","OK"))))))))</f>
        <v/>
      </c>
    </row>
    <row r="86">
      <c r="A86" s="10" t="inlineStr">
        <is>
          <t>10198150</t>
        </is>
      </c>
      <c r="B86" s="11" t="inlineStr">
        <is>
          <t>TANTA NYLON TONGS 9 INCH</t>
        </is>
      </c>
      <c r="C86" s="11" t="inlineStr">
        <is>
          <t>ALAT MASAK</t>
        </is>
      </c>
      <c r="D86" s="11" t="inlineStr">
        <is>
          <t>C1. KITCHEN TOOLS</t>
        </is>
      </c>
      <c r="E86" s="11" t="inlineStr">
        <is>
          <t>TANTA NYLON</t>
        </is>
      </c>
      <c r="F86" s="11" t="n"/>
      <c r="G86" s="11" t="inlineStr">
        <is>
          <t>GND-02</t>
        </is>
      </c>
      <c r="H86" s="11" t="n">
        <v>2</v>
      </c>
      <c r="I86" s="11" t="inlineStr">
        <is>
          <t>Gantungan</t>
        </is>
      </c>
      <c r="J86" s="12">
        <f>IF(G86="","",IFERROR(INDEX(DAFTAR_FIXTURE!$B$2:$B$51,MATCH(G86,DAFTAR_FIXTURE!$A$2:$A$51,0)),""))</f>
        <v/>
      </c>
      <c r="K86" s="12">
        <f>IF(OR(J86="",H86=""),"",IFERROR(INDEX(LAYOUT!$D$2:$D$34,MATCH(J86&amp;"|"&amp;H86,LAYOUT!$E$2:$E$34,0)),"zona tidak ada di layout"))</f>
        <v/>
      </c>
      <c r="L86" s="12">
        <f>IF(OR(G86="",A86=""),"",COUNTIFS($G$2:$G$500,G86,$H$2:$H$500,H86,$A$2:$A$500,"&lt;&gt;"))</f>
        <v/>
      </c>
      <c r="M86" s="12">
        <f>IF(AND(A86="",G86=""),"",IF(G86="","Belum ditempatkan",IF(J86="","CEK ID FIXTURE tidak ada di DAFTAR_FIXTURE",IF(H86="","CEK ZONA NO kosong",IF(K86="zona tidak ada di layout","CEK ZONA NO di luar layout",IF(I86&lt;&gt;K86,"CEK JENIS ZONA",IF(A86="","Zona STOCK",IF(B86="","CEK SKU DESCRIPTION kosong","OK"))))))))</f>
        <v/>
      </c>
    </row>
    <row r="87">
      <c r="A87" s="10" t="inlineStr">
        <is>
          <t>10198151</t>
        </is>
      </c>
      <c r="B87" s="11" t="inlineStr">
        <is>
          <t>TANTA NYLON TONGS 12 INCH</t>
        </is>
      </c>
      <c r="C87" s="11" t="inlineStr">
        <is>
          <t>ALAT MASAK</t>
        </is>
      </c>
      <c r="D87" s="11" t="inlineStr">
        <is>
          <t>C1. KITCHEN TOOLS</t>
        </is>
      </c>
      <c r="E87" s="11" t="inlineStr">
        <is>
          <t>TANTA NYLON</t>
        </is>
      </c>
      <c r="F87" s="11" t="n"/>
      <c r="G87" s="11" t="inlineStr">
        <is>
          <t>GND-02</t>
        </is>
      </c>
      <c r="H87" s="11" t="n">
        <v>2</v>
      </c>
      <c r="I87" s="11" t="inlineStr">
        <is>
          <t>Gantungan</t>
        </is>
      </c>
      <c r="J87" s="12">
        <f>IF(G87="","",IFERROR(INDEX(DAFTAR_FIXTURE!$B$2:$B$51,MATCH(G87,DAFTAR_FIXTURE!$A$2:$A$51,0)),""))</f>
        <v/>
      </c>
      <c r="K87" s="12">
        <f>IF(OR(J87="",H87=""),"",IFERROR(INDEX(LAYOUT!$D$2:$D$34,MATCH(J87&amp;"|"&amp;H87,LAYOUT!$E$2:$E$34,0)),"zona tidak ada di layout"))</f>
        <v/>
      </c>
      <c r="L87" s="12">
        <f>IF(OR(G87="",A87=""),"",COUNTIFS($G$2:$G$500,G87,$H$2:$H$500,H87,$A$2:$A$500,"&lt;&gt;"))</f>
        <v/>
      </c>
      <c r="M87" s="12">
        <f>IF(AND(A87="",G87=""),"",IF(G87="","Belum ditempatkan",IF(J87="","CEK ID FIXTURE tidak ada di DAFTAR_FIXTURE",IF(H87="","CEK ZONA NO kosong",IF(K87="zona tidak ada di layout","CEK ZONA NO di luar layout",IF(I87&lt;&gt;K87,"CEK JENIS ZONA",IF(A87="","Zona STOCK",IF(B87="","CEK SKU DESCRIPTION kosong","OK"))))))))</f>
        <v/>
      </c>
    </row>
    <row r="88">
      <c r="A88" s="10" t="inlineStr">
        <is>
          <t>10198152</t>
        </is>
      </c>
      <c r="B88" s="11" t="inlineStr">
        <is>
          <t>TANTA S/S SOLID TURNER M</t>
        </is>
      </c>
      <c r="C88" s="11" t="inlineStr">
        <is>
          <t>ALAT MASAK</t>
        </is>
      </c>
      <c r="D88" s="11" t="inlineStr">
        <is>
          <t>C1. KITCHEN TOOLS</t>
        </is>
      </c>
      <c r="E88" s="11" t="inlineStr">
        <is>
          <t>TANTA S/S</t>
        </is>
      </c>
      <c r="F88" s="11" t="n"/>
      <c r="G88" s="11" t="inlineStr">
        <is>
          <t>GND-02</t>
        </is>
      </c>
      <c r="H88" s="11" t="n">
        <v>2</v>
      </c>
      <c r="I88" s="11" t="inlineStr">
        <is>
          <t>Gantungan</t>
        </is>
      </c>
      <c r="J88" s="12">
        <f>IF(G88="","",IFERROR(INDEX(DAFTAR_FIXTURE!$B$2:$B$51,MATCH(G88,DAFTAR_FIXTURE!$A$2:$A$51,0)),""))</f>
        <v/>
      </c>
      <c r="K88" s="12">
        <f>IF(OR(J88="",H88=""),"",IFERROR(INDEX(LAYOUT!$D$2:$D$34,MATCH(J88&amp;"|"&amp;H88,LAYOUT!$E$2:$E$34,0)),"zona tidak ada di layout"))</f>
        <v/>
      </c>
      <c r="L88" s="12">
        <f>IF(OR(G88="",A88=""),"",COUNTIFS($G$2:$G$500,G88,$H$2:$H$500,H88,$A$2:$A$500,"&lt;&gt;"))</f>
        <v/>
      </c>
      <c r="M88" s="12">
        <f>IF(AND(A88="",G88=""),"",IF(G88="","Belum ditempatkan",IF(J88="","CEK ID FIXTURE tidak ada di DAFTAR_FIXTURE",IF(H88="","CEK ZONA NO kosong",IF(K88="zona tidak ada di layout","CEK ZONA NO di luar layout",IF(I88&lt;&gt;K88,"CEK JENIS ZONA",IF(A88="","Zona STOCK",IF(B88="","CEK SKU DESCRIPTION kosong","OK"))))))))</f>
        <v/>
      </c>
    </row>
    <row r="89">
      <c r="A89" s="10" t="inlineStr">
        <is>
          <t>10198154</t>
        </is>
      </c>
      <c r="B89" s="11" t="inlineStr">
        <is>
          <t>TANTA S/S LADLE</t>
        </is>
      </c>
      <c r="C89" s="11" t="inlineStr">
        <is>
          <t>ALAT MASAK</t>
        </is>
      </c>
      <c r="D89" s="11" t="inlineStr">
        <is>
          <t>C1. KITCHEN TOOLS</t>
        </is>
      </c>
      <c r="E89" s="11" t="inlineStr">
        <is>
          <t>TANTA S/S</t>
        </is>
      </c>
      <c r="F89" s="11" t="n"/>
      <c r="G89" s="11" t="inlineStr">
        <is>
          <t>GND-02</t>
        </is>
      </c>
      <c r="H89" s="11" t="n">
        <v>2</v>
      </c>
      <c r="I89" s="11" t="inlineStr">
        <is>
          <t>Gantungan</t>
        </is>
      </c>
      <c r="J89" s="12">
        <f>IF(G89="","",IFERROR(INDEX(DAFTAR_FIXTURE!$B$2:$B$51,MATCH(G89,DAFTAR_FIXTURE!$A$2:$A$51,0)),""))</f>
        <v/>
      </c>
      <c r="K89" s="12">
        <f>IF(OR(J89="",H89=""),"",IFERROR(INDEX(LAYOUT!$D$2:$D$34,MATCH(J89&amp;"|"&amp;H89,LAYOUT!$E$2:$E$34,0)),"zona tidak ada di layout"))</f>
        <v/>
      </c>
      <c r="L89" s="12">
        <f>IF(OR(G89="",A89=""),"",COUNTIFS($G$2:$G$500,G89,$H$2:$H$500,H89,$A$2:$A$500,"&lt;&gt;"))</f>
        <v/>
      </c>
      <c r="M89" s="12">
        <f>IF(AND(A89="",G89=""),"",IF(G89="","Belum ditempatkan",IF(J89="","CEK ID FIXTURE tidak ada di DAFTAR_FIXTURE",IF(H89="","CEK ZONA NO kosong",IF(K89="zona tidak ada di layout","CEK ZONA NO di luar layout",IF(I89&lt;&gt;K89,"CEK JENIS ZONA",IF(A89="","Zona STOCK",IF(B89="","CEK SKU DESCRIPTION kosong","OK"))))))))</f>
        <v/>
      </c>
    </row>
    <row r="90">
      <c r="A90" s="10" t="inlineStr">
        <is>
          <t>10198156</t>
        </is>
      </c>
      <c r="B90" s="11" t="inlineStr">
        <is>
          <t>TANTA NYLON SLOTTED TURNER M</t>
        </is>
      </c>
      <c r="C90" s="11" t="inlineStr">
        <is>
          <t>ALAT MASAK</t>
        </is>
      </c>
      <c r="D90" s="11" t="inlineStr">
        <is>
          <t>C1. KITCHEN TOOLS</t>
        </is>
      </c>
      <c r="E90" s="11" t="inlineStr">
        <is>
          <t>TANTA NYLON</t>
        </is>
      </c>
      <c r="F90" s="11" t="n"/>
      <c r="G90" s="11" t="inlineStr">
        <is>
          <t>GND-02</t>
        </is>
      </c>
      <c r="H90" s="11" t="n">
        <v>2</v>
      </c>
      <c r="I90" s="11" t="inlineStr">
        <is>
          <t>Gantungan</t>
        </is>
      </c>
      <c r="J90" s="12">
        <f>IF(G90="","",IFERROR(INDEX(DAFTAR_FIXTURE!$B$2:$B$51,MATCH(G90,DAFTAR_FIXTURE!$A$2:$A$51,0)),""))</f>
        <v/>
      </c>
      <c r="K90" s="12">
        <f>IF(OR(J90="",H90=""),"",IFERROR(INDEX(LAYOUT!$D$2:$D$34,MATCH(J90&amp;"|"&amp;H90,LAYOUT!$E$2:$E$34,0)),"zona tidak ada di layout"))</f>
        <v/>
      </c>
      <c r="L90" s="12">
        <f>IF(OR(G90="",A90=""),"",COUNTIFS($G$2:$G$500,G90,$H$2:$H$500,H90,$A$2:$A$500,"&lt;&gt;"))</f>
        <v/>
      </c>
      <c r="M90" s="12">
        <f>IF(AND(A90="",G90=""),"",IF(G90="","Belum ditempatkan",IF(J90="","CEK ID FIXTURE tidak ada di DAFTAR_FIXTURE",IF(H90="","CEK ZONA NO kosong",IF(K90="zona tidak ada di layout","CEK ZONA NO di luar layout",IF(I90&lt;&gt;K90,"CEK JENIS ZONA",IF(A90="","Zona STOCK",IF(B90="","CEK SKU DESCRIPTION kosong","OK"))))))))</f>
        <v/>
      </c>
    </row>
    <row r="91">
      <c r="A91" s="10" t="inlineStr">
        <is>
          <t>10198157</t>
        </is>
      </c>
      <c r="B91" s="11" t="inlineStr">
        <is>
          <t>TANTA NYLON SOLID TURNER L</t>
        </is>
      </c>
      <c r="C91" s="11" t="inlineStr">
        <is>
          <t>ALAT MASAK</t>
        </is>
      </c>
      <c r="D91" s="11" t="inlineStr">
        <is>
          <t>C1. KITCHEN TOOLS</t>
        </is>
      </c>
      <c r="E91" s="11" t="inlineStr">
        <is>
          <t>TANTA NYLON</t>
        </is>
      </c>
      <c r="F91" s="11" t="n"/>
      <c r="G91" s="11" t="inlineStr">
        <is>
          <t>GND-02</t>
        </is>
      </c>
      <c r="H91" s="11" t="n">
        <v>2</v>
      </c>
      <c r="I91" s="11" t="inlineStr">
        <is>
          <t>Gantungan</t>
        </is>
      </c>
      <c r="J91" s="12">
        <f>IF(G91="","",IFERROR(INDEX(DAFTAR_FIXTURE!$B$2:$B$51,MATCH(G91,DAFTAR_FIXTURE!$A$2:$A$51,0)),""))</f>
        <v/>
      </c>
      <c r="K91" s="12">
        <f>IF(OR(J91="",H91=""),"",IFERROR(INDEX(LAYOUT!$D$2:$D$34,MATCH(J91&amp;"|"&amp;H91,LAYOUT!$E$2:$E$34,0)),"zona tidak ada di layout"))</f>
        <v/>
      </c>
      <c r="L91" s="12">
        <f>IF(OR(G91="",A91=""),"",COUNTIFS($G$2:$G$500,G91,$H$2:$H$500,H91,$A$2:$A$500,"&lt;&gt;"))</f>
        <v/>
      </c>
      <c r="M91" s="12">
        <f>IF(AND(A91="",G91=""),"",IF(G91="","Belum ditempatkan",IF(J91="","CEK ID FIXTURE tidak ada di DAFTAR_FIXTURE",IF(H91="","CEK ZONA NO kosong",IF(K91="zona tidak ada di layout","CEK ZONA NO di luar layout",IF(I91&lt;&gt;K91,"CEK JENIS ZONA",IF(A91="","Zona STOCK",IF(B91="","CEK SKU DESCRIPTION kosong","OK"))))))))</f>
        <v/>
      </c>
    </row>
    <row r="92">
      <c r="A92" s="10" t="inlineStr">
        <is>
          <t>10198159</t>
        </is>
      </c>
      <c r="B92" s="11" t="inlineStr">
        <is>
          <t>TANTA NYLON LADLE</t>
        </is>
      </c>
      <c r="C92" s="11" t="inlineStr">
        <is>
          <t>ALAT MASAK</t>
        </is>
      </c>
      <c r="D92" s="11" t="inlineStr">
        <is>
          <t>C1. KITCHEN TOOLS</t>
        </is>
      </c>
      <c r="E92" s="11" t="inlineStr">
        <is>
          <t>TANTA NYLON</t>
        </is>
      </c>
      <c r="F92" s="11" t="n"/>
      <c r="G92" s="11" t="inlineStr">
        <is>
          <t>GND-02</t>
        </is>
      </c>
      <c r="H92" s="11" t="n">
        <v>2</v>
      </c>
      <c r="I92" s="11" t="inlineStr">
        <is>
          <t>Gantungan</t>
        </is>
      </c>
      <c r="J92" s="12">
        <f>IF(G92="","",IFERROR(INDEX(DAFTAR_FIXTURE!$B$2:$B$51,MATCH(G92,DAFTAR_FIXTURE!$A$2:$A$51,0)),""))</f>
        <v/>
      </c>
      <c r="K92" s="12">
        <f>IF(OR(J92="",H92=""),"",IFERROR(INDEX(LAYOUT!$D$2:$D$34,MATCH(J92&amp;"|"&amp;H92,LAYOUT!$E$2:$E$34,0)),"zona tidak ada di layout"))</f>
        <v/>
      </c>
      <c r="L92" s="12">
        <f>IF(OR(G92="",A92=""),"",COUNTIFS($G$2:$G$500,G92,$H$2:$H$500,H92,$A$2:$A$500,"&lt;&gt;"))</f>
        <v/>
      </c>
      <c r="M92" s="12">
        <f>IF(AND(A92="",G92=""),"",IF(G92="","Belum ditempatkan",IF(J92="","CEK ID FIXTURE tidak ada di DAFTAR_FIXTURE",IF(H92="","CEK ZONA NO kosong",IF(K92="zona tidak ada di layout","CEK ZONA NO di luar layout",IF(I92&lt;&gt;K92,"CEK JENIS ZONA",IF(A92="","Zona STOCK",IF(B92="","CEK SKU DESCRIPTION kosong","OK"))))))))</f>
        <v/>
      </c>
    </row>
    <row r="93">
      <c r="A93" s="10" t="inlineStr">
        <is>
          <t>10198160</t>
        </is>
      </c>
      <c r="B93" s="11" t="inlineStr">
        <is>
          <t>TANTA NYLON WHISK</t>
        </is>
      </c>
      <c r="C93" s="11" t="inlineStr">
        <is>
          <t>ALAT MASAK</t>
        </is>
      </c>
      <c r="D93" s="11" t="inlineStr">
        <is>
          <t>C1. KITCHEN TOOLS</t>
        </is>
      </c>
      <c r="E93" s="11" t="inlineStr">
        <is>
          <t>TANTA NYLON</t>
        </is>
      </c>
      <c r="F93" s="11" t="n"/>
      <c r="G93" s="11" t="inlineStr">
        <is>
          <t>GND-02</t>
        </is>
      </c>
      <c r="H93" s="11" t="n">
        <v>2</v>
      </c>
      <c r="I93" s="11" t="inlineStr">
        <is>
          <t>Gantungan</t>
        </is>
      </c>
      <c r="J93" s="12">
        <f>IF(G93="","",IFERROR(INDEX(DAFTAR_FIXTURE!$B$2:$B$51,MATCH(G93,DAFTAR_FIXTURE!$A$2:$A$51,0)),""))</f>
        <v/>
      </c>
      <c r="K93" s="12">
        <f>IF(OR(J93="",H93=""),"",IFERROR(INDEX(LAYOUT!$D$2:$D$34,MATCH(J93&amp;"|"&amp;H93,LAYOUT!$E$2:$E$34,0)),"zona tidak ada di layout"))</f>
        <v/>
      </c>
      <c r="L93" s="12">
        <f>IF(OR(G93="",A93=""),"",COUNTIFS($G$2:$G$500,G93,$H$2:$H$500,H93,$A$2:$A$500,"&lt;&gt;"))</f>
        <v/>
      </c>
      <c r="M93" s="12">
        <f>IF(AND(A93="",G93=""),"",IF(G93="","Belum ditempatkan",IF(J93="","CEK ID FIXTURE tidak ada di DAFTAR_FIXTURE",IF(H93="","CEK ZONA NO kosong",IF(K93="zona tidak ada di layout","CEK ZONA NO di luar layout",IF(I93&lt;&gt;K93,"CEK JENIS ZONA",IF(A93="","Zona STOCK",IF(B93="","CEK SKU DESCRIPTION kosong","OK"))))))))</f>
        <v/>
      </c>
    </row>
    <row r="94">
      <c r="A94" s="10" t="inlineStr">
        <is>
          <t>10198149</t>
        </is>
      </c>
      <c r="B94" s="11" t="inlineStr">
        <is>
          <t>TANTA STRAINER DIA 10CM</t>
        </is>
      </c>
      <c r="C94" s="11" t="inlineStr">
        <is>
          <t>ALAT MASAK</t>
        </is>
      </c>
      <c r="D94" s="11" t="inlineStr">
        <is>
          <t>C1. KITCHEN TOOLS</t>
        </is>
      </c>
      <c r="E94" s="11" t="inlineStr">
        <is>
          <t>TANTA S/S</t>
        </is>
      </c>
      <c r="F94" s="11" t="n"/>
      <c r="G94" s="11" t="inlineStr">
        <is>
          <t>GND-02</t>
        </is>
      </c>
      <c r="H94" s="11" t="n">
        <v>3</v>
      </c>
      <c r="I94" s="11" t="inlineStr">
        <is>
          <t>Gantungan</t>
        </is>
      </c>
      <c r="J94" s="12">
        <f>IF(G94="","",IFERROR(INDEX(DAFTAR_FIXTURE!$B$2:$B$51,MATCH(G94,DAFTAR_FIXTURE!$A$2:$A$51,0)),""))</f>
        <v/>
      </c>
      <c r="K94" s="12">
        <f>IF(OR(J94="",H94=""),"",IFERROR(INDEX(LAYOUT!$D$2:$D$34,MATCH(J94&amp;"|"&amp;H94,LAYOUT!$E$2:$E$34,0)),"zona tidak ada di layout"))</f>
        <v/>
      </c>
      <c r="L94" s="12">
        <f>IF(OR(G94="",A94=""),"",COUNTIFS($G$2:$G$500,G94,$H$2:$H$500,H94,$A$2:$A$500,"&lt;&gt;"))</f>
        <v/>
      </c>
      <c r="M94" s="12">
        <f>IF(AND(A94="",G94=""),"",IF(G94="","Belum ditempatkan",IF(J94="","CEK ID FIXTURE tidak ada di DAFTAR_FIXTURE",IF(H94="","CEK ZONA NO kosong",IF(K94="zona tidak ada di layout","CEK ZONA NO di luar layout",IF(I94&lt;&gt;K94,"CEK JENIS ZONA",IF(A94="","Zona STOCK",IF(B94="","CEK SKU DESCRIPTION kosong","OK"))))))))</f>
        <v/>
      </c>
    </row>
    <row r="95">
      <c r="A95" s="10" t="inlineStr">
        <is>
          <t>10198150</t>
        </is>
      </c>
      <c r="B95" s="11" t="inlineStr">
        <is>
          <t>TANTA NYLON TONGS 9 INCH</t>
        </is>
      </c>
      <c r="C95" s="11" t="inlineStr">
        <is>
          <t>ALAT MASAK</t>
        </is>
      </c>
      <c r="D95" s="11" t="inlineStr">
        <is>
          <t>C1. KITCHEN TOOLS</t>
        </is>
      </c>
      <c r="E95" s="11" t="inlineStr">
        <is>
          <t>TANTA NYLON</t>
        </is>
      </c>
      <c r="F95" s="11" t="n"/>
      <c r="G95" s="11" t="inlineStr">
        <is>
          <t>GND-02</t>
        </is>
      </c>
      <c r="H95" s="11" t="n">
        <v>3</v>
      </c>
      <c r="I95" s="11" t="inlineStr">
        <is>
          <t>Gantungan</t>
        </is>
      </c>
      <c r="J95" s="12">
        <f>IF(G95="","",IFERROR(INDEX(DAFTAR_FIXTURE!$B$2:$B$51,MATCH(G95,DAFTAR_FIXTURE!$A$2:$A$51,0)),""))</f>
        <v/>
      </c>
      <c r="K95" s="12">
        <f>IF(OR(J95="",H95=""),"",IFERROR(INDEX(LAYOUT!$D$2:$D$34,MATCH(J95&amp;"|"&amp;H95,LAYOUT!$E$2:$E$34,0)),"zona tidak ada di layout"))</f>
        <v/>
      </c>
      <c r="L95" s="12">
        <f>IF(OR(G95="",A95=""),"",COUNTIFS($G$2:$G$500,G95,$H$2:$H$500,H95,$A$2:$A$500,"&lt;&gt;"))</f>
        <v/>
      </c>
      <c r="M95" s="12">
        <f>IF(AND(A95="",G95=""),"",IF(G95="","Belum ditempatkan",IF(J95="","CEK ID FIXTURE tidak ada di DAFTAR_FIXTURE",IF(H95="","CEK ZONA NO kosong",IF(K95="zona tidak ada di layout","CEK ZONA NO di luar layout",IF(I95&lt;&gt;K95,"CEK JENIS ZONA",IF(A95="","Zona STOCK",IF(B95="","CEK SKU DESCRIPTION kosong","OK"))))))))</f>
        <v/>
      </c>
    </row>
    <row r="96">
      <c r="A96" s="10" t="inlineStr">
        <is>
          <t>10198151</t>
        </is>
      </c>
      <c r="B96" s="11" t="inlineStr">
        <is>
          <t>TANTA NYLON TONGS 12 INCH</t>
        </is>
      </c>
      <c r="C96" s="11" t="inlineStr">
        <is>
          <t>ALAT MASAK</t>
        </is>
      </c>
      <c r="D96" s="11" t="inlineStr">
        <is>
          <t>C1. KITCHEN TOOLS</t>
        </is>
      </c>
      <c r="E96" s="11" t="inlineStr">
        <is>
          <t>TANTA NYLON</t>
        </is>
      </c>
      <c r="F96" s="11" t="n"/>
      <c r="G96" s="11" t="inlineStr">
        <is>
          <t>GND-02</t>
        </is>
      </c>
      <c r="H96" s="11" t="n">
        <v>3</v>
      </c>
      <c r="I96" s="11" t="inlineStr">
        <is>
          <t>Gantungan</t>
        </is>
      </c>
      <c r="J96" s="12">
        <f>IF(G96="","",IFERROR(INDEX(DAFTAR_FIXTURE!$B$2:$B$51,MATCH(G96,DAFTAR_FIXTURE!$A$2:$A$51,0)),""))</f>
        <v/>
      </c>
      <c r="K96" s="12">
        <f>IF(OR(J96="",H96=""),"",IFERROR(INDEX(LAYOUT!$D$2:$D$34,MATCH(J96&amp;"|"&amp;H96,LAYOUT!$E$2:$E$34,0)),"zona tidak ada di layout"))</f>
        <v/>
      </c>
      <c r="L96" s="12">
        <f>IF(OR(G96="",A96=""),"",COUNTIFS($G$2:$G$500,G96,$H$2:$H$500,H96,$A$2:$A$500,"&lt;&gt;"))</f>
        <v/>
      </c>
      <c r="M96" s="12">
        <f>IF(AND(A96="",G96=""),"",IF(G96="","Belum ditempatkan",IF(J96="","CEK ID FIXTURE tidak ada di DAFTAR_FIXTURE",IF(H96="","CEK ZONA NO kosong",IF(K96="zona tidak ada di layout","CEK ZONA NO di luar layout",IF(I96&lt;&gt;K96,"CEK JENIS ZONA",IF(A96="","Zona STOCK",IF(B96="","CEK SKU DESCRIPTION kosong","OK"))))))))</f>
        <v/>
      </c>
    </row>
    <row r="97">
      <c r="A97" s="10" t="inlineStr">
        <is>
          <t>10198152</t>
        </is>
      </c>
      <c r="B97" s="11" t="inlineStr">
        <is>
          <t>TANTA S/S SOLID TURNER M</t>
        </is>
      </c>
      <c r="C97" s="11" t="inlineStr">
        <is>
          <t>ALAT MASAK</t>
        </is>
      </c>
      <c r="D97" s="11" t="inlineStr">
        <is>
          <t>C1. KITCHEN TOOLS</t>
        </is>
      </c>
      <c r="E97" s="11" t="inlineStr">
        <is>
          <t>TANTA S/S</t>
        </is>
      </c>
      <c r="F97" s="11" t="n"/>
      <c r="G97" s="11" t="inlineStr">
        <is>
          <t>GND-02</t>
        </is>
      </c>
      <c r="H97" s="11" t="n">
        <v>3</v>
      </c>
      <c r="I97" s="11" t="inlineStr">
        <is>
          <t>Gantungan</t>
        </is>
      </c>
      <c r="J97" s="12">
        <f>IF(G97="","",IFERROR(INDEX(DAFTAR_FIXTURE!$B$2:$B$51,MATCH(G97,DAFTAR_FIXTURE!$A$2:$A$51,0)),""))</f>
        <v/>
      </c>
      <c r="K97" s="12">
        <f>IF(OR(J97="",H97=""),"",IFERROR(INDEX(LAYOUT!$D$2:$D$34,MATCH(J97&amp;"|"&amp;H97,LAYOUT!$E$2:$E$34,0)),"zona tidak ada di layout"))</f>
        <v/>
      </c>
      <c r="L97" s="12">
        <f>IF(OR(G97="",A97=""),"",COUNTIFS($G$2:$G$500,G97,$H$2:$H$500,H97,$A$2:$A$500,"&lt;&gt;"))</f>
        <v/>
      </c>
      <c r="M97" s="12">
        <f>IF(AND(A97="",G97=""),"",IF(G97="","Belum ditempatkan",IF(J97="","CEK ID FIXTURE tidak ada di DAFTAR_FIXTURE",IF(H97="","CEK ZONA NO kosong",IF(K97="zona tidak ada di layout","CEK ZONA NO di luar layout",IF(I97&lt;&gt;K97,"CEK JENIS ZONA",IF(A97="","Zona STOCK",IF(B97="","CEK SKU DESCRIPTION kosong","OK"))))))))</f>
        <v/>
      </c>
    </row>
    <row r="98">
      <c r="A98" s="10" t="inlineStr">
        <is>
          <t>10198154</t>
        </is>
      </c>
      <c r="B98" s="11" t="inlineStr">
        <is>
          <t>TANTA S/S LADLE</t>
        </is>
      </c>
      <c r="C98" s="11" t="inlineStr">
        <is>
          <t>ALAT MASAK</t>
        </is>
      </c>
      <c r="D98" s="11" t="inlineStr">
        <is>
          <t>C1. KITCHEN TOOLS</t>
        </is>
      </c>
      <c r="E98" s="11" t="inlineStr">
        <is>
          <t>TANTA S/S</t>
        </is>
      </c>
      <c r="F98" s="11" t="n"/>
      <c r="G98" s="11" t="inlineStr">
        <is>
          <t>GND-02</t>
        </is>
      </c>
      <c r="H98" s="11" t="n">
        <v>3</v>
      </c>
      <c r="I98" s="11" t="inlineStr">
        <is>
          <t>Gantungan</t>
        </is>
      </c>
      <c r="J98" s="12">
        <f>IF(G98="","",IFERROR(INDEX(DAFTAR_FIXTURE!$B$2:$B$51,MATCH(G98,DAFTAR_FIXTURE!$A$2:$A$51,0)),""))</f>
        <v/>
      </c>
      <c r="K98" s="12">
        <f>IF(OR(J98="",H98=""),"",IFERROR(INDEX(LAYOUT!$D$2:$D$34,MATCH(J98&amp;"|"&amp;H98,LAYOUT!$E$2:$E$34,0)),"zona tidak ada di layout"))</f>
        <v/>
      </c>
      <c r="L98" s="12">
        <f>IF(OR(G98="",A98=""),"",COUNTIFS($G$2:$G$500,G98,$H$2:$H$500,H98,$A$2:$A$500,"&lt;&gt;"))</f>
        <v/>
      </c>
      <c r="M98" s="12">
        <f>IF(AND(A98="",G98=""),"",IF(G98="","Belum ditempatkan",IF(J98="","CEK ID FIXTURE tidak ada di DAFTAR_FIXTURE",IF(H98="","CEK ZONA NO kosong",IF(K98="zona tidak ada di layout","CEK ZONA NO di luar layout",IF(I98&lt;&gt;K98,"CEK JENIS ZONA",IF(A98="","Zona STOCK",IF(B98="","CEK SKU DESCRIPTION kosong","OK"))))))))</f>
        <v/>
      </c>
    </row>
    <row r="99">
      <c r="A99" s="10" t="inlineStr">
        <is>
          <t>10198156</t>
        </is>
      </c>
      <c r="B99" s="11" t="inlineStr">
        <is>
          <t>TANTA NYLON SLOTTED TURNER M</t>
        </is>
      </c>
      <c r="C99" s="11" t="inlineStr">
        <is>
          <t>ALAT MASAK</t>
        </is>
      </c>
      <c r="D99" s="11" t="inlineStr">
        <is>
          <t>C1. KITCHEN TOOLS</t>
        </is>
      </c>
      <c r="E99" s="11" t="inlineStr">
        <is>
          <t>TANTA NYLON</t>
        </is>
      </c>
      <c r="F99" s="11" t="n"/>
      <c r="G99" s="11" t="inlineStr">
        <is>
          <t>GND-02</t>
        </is>
      </c>
      <c r="H99" s="11" t="n">
        <v>3</v>
      </c>
      <c r="I99" s="11" t="inlineStr">
        <is>
          <t>Gantungan</t>
        </is>
      </c>
      <c r="J99" s="12">
        <f>IF(G99="","",IFERROR(INDEX(DAFTAR_FIXTURE!$B$2:$B$51,MATCH(G99,DAFTAR_FIXTURE!$A$2:$A$51,0)),""))</f>
        <v/>
      </c>
      <c r="K99" s="12">
        <f>IF(OR(J99="",H99=""),"",IFERROR(INDEX(LAYOUT!$D$2:$D$34,MATCH(J99&amp;"|"&amp;H99,LAYOUT!$E$2:$E$34,0)),"zona tidak ada di layout"))</f>
        <v/>
      </c>
      <c r="L99" s="12">
        <f>IF(OR(G99="",A99=""),"",COUNTIFS($G$2:$G$500,G99,$H$2:$H$500,H99,$A$2:$A$500,"&lt;&gt;"))</f>
        <v/>
      </c>
      <c r="M99" s="12">
        <f>IF(AND(A99="",G99=""),"",IF(G99="","Belum ditempatkan",IF(J99="","CEK ID FIXTURE tidak ada di DAFTAR_FIXTURE",IF(H99="","CEK ZONA NO kosong",IF(K99="zona tidak ada di layout","CEK ZONA NO di luar layout",IF(I99&lt;&gt;K99,"CEK JENIS ZONA",IF(A99="","Zona STOCK",IF(B99="","CEK SKU DESCRIPTION kosong","OK"))))))))</f>
        <v/>
      </c>
    </row>
    <row r="100">
      <c r="A100" s="10" t="inlineStr">
        <is>
          <t>10198157</t>
        </is>
      </c>
      <c r="B100" s="11" t="inlineStr">
        <is>
          <t>TANTA NYLON SOLID TURNER L</t>
        </is>
      </c>
      <c r="C100" s="11" t="inlineStr">
        <is>
          <t>ALAT MASAK</t>
        </is>
      </c>
      <c r="D100" s="11" t="inlineStr">
        <is>
          <t>C1. KITCHEN TOOLS</t>
        </is>
      </c>
      <c r="E100" s="11" t="inlineStr">
        <is>
          <t>TANTA NYLON</t>
        </is>
      </c>
      <c r="F100" s="11" t="n"/>
      <c r="G100" s="11" t="inlineStr">
        <is>
          <t>GND-02</t>
        </is>
      </c>
      <c r="H100" s="11" t="n">
        <v>3</v>
      </c>
      <c r="I100" s="11" t="inlineStr">
        <is>
          <t>Gantungan</t>
        </is>
      </c>
      <c r="J100" s="12">
        <f>IF(G100="","",IFERROR(INDEX(DAFTAR_FIXTURE!$B$2:$B$51,MATCH(G100,DAFTAR_FIXTURE!$A$2:$A$51,0)),""))</f>
        <v/>
      </c>
      <c r="K100" s="12">
        <f>IF(OR(J100="",H100=""),"",IFERROR(INDEX(LAYOUT!$D$2:$D$34,MATCH(J100&amp;"|"&amp;H100,LAYOUT!$E$2:$E$34,0)),"zona tidak ada di layout"))</f>
        <v/>
      </c>
      <c r="L100" s="12">
        <f>IF(OR(G100="",A100=""),"",COUNTIFS($G$2:$G$500,G100,$H$2:$H$500,H100,$A$2:$A$500,"&lt;&gt;"))</f>
        <v/>
      </c>
      <c r="M100" s="12">
        <f>IF(AND(A100="",G100=""),"",IF(G100="","Belum ditempatkan",IF(J100="","CEK ID FIXTURE tidak ada di DAFTAR_FIXTURE",IF(H100="","CEK ZONA NO kosong",IF(K100="zona tidak ada di layout","CEK ZONA NO di luar layout",IF(I100&lt;&gt;K100,"CEK JENIS ZONA",IF(A100="","Zona STOCK",IF(B100="","CEK SKU DESCRIPTION kosong","OK"))))))))</f>
        <v/>
      </c>
    </row>
    <row r="101">
      <c r="A101" s="10" t="inlineStr">
        <is>
          <t>10198159</t>
        </is>
      </c>
      <c r="B101" s="11" t="inlineStr">
        <is>
          <t>TANTA NYLON LADLE</t>
        </is>
      </c>
      <c r="C101" s="11" t="inlineStr">
        <is>
          <t>ALAT MASAK</t>
        </is>
      </c>
      <c r="D101" s="11" t="inlineStr">
        <is>
          <t>C1. KITCHEN TOOLS</t>
        </is>
      </c>
      <c r="E101" s="11" t="inlineStr">
        <is>
          <t>TANTA NYLON</t>
        </is>
      </c>
      <c r="F101" s="11" t="n"/>
      <c r="G101" s="11" t="inlineStr">
        <is>
          <t>GND-02</t>
        </is>
      </c>
      <c r="H101" s="11" t="n">
        <v>3</v>
      </c>
      <c r="I101" s="11" t="inlineStr">
        <is>
          <t>Gantungan</t>
        </is>
      </c>
      <c r="J101" s="12">
        <f>IF(G101="","",IFERROR(INDEX(DAFTAR_FIXTURE!$B$2:$B$51,MATCH(G101,DAFTAR_FIXTURE!$A$2:$A$51,0)),""))</f>
        <v/>
      </c>
      <c r="K101" s="12">
        <f>IF(OR(J101="",H101=""),"",IFERROR(INDEX(LAYOUT!$D$2:$D$34,MATCH(J101&amp;"|"&amp;H101,LAYOUT!$E$2:$E$34,0)),"zona tidak ada di layout"))</f>
        <v/>
      </c>
      <c r="L101" s="12">
        <f>IF(OR(G101="",A101=""),"",COUNTIFS($G$2:$G$500,G101,$H$2:$H$500,H101,$A$2:$A$500,"&lt;&gt;"))</f>
        <v/>
      </c>
      <c r="M101" s="12">
        <f>IF(AND(A101="",G101=""),"",IF(G101="","Belum ditempatkan",IF(J101="","CEK ID FIXTURE tidak ada di DAFTAR_FIXTURE",IF(H101="","CEK ZONA NO kosong",IF(K101="zona tidak ada di layout","CEK ZONA NO di luar layout",IF(I101&lt;&gt;K101,"CEK JENIS ZONA",IF(A101="","Zona STOCK",IF(B101="","CEK SKU DESCRIPTION kosong","OK"))))))))</f>
        <v/>
      </c>
    </row>
    <row r="102">
      <c r="A102" s="10" t="inlineStr">
        <is>
          <t>10198160</t>
        </is>
      </c>
      <c r="B102" s="11" t="inlineStr">
        <is>
          <t>TANTA NYLON WHISK</t>
        </is>
      </c>
      <c r="C102" s="11" t="inlineStr">
        <is>
          <t>ALAT MASAK</t>
        </is>
      </c>
      <c r="D102" s="11" t="inlineStr">
        <is>
          <t>C1. KITCHEN TOOLS</t>
        </is>
      </c>
      <c r="E102" s="11" t="inlineStr">
        <is>
          <t>TANTA NYLON</t>
        </is>
      </c>
      <c r="F102" s="11" t="n"/>
      <c r="G102" s="11" t="inlineStr">
        <is>
          <t>GND-02</t>
        </is>
      </c>
      <c r="H102" s="11" t="n">
        <v>3</v>
      </c>
      <c r="I102" s="11" t="inlineStr">
        <is>
          <t>Gantungan</t>
        </is>
      </c>
      <c r="J102" s="12">
        <f>IF(G102="","",IFERROR(INDEX(DAFTAR_FIXTURE!$B$2:$B$51,MATCH(G102,DAFTAR_FIXTURE!$A$2:$A$51,0)),""))</f>
        <v/>
      </c>
      <c r="K102" s="12">
        <f>IF(OR(J102="",H102=""),"",IFERROR(INDEX(LAYOUT!$D$2:$D$34,MATCH(J102&amp;"|"&amp;H102,LAYOUT!$E$2:$E$34,0)),"zona tidak ada di layout"))</f>
        <v/>
      </c>
      <c r="L102" s="12">
        <f>IF(OR(G102="",A102=""),"",COUNTIFS($G$2:$G$500,G102,$H$2:$H$500,H102,$A$2:$A$500,"&lt;&gt;"))</f>
        <v/>
      </c>
      <c r="M102" s="12">
        <f>IF(AND(A102="",G102=""),"",IF(G102="","Belum ditempatkan",IF(J102="","CEK ID FIXTURE tidak ada di DAFTAR_FIXTURE",IF(H102="","CEK ZONA NO kosong",IF(K102="zona tidak ada di layout","CEK ZONA NO di luar layout",IF(I102&lt;&gt;K102,"CEK JENIS ZONA",IF(A102="","Zona STOCK",IF(B102="","CEK SKU DESCRIPTION kosong","OK"))))))))</f>
        <v/>
      </c>
    </row>
    <row r="103">
      <c r="A103" s="10" t="inlineStr">
        <is>
          <t>10198149</t>
        </is>
      </c>
      <c r="B103" s="11" t="inlineStr">
        <is>
          <t>TANTA STRAINER DIA 10CM</t>
        </is>
      </c>
      <c r="C103" s="11" t="inlineStr">
        <is>
          <t>ALAT MASAK</t>
        </is>
      </c>
      <c r="D103" s="11" t="inlineStr">
        <is>
          <t>C1. KITCHEN TOOLS</t>
        </is>
      </c>
      <c r="E103" s="11" t="inlineStr">
        <is>
          <t>TANTA S/S</t>
        </is>
      </c>
      <c r="F103" s="11" t="n"/>
      <c r="G103" s="11" t="inlineStr">
        <is>
          <t>GND-02</t>
        </is>
      </c>
      <c r="H103" s="11" t="n">
        <v>4</v>
      </c>
      <c r="I103" s="11" t="inlineStr">
        <is>
          <t>Gantungan</t>
        </is>
      </c>
      <c r="J103" s="12">
        <f>IF(G103="","",IFERROR(INDEX(DAFTAR_FIXTURE!$B$2:$B$51,MATCH(G103,DAFTAR_FIXTURE!$A$2:$A$51,0)),""))</f>
        <v/>
      </c>
      <c r="K103" s="12">
        <f>IF(OR(J103="",H103=""),"",IFERROR(INDEX(LAYOUT!$D$2:$D$34,MATCH(J103&amp;"|"&amp;H103,LAYOUT!$E$2:$E$34,0)),"zona tidak ada di layout"))</f>
        <v/>
      </c>
      <c r="L103" s="12">
        <f>IF(OR(G103="",A103=""),"",COUNTIFS($G$2:$G$500,G103,$H$2:$H$500,H103,$A$2:$A$500,"&lt;&gt;"))</f>
        <v/>
      </c>
      <c r="M103" s="12">
        <f>IF(AND(A103="",G103=""),"",IF(G103="","Belum ditempatkan",IF(J103="","CEK ID FIXTURE tidak ada di DAFTAR_FIXTURE",IF(H103="","CEK ZONA NO kosong",IF(K103="zona tidak ada di layout","CEK ZONA NO di luar layout",IF(I103&lt;&gt;K103,"CEK JENIS ZONA",IF(A103="","Zona STOCK",IF(B103="","CEK SKU DESCRIPTION kosong","OK"))))))))</f>
        <v/>
      </c>
    </row>
    <row r="104">
      <c r="A104" s="10" t="inlineStr">
        <is>
          <t>10198150</t>
        </is>
      </c>
      <c r="B104" s="11" t="inlineStr">
        <is>
          <t>TANTA NYLON TONGS 9 INCH</t>
        </is>
      </c>
      <c r="C104" s="11" t="inlineStr">
        <is>
          <t>ALAT MASAK</t>
        </is>
      </c>
      <c r="D104" s="11" t="inlineStr">
        <is>
          <t>C1. KITCHEN TOOLS</t>
        </is>
      </c>
      <c r="E104" s="11" t="inlineStr">
        <is>
          <t>TANTA NYLON</t>
        </is>
      </c>
      <c r="F104" s="11" t="n"/>
      <c r="G104" s="11" t="inlineStr">
        <is>
          <t>GND-02</t>
        </is>
      </c>
      <c r="H104" s="11" t="n">
        <v>4</v>
      </c>
      <c r="I104" s="11" t="inlineStr">
        <is>
          <t>Gantungan</t>
        </is>
      </c>
      <c r="J104" s="12">
        <f>IF(G104="","",IFERROR(INDEX(DAFTAR_FIXTURE!$B$2:$B$51,MATCH(G104,DAFTAR_FIXTURE!$A$2:$A$51,0)),""))</f>
        <v/>
      </c>
      <c r="K104" s="12">
        <f>IF(OR(J104="",H104=""),"",IFERROR(INDEX(LAYOUT!$D$2:$D$34,MATCH(J104&amp;"|"&amp;H104,LAYOUT!$E$2:$E$34,0)),"zona tidak ada di layout"))</f>
        <v/>
      </c>
      <c r="L104" s="12">
        <f>IF(OR(G104="",A104=""),"",COUNTIFS($G$2:$G$500,G104,$H$2:$H$500,H104,$A$2:$A$500,"&lt;&gt;"))</f>
        <v/>
      </c>
      <c r="M104" s="12">
        <f>IF(AND(A104="",G104=""),"",IF(G104="","Belum ditempatkan",IF(J104="","CEK ID FIXTURE tidak ada di DAFTAR_FIXTURE",IF(H104="","CEK ZONA NO kosong",IF(K104="zona tidak ada di layout","CEK ZONA NO di luar layout",IF(I104&lt;&gt;K104,"CEK JENIS ZONA",IF(A104="","Zona STOCK",IF(B104="","CEK SKU DESCRIPTION kosong","OK"))))))))</f>
        <v/>
      </c>
    </row>
    <row r="105">
      <c r="A105" s="10" t="inlineStr">
        <is>
          <t>10198151</t>
        </is>
      </c>
      <c r="B105" s="11" t="inlineStr">
        <is>
          <t>TANTA NYLON TONGS 12 INCH</t>
        </is>
      </c>
      <c r="C105" s="11" t="inlineStr">
        <is>
          <t>ALAT MASAK</t>
        </is>
      </c>
      <c r="D105" s="11" t="inlineStr">
        <is>
          <t>C1. KITCHEN TOOLS</t>
        </is>
      </c>
      <c r="E105" s="11" t="inlineStr">
        <is>
          <t>TANTA NYLON</t>
        </is>
      </c>
      <c r="F105" s="11" t="n"/>
      <c r="G105" s="11" t="inlineStr">
        <is>
          <t>GND-02</t>
        </is>
      </c>
      <c r="H105" s="11" t="n">
        <v>4</v>
      </c>
      <c r="I105" s="11" t="inlineStr">
        <is>
          <t>Gantungan</t>
        </is>
      </c>
      <c r="J105" s="12">
        <f>IF(G105="","",IFERROR(INDEX(DAFTAR_FIXTURE!$B$2:$B$51,MATCH(G105,DAFTAR_FIXTURE!$A$2:$A$51,0)),""))</f>
        <v/>
      </c>
      <c r="K105" s="12">
        <f>IF(OR(J105="",H105=""),"",IFERROR(INDEX(LAYOUT!$D$2:$D$34,MATCH(J105&amp;"|"&amp;H105,LAYOUT!$E$2:$E$34,0)),"zona tidak ada di layout"))</f>
        <v/>
      </c>
      <c r="L105" s="12">
        <f>IF(OR(G105="",A105=""),"",COUNTIFS($G$2:$G$500,G105,$H$2:$H$500,H105,$A$2:$A$500,"&lt;&gt;"))</f>
        <v/>
      </c>
      <c r="M105" s="12">
        <f>IF(AND(A105="",G105=""),"",IF(G105="","Belum ditempatkan",IF(J105="","CEK ID FIXTURE tidak ada di DAFTAR_FIXTURE",IF(H105="","CEK ZONA NO kosong",IF(K105="zona tidak ada di layout","CEK ZONA NO di luar layout",IF(I105&lt;&gt;K105,"CEK JENIS ZONA",IF(A105="","Zona STOCK",IF(B105="","CEK SKU DESCRIPTION kosong","OK"))))))))</f>
        <v/>
      </c>
    </row>
    <row r="106">
      <c r="A106" s="10" t="inlineStr">
        <is>
          <t>10198152</t>
        </is>
      </c>
      <c r="B106" s="11" t="inlineStr">
        <is>
          <t>TANTA S/S SOLID TURNER M</t>
        </is>
      </c>
      <c r="C106" s="11" t="inlineStr">
        <is>
          <t>ALAT MASAK</t>
        </is>
      </c>
      <c r="D106" s="11" t="inlineStr">
        <is>
          <t>C1. KITCHEN TOOLS</t>
        </is>
      </c>
      <c r="E106" s="11" t="inlineStr">
        <is>
          <t>TANTA S/S</t>
        </is>
      </c>
      <c r="F106" s="11" t="n"/>
      <c r="G106" s="11" t="inlineStr">
        <is>
          <t>GND-02</t>
        </is>
      </c>
      <c r="H106" s="11" t="n">
        <v>4</v>
      </c>
      <c r="I106" s="11" t="inlineStr">
        <is>
          <t>Gantungan</t>
        </is>
      </c>
      <c r="J106" s="12">
        <f>IF(G106="","",IFERROR(INDEX(DAFTAR_FIXTURE!$B$2:$B$51,MATCH(G106,DAFTAR_FIXTURE!$A$2:$A$51,0)),""))</f>
        <v/>
      </c>
      <c r="K106" s="12">
        <f>IF(OR(J106="",H106=""),"",IFERROR(INDEX(LAYOUT!$D$2:$D$34,MATCH(J106&amp;"|"&amp;H106,LAYOUT!$E$2:$E$34,0)),"zona tidak ada di layout"))</f>
        <v/>
      </c>
      <c r="L106" s="12">
        <f>IF(OR(G106="",A106=""),"",COUNTIFS($G$2:$G$500,G106,$H$2:$H$500,H106,$A$2:$A$500,"&lt;&gt;"))</f>
        <v/>
      </c>
      <c r="M106" s="12">
        <f>IF(AND(A106="",G106=""),"",IF(G106="","Belum ditempatkan",IF(J106="","CEK ID FIXTURE tidak ada di DAFTAR_FIXTURE",IF(H106="","CEK ZONA NO kosong",IF(K106="zona tidak ada di layout","CEK ZONA NO di luar layout",IF(I106&lt;&gt;K106,"CEK JENIS ZONA",IF(A106="","Zona STOCK",IF(B106="","CEK SKU DESCRIPTION kosong","OK"))))))))</f>
        <v/>
      </c>
    </row>
    <row r="107">
      <c r="A107" s="10" t="inlineStr">
        <is>
          <t>10198154</t>
        </is>
      </c>
      <c r="B107" s="11" t="inlineStr">
        <is>
          <t>TANTA S/S LADLE</t>
        </is>
      </c>
      <c r="C107" s="11" t="inlineStr">
        <is>
          <t>ALAT MASAK</t>
        </is>
      </c>
      <c r="D107" s="11" t="inlineStr">
        <is>
          <t>C1. KITCHEN TOOLS</t>
        </is>
      </c>
      <c r="E107" s="11" t="inlineStr">
        <is>
          <t>TANTA S/S</t>
        </is>
      </c>
      <c r="F107" s="11" t="n"/>
      <c r="G107" s="11" t="inlineStr">
        <is>
          <t>GND-02</t>
        </is>
      </c>
      <c r="H107" s="11" t="n">
        <v>4</v>
      </c>
      <c r="I107" s="11" t="inlineStr">
        <is>
          <t>Gantungan</t>
        </is>
      </c>
      <c r="J107" s="12">
        <f>IF(G107="","",IFERROR(INDEX(DAFTAR_FIXTURE!$B$2:$B$51,MATCH(G107,DAFTAR_FIXTURE!$A$2:$A$51,0)),""))</f>
        <v/>
      </c>
      <c r="K107" s="12">
        <f>IF(OR(J107="",H107=""),"",IFERROR(INDEX(LAYOUT!$D$2:$D$34,MATCH(J107&amp;"|"&amp;H107,LAYOUT!$E$2:$E$34,0)),"zona tidak ada di layout"))</f>
        <v/>
      </c>
      <c r="L107" s="12">
        <f>IF(OR(G107="",A107=""),"",COUNTIFS($G$2:$G$500,G107,$H$2:$H$500,H107,$A$2:$A$500,"&lt;&gt;"))</f>
        <v/>
      </c>
      <c r="M107" s="12">
        <f>IF(AND(A107="",G107=""),"",IF(G107="","Belum ditempatkan",IF(J107="","CEK ID FIXTURE tidak ada di DAFTAR_FIXTURE",IF(H107="","CEK ZONA NO kosong",IF(K107="zona tidak ada di layout","CEK ZONA NO di luar layout",IF(I107&lt;&gt;K107,"CEK JENIS ZONA",IF(A107="","Zona STOCK",IF(B107="","CEK SKU DESCRIPTION kosong","OK"))))))))</f>
        <v/>
      </c>
    </row>
    <row r="108">
      <c r="A108" s="10" t="inlineStr">
        <is>
          <t>10198156</t>
        </is>
      </c>
      <c r="B108" s="11" t="inlineStr">
        <is>
          <t>TANTA NYLON SLOTTED TURNER M</t>
        </is>
      </c>
      <c r="C108" s="11" t="inlineStr">
        <is>
          <t>ALAT MASAK</t>
        </is>
      </c>
      <c r="D108" s="11" t="inlineStr">
        <is>
          <t>C1. KITCHEN TOOLS</t>
        </is>
      </c>
      <c r="E108" s="11" t="inlineStr">
        <is>
          <t>TANTA NYLON</t>
        </is>
      </c>
      <c r="F108" s="11" t="n"/>
      <c r="G108" s="11" t="inlineStr">
        <is>
          <t>GND-02</t>
        </is>
      </c>
      <c r="H108" s="11" t="n">
        <v>4</v>
      </c>
      <c r="I108" s="11" t="inlineStr">
        <is>
          <t>Gantungan</t>
        </is>
      </c>
      <c r="J108" s="12">
        <f>IF(G108="","",IFERROR(INDEX(DAFTAR_FIXTURE!$B$2:$B$51,MATCH(G108,DAFTAR_FIXTURE!$A$2:$A$51,0)),""))</f>
        <v/>
      </c>
      <c r="K108" s="12">
        <f>IF(OR(J108="",H108=""),"",IFERROR(INDEX(LAYOUT!$D$2:$D$34,MATCH(J108&amp;"|"&amp;H108,LAYOUT!$E$2:$E$34,0)),"zona tidak ada di layout"))</f>
        <v/>
      </c>
      <c r="L108" s="12">
        <f>IF(OR(G108="",A108=""),"",COUNTIFS($G$2:$G$500,G108,$H$2:$H$500,H108,$A$2:$A$500,"&lt;&gt;"))</f>
        <v/>
      </c>
      <c r="M108" s="12">
        <f>IF(AND(A108="",G108=""),"",IF(G108="","Belum ditempatkan",IF(J108="","CEK ID FIXTURE tidak ada di DAFTAR_FIXTURE",IF(H108="","CEK ZONA NO kosong",IF(K108="zona tidak ada di layout","CEK ZONA NO di luar layout",IF(I108&lt;&gt;K108,"CEK JENIS ZONA",IF(A108="","Zona STOCK",IF(B108="","CEK SKU DESCRIPTION kosong","OK"))))))))</f>
        <v/>
      </c>
    </row>
    <row r="109">
      <c r="A109" s="10" t="inlineStr">
        <is>
          <t>10198157</t>
        </is>
      </c>
      <c r="B109" s="11" t="inlineStr">
        <is>
          <t>TANTA NYLON SOLID TURNER L</t>
        </is>
      </c>
      <c r="C109" s="11" t="inlineStr">
        <is>
          <t>ALAT MASAK</t>
        </is>
      </c>
      <c r="D109" s="11" t="inlineStr">
        <is>
          <t>C1. KITCHEN TOOLS</t>
        </is>
      </c>
      <c r="E109" s="11" t="inlineStr">
        <is>
          <t>TANTA NYLON</t>
        </is>
      </c>
      <c r="F109" s="11" t="n"/>
      <c r="G109" s="11" t="inlineStr">
        <is>
          <t>GND-02</t>
        </is>
      </c>
      <c r="H109" s="11" t="n">
        <v>4</v>
      </c>
      <c r="I109" s="11" t="inlineStr">
        <is>
          <t>Gantungan</t>
        </is>
      </c>
      <c r="J109" s="12">
        <f>IF(G109="","",IFERROR(INDEX(DAFTAR_FIXTURE!$B$2:$B$51,MATCH(G109,DAFTAR_FIXTURE!$A$2:$A$51,0)),""))</f>
        <v/>
      </c>
      <c r="K109" s="12">
        <f>IF(OR(J109="",H109=""),"",IFERROR(INDEX(LAYOUT!$D$2:$D$34,MATCH(J109&amp;"|"&amp;H109,LAYOUT!$E$2:$E$34,0)),"zona tidak ada di layout"))</f>
        <v/>
      </c>
      <c r="L109" s="12">
        <f>IF(OR(G109="",A109=""),"",COUNTIFS($G$2:$G$500,G109,$H$2:$H$500,H109,$A$2:$A$500,"&lt;&gt;"))</f>
        <v/>
      </c>
      <c r="M109" s="12">
        <f>IF(AND(A109="",G109=""),"",IF(G109="","Belum ditempatkan",IF(J109="","CEK ID FIXTURE tidak ada di DAFTAR_FIXTURE",IF(H109="","CEK ZONA NO kosong",IF(K109="zona tidak ada di layout","CEK ZONA NO di luar layout",IF(I109&lt;&gt;K109,"CEK JENIS ZONA",IF(A109="","Zona STOCK",IF(B109="","CEK SKU DESCRIPTION kosong","OK"))))))))</f>
        <v/>
      </c>
    </row>
    <row r="110">
      <c r="A110" s="10" t="inlineStr">
        <is>
          <t>10198159</t>
        </is>
      </c>
      <c r="B110" s="11" t="inlineStr">
        <is>
          <t>TANTA NYLON LADLE</t>
        </is>
      </c>
      <c r="C110" s="11" t="inlineStr">
        <is>
          <t>ALAT MASAK</t>
        </is>
      </c>
      <c r="D110" s="11" t="inlineStr">
        <is>
          <t>C1. KITCHEN TOOLS</t>
        </is>
      </c>
      <c r="E110" s="11" t="inlineStr">
        <is>
          <t>TANTA NYLON</t>
        </is>
      </c>
      <c r="F110" s="11" t="n"/>
      <c r="G110" s="11" t="inlineStr">
        <is>
          <t>GND-02</t>
        </is>
      </c>
      <c r="H110" s="11" t="n">
        <v>4</v>
      </c>
      <c r="I110" s="11" t="inlineStr">
        <is>
          <t>Gantungan</t>
        </is>
      </c>
      <c r="J110" s="12">
        <f>IF(G110="","",IFERROR(INDEX(DAFTAR_FIXTURE!$B$2:$B$51,MATCH(G110,DAFTAR_FIXTURE!$A$2:$A$51,0)),""))</f>
        <v/>
      </c>
      <c r="K110" s="12">
        <f>IF(OR(J110="",H110=""),"",IFERROR(INDEX(LAYOUT!$D$2:$D$34,MATCH(J110&amp;"|"&amp;H110,LAYOUT!$E$2:$E$34,0)),"zona tidak ada di layout"))</f>
        <v/>
      </c>
      <c r="L110" s="12">
        <f>IF(OR(G110="",A110=""),"",COUNTIFS($G$2:$G$500,G110,$H$2:$H$500,H110,$A$2:$A$500,"&lt;&gt;"))</f>
        <v/>
      </c>
      <c r="M110" s="12">
        <f>IF(AND(A110="",G110=""),"",IF(G110="","Belum ditempatkan",IF(J110="","CEK ID FIXTURE tidak ada di DAFTAR_FIXTURE",IF(H110="","CEK ZONA NO kosong",IF(K110="zona tidak ada di layout","CEK ZONA NO di luar layout",IF(I110&lt;&gt;K110,"CEK JENIS ZONA",IF(A110="","Zona STOCK",IF(B110="","CEK SKU DESCRIPTION kosong","OK"))))))))</f>
        <v/>
      </c>
    </row>
    <row r="111">
      <c r="A111" s="10" t="inlineStr">
        <is>
          <t>10198160</t>
        </is>
      </c>
      <c r="B111" s="11" t="inlineStr">
        <is>
          <t>TANTA NYLON WHISK</t>
        </is>
      </c>
      <c r="C111" s="11" t="inlineStr">
        <is>
          <t>ALAT MASAK</t>
        </is>
      </c>
      <c r="D111" s="11" t="inlineStr">
        <is>
          <t>C1. KITCHEN TOOLS</t>
        </is>
      </c>
      <c r="E111" s="11" t="inlineStr">
        <is>
          <t>TANTA NYLON</t>
        </is>
      </c>
      <c r="F111" s="11" t="n"/>
      <c r="G111" s="11" t="inlineStr">
        <is>
          <t>GND-02</t>
        </is>
      </c>
      <c r="H111" s="11" t="n">
        <v>4</v>
      </c>
      <c r="I111" s="11" t="inlineStr">
        <is>
          <t>Gantungan</t>
        </is>
      </c>
      <c r="J111" s="12">
        <f>IF(G111="","",IFERROR(INDEX(DAFTAR_FIXTURE!$B$2:$B$51,MATCH(G111,DAFTAR_FIXTURE!$A$2:$A$51,0)),""))</f>
        <v/>
      </c>
      <c r="K111" s="12">
        <f>IF(OR(J111="",H111=""),"",IFERROR(INDEX(LAYOUT!$D$2:$D$34,MATCH(J111&amp;"|"&amp;H111,LAYOUT!$E$2:$E$34,0)),"zona tidak ada di layout"))</f>
        <v/>
      </c>
      <c r="L111" s="12">
        <f>IF(OR(G111="",A111=""),"",COUNTIFS($G$2:$G$500,G111,$H$2:$H$500,H111,$A$2:$A$500,"&lt;&gt;"))</f>
        <v/>
      </c>
      <c r="M111" s="12">
        <f>IF(AND(A111="",G111=""),"",IF(G111="","Belum ditempatkan",IF(J111="","CEK ID FIXTURE tidak ada di DAFTAR_FIXTURE",IF(H111="","CEK ZONA NO kosong",IF(K111="zona tidak ada di layout","CEK ZONA NO di luar layout",IF(I111&lt;&gt;K111,"CEK JENIS ZONA",IF(A111="","Zona STOCK",IF(B111="","CEK SKU DESCRIPTION kosong","OK"))))))))</f>
        <v/>
      </c>
    </row>
    <row r="112">
      <c r="A112" s="10" t="inlineStr">
        <is>
          <t>10421603</t>
        </is>
      </c>
      <c r="B112" s="11" t="inlineStr">
        <is>
          <t>KINGSTON SAUCEPAN WITH LID 16CM GREEN</t>
        </is>
      </c>
      <c r="C112" s="11" t="inlineStr">
        <is>
          <t>MASAK</t>
        </is>
      </c>
      <c r="D112" s="11" t="inlineStr">
        <is>
          <t>B2. COOKWARE</t>
        </is>
      </c>
      <c r="E112" s="11" t="inlineStr">
        <is>
          <t>KINGSTON</t>
        </is>
      </c>
      <c r="F112" s="11" t="n"/>
      <c r="G112" s="11" t="inlineStr">
        <is>
          <t>END-01</t>
        </is>
      </c>
      <c r="H112" s="11" t="n">
        <v>1</v>
      </c>
      <c r="I112" s="11" t="inlineStr">
        <is>
          <t>Rak</t>
        </is>
      </c>
      <c r="J112" s="12">
        <f>IF(G112="","",IFERROR(INDEX(DAFTAR_FIXTURE!$B$2:$B$51,MATCH(G112,DAFTAR_FIXTURE!$A$2:$A$51,0)),""))</f>
        <v/>
      </c>
      <c r="K112" s="12">
        <f>IF(OR(J112="",H112=""),"",IFERROR(INDEX(LAYOUT!$D$2:$D$34,MATCH(J112&amp;"|"&amp;H112,LAYOUT!$E$2:$E$34,0)),"zona tidak ada di layout"))</f>
        <v/>
      </c>
      <c r="L112" s="12">
        <f>IF(OR(G112="",A112=""),"",COUNTIFS($G$2:$G$500,G112,$H$2:$H$500,H112,$A$2:$A$500,"&lt;&gt;"))</f>
        <v/>
      </c>
      <c r="M112" s="12">
        <f>IF(AND(A112="",G112=""),"",IF(G112="","Belum ditempatkan",IF(J112="","CEK ID FIXTURE tidak ada di DAFTAR_FIXTURE",IF(H112="","CEK ZONA NO kosong",IF(K112="zona tidak ada di layout","CEK ZONA NO di luar layout",IF(I112&lt;&gt;K112,"CEK JENIS ZONA",IF(A112="","Zona STOCK",IF(B112="","CEK SKU DESCRIPTION kosong","OK"))))))))</f>
        <v/>
      </c>
    </row>
    <row r="113">
      <c r="A113" s="10" t="inlineStr">
        <is>
          <t>10421608</t>
        </is>
      </c>
      <c r="B113" s="11" t="inlineStr">
        <is>
          <t>KINGSTON CASSEROLE WITH LID 20 CM GREEN</t>
        </is>
      </c>
      <c r="C113" s="11" t="inlineStr">
        <is>
          <t>MASAK</t>
        </is>
      </c>
      <c r="D113" s="11" t="inlineStr">
        <is>
          <t>B2. COOKWARE</t>
        </is>
      </c>
      <c r="E113" s="11" t="inlineStr">
        <is>
          <t>KINGSTON</t>
        </is>
      </c>
      <c r="F113" s="11" t="n"/>
      <c r="G113" s="11" t="inlineStr">
        <is>
          <t>END-01</t>
        </is>
      </c>
      <c r="H113" s="11" t="n">
        <v>2</v>
      </c>
      <c r="I113" s="11" t="inlineStr">
        <is>
          <t>Rak</t>
        </is>
      </c>
      <c r="J113" s="12">
        <f>IF(G113="","",IFERROR(INDEX(DAFTAR_FIXTURE!$B$2:$B$51,MATCH(G113,DAFTAR_FIXTURE!$A$2:$A$51,0)),""))</f>
        <v/>
      </c>
      <c r="K113" s="12">
        <f>IF(OR(J113="",H113=""),"",IFERROR(INDEX(LAYOUT!$D$2:$D$34,MATCH(J113&amp;"|"&amp;H113,LAYOUT!$E$2:$E$34,0)),"zona tidak ada di layout"))</f>
        <v/>
      </c>
      <c r="L113" s="12">
        <f>IF(OR(G113="",A113=""),"",COUNTIFS($G$2:$G$500,G113,$H$2:$H$500,H113,$A$2:$A$500,"&lt;&gt;"))</f>
        <v/>
      </c>
      <c r="M113" s="12">
        <f>IF(AND(A113="",G113=""),"",IF(G113="","Belum ditempatkan",IF(J113="","CEK ID FIXTURE tidak ada di DAFTAR_FIXTURE",IF(H113="","CEK ZONA NO kosong",IF(K113="zona tidak ada di layout","CEK ZONA NO di luar layout",IF(I113&lt;&gt;K113,"CEK JENIS ZONA",IF(A113="","Zona STOCK",IF(B113="","CEK SKU DESCRIPTION kosong","OK"))))))))</f>
        <v/>
      </c>
    </row>
    <row r="114">
      <c r="A114" s="10" t="inlineStr">
        <is>
          <t>10421610</t>
        </is>
      </c>
      <c r="B114" s="11" t="inlineStr">
        <is>
          <t>KINGSTON GRILL PAN 24CM GREEN</t>
        </is>
      </c>
      <c r="C114" s="11" t="inlineStr">
        <is>
          <t>MASAK</t>
        </is>
      </c>
      <c r="D114" s="11" t="inlineStr">
        <is>
          <t>B2. COOKWARE</t>
        </is>
      </c>
      <c r="E114" s="11" t="inlineStr">
        <is>
          <t>KINGSTON</t>
        </is>
      </c>
      <c r="F114" s="11" t="n"/>
      <c r="G114" s="11" t="inlineStr">
        <is>
          <t>END-01</t>
        </is>
      </c>
      <c r="H114" s="11" t="n">
        <v>3</v>
      </c>
      <c r="I114" s="11" t="inlineStr">
        <is>
          <t>Rak</t>
        </is>
      </c>
      <c r="J114" s="12">
        <f>IF(G114="","",IFERROR(INDEX(DAFTAR_FIXTURE!$B$2:$B$51,MATCH(G114,DAFTAR_FIXTURE!$A$2:$A$51,0)),""))</f>
        <v/>
      </c>
      <c r="K114" s="12">
        <f>IF(OR(J114="",H114=""),"",IFERROR(INDEX(LAYOUT!$D$2:$D$34,MATCH(J114&amp;"|"&amp;H114,LAYOUT!$E$2:$E$34,0)),"zona tidak ada di layout"))</f>
        <v/>
      </c>
      <c r="L114" s="12">
        <f>IF(OR(G114="",A114=""),"",COUNTIFS($G$2:$G$500,G114,$H$2:$H$500,H114,$A$2:$A$500,"&lt;&gt;"))</f>
        <v/>
      </c>
      <c r="M114" s="12">
        <f>IF(AND(A114="",G114=""),"",IF(G114="","Belum ditempatkan",IF(J114="","CEK ID FIXTURE tidak ada di DAFTAR_FIXTURE",IF(H114="","CEK ZONA NO kosong",IF(K114="zona tidak ada di layout","CEK ZONA NO di luar layout",IF(I114&lt;&gt;K114,"CEK JENIS ZONA",IF(A114="","Zona STOCK",IF(B114="","CEK SKU DESCRIPTION kosong","OK"))))))))</f>
        <v/>
      </c>
    </row>
    <row r="115">
      <c r="A115" s="10" t="inlineStr">
        <is>
          <t>10421614</t>
        </is>
      </c>
      <c r="B115" s="11" t="inlineStr">
        <is>
          <t>KIRA WOK 2 HANDLE W LID AND UTENSIL BRN</t>
        </is>
      </c>
      <c r="C115" s="11" t="inlineStr">
        <is>
          <t>MASAK</t>
        </is>
      </c>
      <c r="D115" s="11" t="inlineStr">
        <is>
          <t>B2. COOKWARE</t>
        </is>
      </c>
      <c r="E115" s="11" t="inlineStr">
        <is>
          <t>KIRA</t>
        </is>
      </c>
      <c r="F115" s="11" t="n"/>
      <c r="G115" s="11" t="inlineStr">
        <is>
          <t>END-01</t>
        </is>
      </c>
      <c r="H115" s="11" t="n">
        <v>4</v>
      </c>
      <c r="I115" s="11" t="inlineStr">
        <is>
          <t>Rak</t>
        </is>
      </c>
      <c r="J115" s="12">
        <f>IF(G115="","",IFERROR(INDEX(DAFTAR_FIXTURE!$B$2:$B$51,MATCH(G115,DAFTAR_FIXTURE!$A$2:$A$51,0)),""))</f>
        <v/>
      </c>
      <c r="K115" s="12">
        <f>IF(OR(J115="",H115=""),"",IFERROR(INDEX(LAYOUT!$D$2:$D$34,MATCH(J115&amp;"|"&amp;H115,LAYOUT!$E$2:$E$34,0)),"zona tidak ada di layout"))</f>
        <v/>
      </c>
      <c r="L115" s="12">
        <f>IF(OR(G115="",A115=""),"",COUNTIFS($G$2:$G$500,G115,$H$2:$H$500,H115,$A$2:$A$500,"&lt;&gt;"))</f>
        <v/>
      </c>
      <c r="M115" s="12">
        <f>IF(AND(A115="",G115=""),"",IF(G115="","Belum ditempatkan",IF(J115="","CEK ID FIXTURE tidak ada di DAFTAR_FIXTURE",IF(H115="","CEK ZONA NO kosong",IF(K115="zona tidak ada di layout","CEK ZONA NO di luar layout",IF(I115&lt;&gt;K115,"CEK JENIS ZONA",IF(A115="","Zona STOCK",IF(B115="","CEK SKU DESCRIPTION kosong","OK"))))))))</f>
        <v/>
      </c>
    </row>
    <row r="116">
      <c r="A116" s="10" t="inlineStr">
        <is>
          <t>10099887</t>
        </is>
      </c>
      <c r="B116" s="11" t="inlineStr">
        <is>
          <t>ELAN WATER GLASS SET 414ML (6)</t>
        </is>
      </c>
      <c r="C116" s="11" t="inlineStr">
        <is>
          <t>MAKAN</t>
        </is>
      </c>
      <c r="D116" s="11" t="inlineStr">
        <is>
          <t>A1. GLASSWARE</t>
        </is>
      </c>
      <c r="E116" s="11" t="inlineStr">
        <is>
          <t>ELAN</t>
        </is>
      </c>
      <c r="F116" s="11" t="n"/>
      <c r="G116" s="11" t="inlineStr">
        <is>
          <t>PLT-01</t>
        </is>
      </c>
      <c r="H116" s="11" t="n">
        <v>1</v>
      </c>
      <c r="I116" s="11" t="inlineStr">
        <is>
          <t>Rak</t>
        </is>
      </c>
      <c r="J116" s="12">
        <f>IF(G116="","",IFERROR(INDEX(DAFTAR_FIXTURE!$B$2:$B$51,MATCH(G116,DAFTAR_FIXTURE!$A$2:$A$51,0)),""))</f>
        <v/>
      </c>
      <c r="K116" s="12">
        <f>IF(OR(J116="",H116=""),"",IFERROR(INDEX(LAYOUT!$D$2:$D$34,MATCH(J116&amp;"|"&amp;H116,LAYOUT!$E$2:$E$34,0)),"zona tidak ada di layout"))</f>
        <v/>
      </c>
      <c r="L116" s="12">
        <f>IF(OR(G116="",A116=""),"",COUNTIFS($G$2:$G$500,G116,$H$2:$H$500,H116,$A$2:$A$500,"&lt;&gt;"))</f>
        <v/>
      </c>
      <c r="M116" s="12">
        <f>IF(AND(A116="",G116=""),"",IF(G116="","Belum ditempatkan",IF(J116="","CEK ID FIXTURE tidak ada di DAFTAR_FIXTURE",IF(H116="","CEK ZONA NO kosong",IF(K116="zona tidak ada di layout","CEK ZONA NO di luar layout",IF(I116&lt;&gt;K116,"CEK JENIS ZONA",IF(A116="","Zona STOCK",IF(B116="","CEK SKU DESCRIPTION kosong","OK"))))))))</f>
        <v/>
      </c>
    </row>
    <row r="117">
      <c r="A117" s="10" t="inlineStr">
        <is>
          <t>10099940</t>
        </is>
      </c>
      <c r="B117" s="11" t="inlineStr">
        <is>
          <t>INVERNESS WATER GLASS SET 355ML (6)</t>
        </is>
      </c>
      <c r="C117" s="11" t="inlineStr">
        <is>
          <t>MAKAN</t>
        </is>
      </c>
      <c r="D117" s="11" t="inlineStr">
        <is>
          <t>A1. GLASSWARE</t>
        </is>
      </c>
      <c r="E117" s="11" t="inlineStr">
        <is>
          <t>INVERNESS</t>
        </is>
      </c>
      <c r="F117" s="11" t="n"/>
      <c r="G117" s="11" t="inlineStr">
        <is>
          <t>PLT-01</t>
        </is>
      </c>
      <c r="H117" s="11" t="n">
        <v>1</v>
      </c>
      <c r="I117" s="11" t="inlineStr">
        <is>
          <t>Rak</t>
        </is>
      </c>
      <c r="J117" s="12">
        <f>IF(G117="","",IFERROR(INDEX(DAFTAR_FIXTURE!$B$2:$B$51,MATCH(G117,DAFTAR_FIXTURE!$A$2:$A$51,0)),""))</f>
        <v/>
      </c>
      <c r="K117" s="12">
        <f>IF(OR(J117="",H117=""),"",IFERROR(INDEX(LAYOUT!$D$2:$D$34,MATCH(J117&amp;"|"&amp;H117,LAYOUT!$E$2:$E$34,0)),"zona tidak ada di layout"))</f>
        <v/>
      </c>
      <c r="L117" s="12">
        <f>IF(OR(G117="",A117=""),"",COUNTIFS($G$2:$G$500,G117,$H$2:$H$500,H117,$A$2:$A$500,"&lt;&gt;"))</f>
        <v/>
      </c>
      <c r="M117" s="12">
        <f>IF(AND(A117="",G117=""),"",IF(G117="","Belum ditempatkan",IF(J117="","CEK ID FIXTURE tidak ada di DAFTAR_FIXTURE",IF(H117="","CEK ZONA NO kosong",IF(K117="zona tidak ada di layout","CEK ZONA NO di luar layout",IF(I117&lt;&gt;K117,"CEK JENIS ZONA",IF(A117="","Zona STOCK",IF(B117="","CEK SKU DESCRIPTION kosong","OK"))))))))</f>
        <v/>
      </c>
    </row>
    <row r="118">
      <c r="A118" s="10" t="inlineStr">
        <is>
          <t>10198151</t>
        </is>
      </c>
      <c r="B118" s="11" t="inlineStr">
        <is>
          <t>TANTA NYLON TONGS 12 INCH</t>
        </is>
      </c>
      <c r="C118" s="11" t="inlineStr">
        <is>
          <t>ALAT MASAK</t>
        </is>
      </c>
      <c r="D118" s="11" t="inlineStr">
        <is>
          <t>C1. KITCHEN TOOLS</t>
        </is>
      </c>
      <c r="E118" s="11" t="inlineStr">
        <is>
          <t>TANTA NYLON</t>
        </is>
      </c>
      <c r="F118" s="11" t="n"/>
      <c r="G118" s="11" t="inlineStr">
        <is>
          <t>WLL-03</t>
        </is>
      </c>
      <c r="H118" s="11" t="n">
        <v>3</v>
      </c>
      <c r="I118" s="11" t="inlineStr">
        <is>
          <t>Rak</t>
        </is>
      </c>
      <c r="J118" s="12">
        <f>IF(G118="","",IFERROR(INDEX(DAFTAR_FIXTURE!$B$2:$B$51,MATCH(G118,DAFTAR_FIXTURE!$A$2:$A$51,0)),""))</f>
        <v/>
      </c>
      <c r="K118" s="12">
        <f>IF(OR(J118="",H118=""),"",IFERROR(INDEX(LAYOUT!$D$2:$D$34,MATCH(J118&amp;"|"&amp;H118,LAYOUT!$E$2:$E$34,0)),"zona tidak ada di layout"))</f>
        <v/>
      </c>
      <c r="L118" s="12">
        <f>IF(OR(G118="",A118=""),"",COUNTIFS($G$2:$G$500,G118,$H$2:$H$500,H118,$A$2:$A$500,"&lt;&gt;"))</f>
        <v/>
      </c>
      <c r="M118" s="12">
        <f>IF(AND(A118="",G118=""),"",IF(G118="","Belum ditempatkan",IF(J118="","CEK ID FIXTURE tidak ada di DAFTAR_FIXTURE",IF(H118="","CEK ZONA NO kosong",IF(K118="zona tidak ada di layout","CEK ZONA NO di luar layout",IF(I118&lt;&gt;K118,"CEK JENIS ZONA",IF(A118="","Zona STOCK",IF(B118="","CEK SKU DESCRIPTION kosong","OK"))))))))</f>
        <v/>
      </c>
    </row>
    <row r="119">
      <c r="A119" s="10" t="inlineStr">
        <is>
          <t>10198152</t>
        </is>
      </c>
      <c r="B119" s="11" t="inlineStr">
        <is>
          <t>TANTA S/S SOLID TURNER M</t>
        </is>
      </c>
      <c r="C119" s="11" t="inlineStr">
        <is>
          <t>ALAT MASAK</t>
        </is>
      </c>
      <c r="D119" s="11" t="inlineStr">
        <is>
          <t>C1. KITCHEN TOOLS</t>
        </is>
      </c>
      <c r="E119" s="11" t="inlineStr">
        <is>
          <t>TANTA S/S</t>
        </is>
      </c>
      <c r="F119" s="11" t="n"/>
      <c r="G119" s="11" t="inlineStr">
        <is>
          <t>WLL-03</t>
        </is>
      </c>
      <c r="H119" s="11" t="n">
        <v>3</v>
      </c>
      <c r="I119" s="11" t="inlineStr">
        <is>
          <t>Rak</t>
        </is>
      </c>
      <c r="J119" s="12">
        <f>IF(G119="","",IFERROR(INDEX(DAFTAR_FIXTURE!$B$2:$B$51,MATCH(G119,DAFTAR_FIXTURE!$A$2:$A$51,0)),""))</f>
        <v/>
      </c>
      <c r="K119" s="12">
        <f>IF(OR(J119="",H119=""),"",IFERROR(INDEX(LAYOUT!$D$2:$D$34,MATCH(J119&amp;"|"&amp;H119,LAYOUT!$E$2:$E$34,0)),"zona tidak ada di layout"))</f>
        <v/>
      </c>
      <c r="L119" s="12">
        <f>IF(OR(G119="",A119=""),"",COUNTIFS($G$2:$G$500,G119,$H$2:$H$500,H119,$A$2:$A$500,"&lt;&gt;"))</f>
        <v/>
      </c>
      <c r="M119" s="12">
        <f>IF(AND(A119="",G119=""),"",IF(G119="","Belum ditempatkan",IF(J119="","CEK ID FIXTURE tidak ada di DAFTAR_FIXTURE",IF(H119="","CEK ZONA NO kosong",IF(K119="zona tidak ada di layout","CEK ZONA NO di luar layout",IF(I119&lt;&gt;K119,"CEK JENIS ZONA",IF(A119="","Zona STOCK",IF(B119="","CEK SKU DESCRIPTION kosong","OK"))))))))</f>
        <v/>
      </c>
    </row>
    <row r="120">
      <c r="A120" s="10" t="inlineStr">
        <is>
          <t>10681572</t>
        </is>
      </c>
      <c r="B120" s="11" t="inlineStr">
        <is>
          <t>SERVING GLASS OVAL PLATER ZOE GOLD</t>
        </is>
      </c>
      <c r="C120" s="11" t="inlineStr">
        <is>
          <t>MAKAN</t>
        </is>
      </c>
      <c r="D120" s="11" t="inlineStr">
        <is>
          <t>A2. SERVINGWARE</t>
        </is>
      </c>
      <c r="E120" s="11" t="inlineStr">
        <is>
          <t>W/GOLD RACK GLASS</t>
        </is>
      </c>
      <c r="F120" s="11" t="n"/>
      <c r="G120" s="11" t="inlineStr">
        <is>
          <t>GND-01</t>
        </is>
      </c>
      <c r="H120" s="11" t="n">
        <v>3</v>
      </c>
      <c r="I120" s="11" t="inlineStr">
        <is>
          <t>Rak</t>
        </is>
      </c>
      <c r="J120" s="12">
        <f>IF(G120="","",IFERROR(INDEX(DAFTAR_FIXTURE!$B$2:$B$51,MATCH(G120,DAFTAR_FIXTURE!$A$2:$A$51,0)),""))</f>
        <v/>
      </c>
      <c r="K120" s="12">
        <f>IF(OR(J120="",H120=""),"",IFERROR(INDEX(LAYOUT!$D$2:$D$34,MATCH(J120&amp;"|"&amp;H120,LAYOUT!$E$2:$E$34,0)),"zona tidak ada di layout"))</f>
        <v/>
      </c>
      <c r="L120" s="12">
        <f>IF(OR(G120="",A120=""),"",COUNTIFS($G$2:$G$500,G120,$H$2:$H$500,H120,$A$2:$A$500,"&lt;&gt;"))</f>
        <v/>
      </c>
      <c r="M120" s="12">
        <f>IF(AND(A120="",G120=""),"",IF(G120="","Belum ditempatkan",IF(J120="","CEK ID FIXTURE tidak ada di DAFTAR_FIXTURE",IF(H120="","CEK ZONA NO kosong",IF(K120="zona tidak ada di layout","CEK ZONA NO di luar layout",IF(I120&lt;&gt;K120,"CEK JENIS ZONA",IF(A120="","Zona STOCK",IF(B120="","CEK SKU DESCRIPTION kosong","OK"))))))))</f>
        <v/>
      </c>
    </row>
    <row r="121">
      <c r="A121" s="10" t="inlineStr">
        <is>
          <t>10681573</t>
        </is>
      </c>
      <c r="B121" s="11" t="inlineStr">
        <is>
          <t>SERVING GLASS SQR TWO RACK ZENA GOLD</t>
        </is>
      </c>
      <c r="C121" s="11" t="inlineStr">
        <is>
          <t>MAKAN</t>
        </is>
      </c>
      <c r="D121" s="11" t="inlineStr">
        <is>
          <t>A2. SERVINGWARE</t>
        </is>
      </c>
      <c r="E121" s="11" t="inlineStr">
        <is>
          <t>W/GOLD RACK GLASS</t>
        </is>
      </c>
      <c r="F121" s="11" t="n"/>
      <c r="G121" s="11" t="inlineStr">
        <is>
          <t>GND-01</t>
        </is>
      </c>
      <c r="H121" s="11" t="n">
        <v>3</v>
      </c>
      <c r="I121" s="11" t="inlineStr">
        <is>
          <t>Rak</t>
        </is>
      </c>
      <c r="J121" s="12">
        <f>IF(G121="","",IFERROR(INDEX(DAFTAR_FIXTURE!$B$2:$B$51,MATCH(G121,DAFTAR_FIXTURE!$A$2:$A$51,0)),""))</f>
        <v/>
      </c>
      <c r="K121" s="12">
        <f>IF(OR(J121="",H121=""),"",IFERROR(INDEX(LAYOUT!$D$2:$D$34,MATCH(J121&amp;"|"&amp;H121,LAYOUT!$E$2:$E$34,0)),"zona tidak ada di layout"))</f>
        <v/>
      </c>
      <c r="L121" s="12">
        <f>IF(OR(G121="",A121=""),"",COUNTIFS($G$2:$G$500,G121,$H$2:$H$500,H121,$A$2:$A$500,"&lt;&gt;"))</f>
        <v/>
      </c>
      <c r="M121" s="12">
        <f>IF(AND(A121="",G121=""),"",IF(G121="","Belum ditempatkan",IF(J121="","CEK ID FIXTURE tidak ada di DAFTAR_FIXTURE",IF(H121="","CEK ZONA NO kosong",IF(K121="zona tidak ada di layout","CEK ZONA NO di luar layout",IF(I121&lt;&gt;K121,"CEK JENIS ZONA",IF(A121="","Zona STOCK",IF(B121="","CEK SKU DESCRIPTION kosong","OK"))))))))</f>
        <v/>
      </c>
    </row>
    <row r="122">
      <c r="A122" s="10" t="inlineStr">
        <is>
          <t>10681574</t>
        </is>
      </c>
      <c r="B122" s="11" t="inlineStr">
        <is>
          <t>SERVING GLASS RND TWO RACK ZIA GOLD</t>
        </is>
      </c>
      <c r="C122" s="11" t="inlineStr">
        <is>
          <t>MAKAN</t>
        </is>
      </c>
      <c r="D122" s="11" t="inlineStr">
        <is>
          <t>A2. SERVINGWARE</t>
        </is>
      </c>
      <c r="E122" s="11" t="inlineStr">
        <is>
          <t>W/GOLD RACK GLASS</t>
        </is>
      </c>
      <c r="F122" s="11" t="n"/>
      <c r="G122" s="11" t="inlineStr">
        <is>
          <t>GND-01</t>
        </is>
      </c>
      <c r="H122" s="11" t="n">
        <v>3</v>
      </c>
      <c r="I122" s="11" t="inlineStr">
        <is>
          <t>Rak</t>
        </is>
      </c>
      <c r="J122" s="12">
        <f>IF(G122="","",IFERROR(INDEX(DAFTAR_FIXTURE!$B$2:$B$51,MATCH(G122,DAFTAR_FIXTURE!$A$2:$A$51,0)),""))</f>
        <v/>
      </c>
      <c r="K122" s="12">
        <f>IF(OR(J122="",H122=""),"",IFERROR(INDEX(LAYOUT!$D$2:$D$34,MATCH(J122&amp;"|"&amp;H122,LAYOUT!$E$2:$E$34,0)),"zona tidak ada di layout"))</f>
        <v/>
      </c>
      <c r="L122" s="12">
        <f>IF(OR(G122="",A122=""),"",COUNTIFS($G$2:$G$500,G122,$H$2:$H$500,H122,$A$2:$A$500,"&lt;&gt;"))</f>
        <v/>
      </c>
      <c r="M122" s="12">
        <f>IF(AND(A122="",G122=""),"",IF(G122="","Belum ditempatkan",IF(J122="","CEK ID FIXTURE tidak ada di DAFTAR_FIXTURE",IF(H122="","CEK ZONA NO kosong",IF(K122="zona tidak ada di layout","CEK ZONA NO di luar layout",IF(I122&lt;&gt;K122,"CEK JENIS ZONA",IF(A122="","Zona STOCK",IF(B122="","CEK SKU DESCRIPTION kosong","OK"))))))))</f>
        <v/>
      </c>
    </row>
    <row r="123">
      <c r="A123" s="10" t="inlineStr">
        <is>
          <t>10682153</t>
        </is>
      </c>
      <c r="B123" s="11" t="inlineStr">
        <is>
          <t>EID 2026 GLASS JAR SET OF 3 900ML</t>
        </is>
      </c>
      <c r="C123" s="11" t="inlineStr">
        <is>
          <t>PENYIMPANAN</t>
        </is>
      </c>
      <c r="D123" s="11" t="inlineStr">
        <is>
          <t>E4. CANISTER</t>
        </is>
      </c>
      <c r="E123" s="11" t="inlineStr">
        <is>
          <t>GLASS FANCY</t>
        </is>
      </c>
      <c r="F123" s="11" t="n"/>
      <c r="G123" s="11" t="inlineStr">
        <is>
          <t>GND-01</t>
        </is>
      </c>
      <c r="H123" s="11" t="n">
        <v>4</v>
      </c>
      <c r="I123" s="11" t="inlineStr">
        <is>
          <t>Rak</t>
        </is>
      </c>
      <c r="J123" s="12">
        <f>IF(G123="","",IFERROR(INDEX(DAFTAR_FIXTURE!$B$2:$B$51,MATCH(G123,DAFTAR_FIXTURE!$A$2:$A$51,0)),""))</f>
        <v/>
      </c>
      <c r="K123" s="12">
        <f>IF(OR(J123="",H123=""),"",IFERROR(INDEX(LAYOUT!$D$2:$D$34,MATCH(J123&amp;"|"&amp;H123,LAYOUT!$E$2:$E$34,0)),"zona tidak ada di layout"))</f>
        <v/>
      </c>
      <c r="L123" s="12">
        <f>IF(OR(G123="",A123=""),"",COUNTIFS($G$2:$G$500,G123,$H$2:$H$500,H123,$A$2:$A$500,"&lt;&gt;"))</f>
        <v/>
      </c>
      <c r="M123" s="12">
        <f>IF(AND(A123="",G123=""),"",IF(G123="","Belum ditempatkan",IF(J123="","CEK ID FIXTURE tidak ada di DAFTAR_FIXTURE",IF(H123="","CEK ZONA NO kosong",IF(K123="zona tidak ada di layout","CEK ZONA NO di luar layout",IF(I123&lt;&gt;K123,"CEK JENIS ZONA",IF(A123="","Zona STOCK",IF(B123="","CEK SKU DESCRIPTION kosong","OK"))))))))</f>
        <v/>
      </c>
    </row>
    <row r="124">
      <c r="A124" s="10" t="inlineStr">
        <is>
          <t>10682154</t>
        </is>
      </c>
      <c r="B124" s="11" t="inlineStr">
        <is>
          <t>GRETTA GLASS JAR SET OF 4 WITH RACK</t>
        </is>
      </c>
      <c r="C124" s="11" t="inlineStr">
        <is>
          <t>PENYIMPANAN</t>
        </is>
      </c>
      <c r="D124" s="11" t="inlineStr">
        <is>
          <t>E4. CANISTER</t>
        </is>
      </c>
      <c r="E124" s="11" t="inlineStr">
        <is>
          <t>GLASS BASIC</t>
        </is>
      </c>
      <c r="F124" s="11" t="n"/>
      <c r="G124" s="11" t="inlineStr">
        <is>
          <t>GND-01</t>
        </is>
      </c>
      <c r="H124" s="11" t="n">
        <v>4</v>
      </c>
      <c r="I124" s="11" t="inlineStr">
        <is>
          <t>Rak</t>
        </is>
      </c>
      <c r="J124" s="12">
        <f>IF(G124="","",IFERROR(INDEX(DAFTAR_FIXTURE!$B$2:$B$51,MATCH(G124,DAFTAR_FIXTURE!$A$2:$A$51,0)),""))</f>
        <v/>
      </c>
      <c r="K124" s="12">
        <f>IF(OR(J124="",H124=""),"",IFERROR(INDEX(LAYOUT!$D$2:$D$34,MATCH(J124&amp;"|"&amp;H124,LAYOUT!$E$2:$E$34,0)),"zona tidak ada di layout"))</f>
        <v/>
      </c>
      <c r="L124" s="12">
        <f>IF(OR(G124="",A124=""),"",COUNTIFS($G$2:$G$500,G124,$H$2:$H$500,H124,$A$2:$A$500,"&lt;&gt;"))</f>
        <v/>
      </c>
      <c r="M124" s="12">
        <f>IF(AND(A124="",G124=""),"",IF(G124="","Belum ditempatkan",IF(J124="","CEK ID FIXTURE tidak ada di DAFTAR_FIXTURE",IF(H124="","CEK ZONA NO kosong",IF(K124="zona tidak ada di layout","CEK ZONA NO di luar layout",IF(I124&lt;&gt;K124,"CEK JENIS ZONA",IF(A124="","Zona STOCK",IF(B124="","CEK SKU DESCRIPTION kosong","OK"))))))))</f>
        <v/>
      </c>
    </row>
    <row r="125">
      <c r="A125" s="10" t="inlineStr">
        <is>
          <t>10682155</t>
        </is>
      </c>
      <c r="B125" s="11" t="inlineStr">
        <is>
          <t>GRETTA GLASS JAR SET OF 3 WITH RACK</t>
        </is>
      </c>
      <c r="C125" s="11" t="inlineStr">
        <is>
          <t>PENYIMPANAN</t>
        </is>
      </c>
      <c r="D125" s="11" t="inlineStr">
        <is>
          <t>E4. CANISTER</t>
        </is>
      </c>
      <c r="E125" s="11" t="inlineStr">
        <is>
          <t>GLASS BASIC</t>
        </is>
      </c>
      <c r="F125" s="11" t="n"/>
      <c r="G125" s="11" t="inlineStr">
        <is>
          <t>GND-01</t>
        </is>
      </c>
      <c r="H125" s="11" t="n">
        <v>4</v>
      </c>
      <c r="I125" s="11" t="inlineStr">
        <is>
          <t>Rak</t>
        </is>
      </c>
      <c r="J125" s="12">
        <f>IF(G125="","",IFERROR(INDEX(DAFTAR_FIXTURE!$B$2:$B$51,MATCH(G125,DAFTAR_FIXTURE!$A$2:$A$51,0)),""))</f>
        <v/>
      </c>
      <c r="K125" s="12">
        <f>IF(OR(J125="",H125=""),"",IFERROR(INDEX(LAYOUT!$D$2:$D$34,MATCH(J125&amp;"|"&amp;H125,LAYOUT!$E$2:$E$34,0)),"zona tidak ada di layout"))</f>
        <v/>
      </c>
      <c r="L125" s="12">
        <f>IF(OR(G125="",A125=""),"",COUNTIFS($G$2:$G$500,G125,$H$2:$H$500,H125,$A$2:$A$500,"&lt;&gt;"))</f>
        <v/>
      </c>
      <c r="M125" s="12">
        <f>IF(AND(A125="",G125=""),"",IF(G125="","Belum ditempatkan",IF(J125="","CEK ID FIXTURE tidak ada di DAFTAR_FIXTURE",IF(H125="","CEK ZONA NO kosong",IF(K125="zona tidak ada di layout","CEK ZONA NO di luar layout",IF(I125&lt;&gt;K125,"CEK JENIS ZONA",IF(A125="","Zona STOCK",IF(B125="","CEK SKU DESCRIPTION kosong","OK"))))))))</f>
        <v/>
      </c>
    </row>
    <row r="126">
      <c r="A126" s="10" t="inlineStr">
        <is>
          <t>10681993</t>
        </is>
      </c>
      <c r="B126" s="11" t="inlineStr">
        <is>
          <t>POLLA RICE BIN 5KG BEIGE</t>
        </is>
      </c>
      <c r="C126" s="11" t="inlineStr">
        <is>
          <t>MASAK</t>
        </is>
      </c>
      <c r="D126" s="11" t="inlineStr">
        <is>
          <t>D11. KITCHEN PLASTICWARE</t>
        </is>
      </c>
      <c r="E126" s="11" t="inlineStr">
        <is>
          <t>POLLA</t>
        </is>
      </c>
      <c r="F126" s="11" t="n"/>
      <c r="G126" s="11" t="inlineStr">
        <is>
          <t>GND-01</t>
        </is>
      </c>
      <c r="H126" s="11" t="n">
        <v>4</v>
      </c>
      <c r="I126" s="11" t="inlineStr">
        <is>
          <t>Rak</t>
        </is>
      </c>
      <c r="J126" s="12">
        <f>IF(G126="","",IFERROR(INDEX(DAFTAR_FIXTURE!$B$2:$B$51,MATCH(G126,DAFTAR_FIXTURE!$A$2:$A$51,0)),""))</f>
        <v/>
      </c>
      <c r="K126" s="12">
        <f>IF(OR(J126="",H126=""),"",IFERROR(INDEX(LAYOUT!$D$2:$D$34,MATCH(J126&amp;"|"&amp;H126,LAYOUT!$E$2:$E$34,0)),"zona tidak ada di layout"))</f>
        <v/>
      </c>
      <c r="L126" s="12">
        <f>IF(OR(G126="",A126=""),"",COUNTIFS($G$2:$G$500,G126,$H$2:$H$500,H126,$A$2:$A$500,"&lt;&gt;"))</f>
        <v/>
      </c>
      <c r="M126" s="12">
        <f>IF(AND(A126="",G126=""),"",IF(G126="","Belum ditempatkan",IF(J126="","CEK ID FIXTURE tidak ada di DAFTAR_FIXTURE",IF(H126="","CEK ZONA NO kosong",IF(K126="zona tidak ada di layout","CEK ZONA NO di luar layout",IF(I126&lt;&gt;K126,"CEK JENIS ZONA",IF(A126="","Zona STOCK",IF(B126="","CEK SKU DESCRIPTION kosong","OK"))))))))</f>
        <v/>
      </c>
    </row>
    <row r="127">
      <c r="A127" s="10" t="inlineStr">
        <is>
          <t>10682153</t>
        </is>
      </c>
      <c r="B127" s="11" t="inlineStr">
        <is>
          <t>EID 2026 GLASS JAR SET OF 3 900ML</t>
        </is>
      </c>
      <c r="C127" s="11" t="inlineStr">
        <is>
          <t>PENYIMPANAN</t>
        </is>
      </c>
      <c r="D127" s="11" t="inlineStr">
        <is>
          <t>E4. CANISTER</t>
        </is>
      </c>
      <c r="E127" s="11" t="inlineStr">
        <is>
          <t>GLASS FANCY</t>
        </is>
      </c>
      <c r="F127" s="11" t="n"/>
      <c r="G127" s="11" t="inlineStr">
        <is>
          <t>WLL-01</t>
        </is>
      </c>
      <c r="H127" s="11" t="n">
        <v>5</v>
      </c>
      <c r="I127" s="11" t="inlineStr">
        <is>
          <t>Rak</t>
        </is>
      </c>
      <c r="J127" s="12">
        <f>IF(G127="","",IFERROR(INDEX(DAFTAR_FIXTURE!$B$2:$B$51,MATCH(G127,DAFTAR_FIXTURE!$A$2:$A$51,0)),""))</f>
        <v/>
      </c>
      <c r="K127" s="12">
        <f>IF(OR(J127="",H127=""),"",IFERROR(INDEX(LAYOUT!$D$2:$D$34,MATCH(J127&amp;"|"&amp;H127,LAYOUT!$E$2:$E$34,0)),"zona tidak ada di layout"))</f>
        <v/>
      </c>
      <c r="L127" s="12">
        <f>IF(OR(G127="",A127=""),"",COUNTIFS($G$2:$G$500,G127,$H$2:$H$500,H127,$A$2:$A$500,"&lt;&gt;"))</f>
        <v/>
      </c>
      <c r="M127" s="12">
        <f>IF(AND(A127="",G127=""),"",IF(G127="","Belum ditempatkan",IF(J127="","CEK ID FIXTURE tidak ada di DAFTAR_FIXTURE",IF(H127="","CEK ZONA NO kosong",IF(K127="zona tidak ada di layout","CEK ZONA NO di luar layout",IF(I127&lt;&gt;K127,"CEK JENIS ZONA",IF(A127="","Zona STOCK",IF(B127="","CEK SKU DESCRIPTION kosong","OK"))))))))</f>
        <v/>
      </c>
    </row>
    <row r="128">
      <c r="A128" s="10" t="inlineStr">
        <is>
          <t>10681572</t>
        </is>
      </c>
      <c r="B128" s="11" t="inlineStr">
        <is>
          <t>SERVING GLASS OVAL PLATER ZOE GOLD</t>
        </is>
      </c>
      <c r="C128" s="11" t="inlineStr">
        <is>
          <t>MAKAN</t>
        </is>
      </c>
      <c r="D128" s="11" t="inlineStr">
        <is>
          <t>A2. SERVINGWARE</t>
        </is>
      </c>
      <c r="E128" s="11" t="inlineStr">
        <is>
          <t>W/GOLD RACK GLASS</t>
        </is>
      </c>
      <c r="F128" s="11" t="n"/>
      <c r="G128" s="11" t="inlineStr">
        <is>
          <t>WLL-02</t>
        </is>
      </c>
      <c r="H128" s="11" t="n">
        <v>4</v>
      </c>
      <c r="I128" s="11" t="inlineStr">
        <is>
          <t>Rak</t>
        </is>
      </c>
      <c r="J128" s="12">
        <f>IF(G128="","",IFERROR(INDEX(DAFTAR_FIXTURE!$B$2:$B$51,MATCH(G128,DAFTAR_FIXTURE!$A$2:$A$51,0)),""))</f>
        <v/>
      </c>
      <c r="K128" s="12">
        <f>IF(OR(J128="",H128=""),"",IFERROR(INDEX(LAYOUT!$D$2:$D$34,MATCH(J128&amp;"|"&amp;H128,LAYOUT!$E$2:$E$34,0)),"zona tidak ada di layout"))</f>
        <v/>
      </c>
      <c r="L128" s="12">
        <f>IF(OR(G128="",A128=""),"",COUNTIFS($G$2:$G$500,G128,$H$2:$H$500,H128,$A$2:$A$500,"&lt;&gt;"))</f>
        <v/>
      </c>
      <c r="M128" s="12">
        <f>IF(AND(A128="",G128=""),"",IF(G128="","Belum ditempatkan",IF(J128="","CEK ID FIXTURE tidak ada di DAFTAR_FIXTURE",IF(H128="","CEK ZONA NO kosong",IF(K128="zona tidak ada di layout","CEK ZONA NO di luar layout",IF(I128&lt;&gt;K128,"CEK JENIS ZONA",IF(A128="","Zona STOCK",IF(B128="","CEK SKU DESCRIPTION kosong","OK"))))))))</f>
        <v/>
      </c>
    </row>
    <row r="129">
      <c r="A129" s="10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2">
        <f>IF(G129="","",IFERROR(INDEX(DAFTAR_FIXTURE!$B$2:$B$51,MATCH(G129,DAFTAR_FIXTURE!$A$2:$A$51,0)),""))</f>
        <v/>
      </c>
      <c r="K129" s="12">
        <f>IF(OR(J129="",H129=""),"",IFERROR(INDEX(LAYOUT!$D$2:$D$34,MATCH(J129&amp;"|"&amp;H129,LAYOUT!$E$2:$E$34,0)),"zona tidak ada di layout"))</f>
        <v/>
      </c>
      <c r="L129" s="12">
        <f>IF(OR(G129="",A129=""),"",COUNTIFS($G$2:$G$500,G129,$H$2:$H$500,H129,$A$2:$A$500,"&lt;&gt;"))</f>
        <v/>
      </c>
      <c r="M129" s="12">
        <f>IF(AND(A129="",G129=""),"",IF(G129="","Belum ditempatkan",IF(J129="","CEK ID FIXTURE tidak ada di DAFTAR_FIXTURE",IF(H129="","CEK ZONA NO kosong",IF(K129="zona tidak ada di layout","CEK ZONA NO di luar layout",IF(I129&lt;&gt;K129,"CEK JENIS ZONA",IF(A129="","Zona STOCK",IF(B129="","CEK SKU DESCRIPTION kosong","OK"))))))))</f>
        <v/>
      </c>
    </row>
    <row r="130">
      <c r="A130" s="10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2">
        <f>IF(G130="","",IFERROR(INDEX(DAFTAR_FIXTURE!$B$2:$B$51,MATCH(G130,DAFTAR_FIXTURE!$A$2:$A$51,0)),""))</f>
        <v/>
      </c>
      <c r="K130" s="12">
        <f>IF(OR(J130="",H130=""),"",IFERROR(INDEX(LAYOUT!$D$2:$D$34,MATCH(J130&amp;"|"&amp;H130,LAYOUT!$E$2:$E$34,0)),"zona tidak ada di layout"))</f>
        <v/>
      </c>
      <c r="L130" s="12">
        <f>IF(OR(G130="",A130=""),"",COUNTIFS($G$2:$G$500,G130,$H$2:$H$500,H130,$A$2:$A$500,"&lt;&gt;"))</f>
        <v/>
      </c>
      <c r="M130" s="12">
        <f>IF(AND(A130="",G130=""),"",IF(G130="","Belum ditempatkan",IF(J130="","CEK ID FIXTURE tidak ada di DAFTAR_FIXTURE",IF(H130="","CEK ZONA NO kosong",IF(K130="zona tidak ada di layout","CEK ZONA NO di luar layout",IF(I130&lt;&gt;K130,"CEK JENIS ZONA",IF(A130="","Zona STOCK",IF(B130="","CEK SKU DESCRIPTION kosong","OK"))))))))</f>
        <v/>
      </c>
    </row>
    <row r="131">
      <c r="A131" s="10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2">
        <f>IF(G131="","",IFERROR(INDEX(DAFTAR_FIXTURE!$B$2:$B$51,MATCH(G131,DAFTAR_FIXTURE!$A$2:$A$51,0)),""))</f>
        <v/>
      </c>
      <c r="K131" s="12">
        <f>IF(OR(J131="",H131=""),"",IFERROR(INDEX(LAYOUT!$D$2:$D$34,MATCH(J131&amp;"|"&amp;H131,LAYOUT!$E$2:$E$34,0)),"zona tidak ada di layout"))</f>
        <v/>
      </c>
      <c r="L131" s="12">
        <f>IF(OR(G131="",A131=""),"",COUNTIFS($G$2:$G$500,G131,$H$2:$H$500,H131,$A$2:$A$500,"&lt;&gt;"))</f>
        <v/>
      </c>
      <c r="M131" s="12">
        <f>IF(AND(A131="",G131=""),"",IF(G131="","Belum ditempatkan",IF(J131="","CEK ID FIXTURE tidak ada di DAFTAR_FIXTURE",IF(H131="","CEK ZONA NO kosong",IF(K131="zona tidak ada di layout","CEK ZONA NO di luar layout",IF(I131&lt;&gt;K131,"CEK JENIS ZONA",IF(A131="","Zona STOCK",IF(B131="","CEK SKU DESCRIPTION kosong","OK"))))))))</f>
        <v/>
      </c>
    </row>
    <row r="132">
      <c r="A132" s="10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2">
        <f>IF(G132="","",IFERROR(INDEX(DAFTAR_FIXTURE!$B$2:$B$51,MATCH(G132,DAFTAR_FIXTURE!$A$2:$A$51,0)),""))</f>
        <v/>
      </c>
      <c r="K132" s="12">
        <f>IF(OR(J132="",H132=""),"",IFERROR(INDEX(LAYOUT!$D$2:$D$34,MATCH(J132&amp;"|"&amp;H132,LAYOUT!$E$2:$E$34,0)),"zona tidak ada di layout"))</f>
        <v/>
      </c>
      <c r="L132" s="12">
        <f>IF(OR(G132="",A132=""),"",COUNTIFS($G$2:$G$500,G132,$H$2:$H$500,H132,$A$2:$A$500,"&lt;&gt;"))</f>
        <v/>
      </c>
      <c r="M132" s="12">
        <f>IF(AND(A132="",G132=""),"",IF(G132="","Belum ditempatkan",IF(J132="","CEK ID FIXTURE tidak ada di DAFTAR_FIXTURE",IF(H132="","CEK ZONA NO kosong",IF(K132="zona tidak ada di layout","CEK ZONA NO di luar layout",IF(I132&lt;&gt;K132,"CEK JENIS ZONA",IF(A132="","Zona STOCK",IF(B132="","CEK SKU DESCRIPTION kosong","OK"))))))))</f>
        <v/>
      </c>
    </row>
    <row r="133">
      <c r="A133" s="10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2">
        <f>IF(G133="","",IFERROR(INDEX(DAFTAR_FIXTURE!$B$2:$B$51,MATCH(G133,DAFTAR_FIXTURE!$A$2:$A$51,0)),""))</f>
        <v/>
      </c>
      <c r="K133" s="12">
        <f>IF(OR(J133="",H133=""),"",IFERROR(INDEX(LAYOUT!$D$2:$D$34,MATCH(J133&amp;"|"&amp;H133,LAYOUT!$E$2:$E$34,0)),"zona tidak ada di layout"))</f>
        <v/>
      </c>
      <c r="L133" s="12">
        <f>IF(OR(G133="",A133=""),"",COUNTIFS($G$2:$G$500,G133,$H$2:$H$500,H133,$A$2:$A$500,"&lt;&gt;"))</f>
        <v/>
      </c>
      <c r="M133" s="12">
        <f>IF(AND(A133="",G133=""),"",IF(G133="","Belum ditempatkan",IF(J133="","CEK ID FIXTURE tidak ada di DAFTAR_FIXTURE",IF(H133="","CEK ZONA NO kosong",IF(K133="zona tidak ada di layout","CEK ZONA NO di luar layout",IF(I133&lt;&gt;K133,"CEK JENIS ZONA",IF(A133="","Zona STOCK",IF(B133="","CEK SKU DESCRIPTION kosong","OK"))))))))</f>
        <v/>
      </c>
    </row>
    <row r="134">
      <c r="A134" s="10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2">
        <f>IF(G134="","",IFERROR(INDEX(DAFTAR_FIXTURE!$B$2:$B$51,MATCH(G134,DAFTAR_FIXTURE!$A$2:$A$51,0)),""))</f>
        <v/>
      </c>
      <c r="K134" s="12">
        <f>IF(OR(J134="",H134=""),"",IFERROR(INDEX(LAYOUT!$D$2:$D$34,MATCH(J134&amp;"|"&amp;H134,LAYOUT!$E$2:$E$34,0)),"zona tidak ada di layout"))</f>
        <v/>
      </c>
      <c r="L134" s="12">
        <f>IF(OR(G134="",A134=""),"",COUNTIFS($G$2:$G$500,G134,$H$2:$H$500,H134,$A$2:$A$500,"&lt;&gt;"))</f>
        <v/>
      </c>
      <c r="M134" s="12">
        <f>IF(AND(A134="",G134=""),"",IF(G134="","Belum ditempatkan",IF(J134="","CEK ID FIXTURE tidak ada di DAFTAR_FIXTURE",IF(H134="","CEK ZONA NO kosong",IF(K134="zona tidak ada di layout","CEK ZONA NO di luar layout",IF(I134&lt;&gt;K134,"CEK JENIS ZONA",IF(A134="","Zona STOCK",IF(B134="","CEK SKU DESCRIPTION kosong","OK"))))))))</f>
        <v/>
      </c>
    </row>
    <row r="135">
      <c r="A135" s="10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2">
        <f>IF(G135="","",IFERROR(INDEX(DAFTAR_FIXTURE!$B$2:$B$51,MATCH(G135,DAFTAR_FIXTURE!$A$2:$A$51,0)),""))</f>
        <v/>
      </c>
      <c r="K135" s="12">
        <f>IF(OR(J135="",H135=""),"",IFERROR(INDEX(LAYOUT!$D$2:$D$34,MATCH(J135&amp;"|"&amp;H135,LAYOUT!$E$2:$E$34,0)),"zona tidak ada di layout"))</f>
        <v/>
      </c>
      <c r="L135" s="12">
        <f>IF(OR(G135="",A135=""),"",COUNTIFS($G$2:$G$500,G135,$H$2:$H$500,H135,$A$2:$A$500,"&lt;&gt;"))</f>
        <v/>
      </c>
      <c r="M135" s="12">
        <f>IF(AND(A135="",G135=""),"",IF(G135="","Belum ditempatkan",IF(J135="","CEK ID FIXTURE tidak ada di DAFTAR_FIXTURE",IF(H135="","CEK ZONA NO kosong",IF(K135="zona tidak ada di layout","CEK ZONA NO di luar layout",IF(I135&lt;&gt;K135,"CEK JENIS ZONA",IF(A135="","Zona STOCK",IF(B135="","CEK SKU DESCRIPTION kosong","OK"))))))))</f>
        <v/>
      </c>
    </row>
    <row r="136">
      <c r="A136" s="10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2">
        <f>IF(G136="","",IFERROR(INDEX(DAFTAR_FIXTURE!$B$2:$B$51,MATCH(G136,DAFTAR_FIXTURE!$A$2:$A$51,0)),""))</f>
        <v/>
      </c>
      <c r="K136" s="12">
        <f>IF(OR(J136="",H136=""),"",IFERROR(INDEX(LAYOUT!$D$2:$D$34,MATCH(J136&amp;"|"&amp;H136,LAYOUT!$E$2:$E$34,0)),"zona tidak ada di layout"))</f>
        <v/>
      </c>
      <c r="L136" s="12">
        <f>IF(OR(G136="",A136=""),"",COUNTIFS($G$2:$G$500,G136,$H$2:$H$500,H136,$A$2:$A$500,"&lt;&gt;"))</f>
        <v/>
      </c>
      <c r="M136" s="12">
        <f>IF(AND(A136="",G136=""),"",IF(G136="","Belum ditempatkan",IF(J136="","CEK ID FIXTURE tidak ada di DAFTAR_FIXTURE",IF(H136="","CEK ZONA NO kosong",IF(K136="zona tidak ada di layout","CEK ZONA NO di luar layout",IF(I136&lt;&gt;K136,"CEK JENIS ZONA",IF(A136="","Zona STOCK",IF(B136="","CEK SKU DESCRIPTION kosong","OK"))))))))</f>
        <v/>
      </c>
    </row>
    <row r="137">
      <c r="A137" s="10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2">
        <f>IF(G137="","",IFERROR(INDEX(DAFTAR_FIXTURE!$B$2:$B$51,MATCH(G137,DAFTAR_FIXTURE!$A$2:$A$51,0)),""))</f>
        <v/>
      </c>
      <c r="K137" s="12">
        <f>IF(OR(J137="",H137=""),"",IFERROR(INDEX(LAYOUT!$D$2:$D$34,MATCH(J137&amp;"|"&amp;H137,LAYOUT!$E$2:$E$34,0)),"zona tidak ada di layout"))</f>
        <v/>
      </c>
      <c r="L137" s="12">
        <f>IF(OR(G137="",A137=""),"",COUNTIFS($G$2:$G$500,G137,$H$2:$H$500,H137,$A$2:$A$500,"&lt;&gt;"))</f>
        <v/>
      </c>
      <c r="M137" s="12">
        <f>IF(AND(A137="",G137=""),"",IF(G137="","Belum ditempatkan",IF(J137="","CEK ID FIXTURE tidak ada di DAFTAR_FIXTURE",IF(H137="","CEK ZONA NO kosong",IF(K137="zona tidak ada di layout","CEK ZONA NO di luar layout",IF(I137&lt;&gt;K137,"CEK JENIS ZONA",IF(A137="","Zona STOCK",IF(B137="","CEK SKU DESCRIPTION kosong","OK"))))))))</f>
        <v/>
      </c>
    </row>
    <row r="138">
      <c r="A138" s="10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2">
        <f>IF(G138="","",IFERROR(INDEX(DAFTAR_FIXTURE!$B$2:$B$51,MATCH(G138,DAFTAR_FIXTURE!$A$2:$A$51,0)),""))</f>
        <v/>
      </c>
      <c r="K138" s="12">
        <f>IF(OR(J138="",H138=""),"",IFERROR(INDEX(LAYOUT!$D$2:$D$34,MATCH(J138&amp;"|"&amp;H138,LAYOUT!$E$2:$E$34,0)),"zona tidak ada di layout"))</f>
        <v/>
      </c>
      <c r="L138" s="12">
        <f>IF(OR(G138="",A138=""),"",COUNTIFS($G$2:$G$500,G138,$H$2:$H$500,H138,$A$2:$A$500,"&lt;&gt;"))</f>
        <v/>
      </c>
      <c r="M138" s="12">
        <f>IF(AND(A138="",G138=""),"",IF(G138="","Belum ditempatkan",IF(J138="","CEK ID FIXTURE tidak ada di DAFTAR_FIXTURE",IF(H138="","CEK ZONA NO kosong",IF(K138="zona tidak ada di layout","CEK ZONA NO di luar layout",IF(I138&lt;&gt;K138,"CEK JENIS ZONA",IF(A138="","Zona STOCK",IF(B138="","CEK SKU DESCRIPTION kosong","OK"))))))))</f>
        <v/>
      </c>
    </row>
    <row r="139">
      <c r="A139" s="10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2">
        <f>IF(G139="","",IFERROR(INDEX(DAFTAR_FIXTURE!$B$2:$B$51,MATCH(G139,DAFTAR_FIXTURE!$A$2:$A$51,0)),""))</f>
        <v/>
      </c>
      <c r="K139" s="12">
        <f>IF(OR(J139="",H139=""),"",IFERROR(INDEX(LAYOUT!$D$2:$D$34,MATCH(J139&amp;"|"&amp;H139,LAYOUT!$E$2:$E$34,0)),"zona tidak ada di layout"))</f>
        <v/>
      </c>
      <c r="L139" s="12">
        <f>IF(OR(G139="",A139=""),"",COUNTIFS($G$2:$G$500,G139,$H$2:$H$500,H139,$A$2:$A$500,"&lt;&gt;"))</f>
        <v/>
      </c>
      <c r="M139" s="12">
        <f>IF(AND(A139="",G139=""),"",IF(G139="","Belum ditempatkan",IF(J139="","CEK ID FIXTURE tidak ada di DAFTAR_FIXTURE",IF(H139="","CEK ZONA NO kosong",IF(K139="zona tidak ada di layout","CEK ZONA NO di luar layout",IF(I139&lt;&gt;K139,"CEK JENIS ZONA",IF(A139="","Zona STOCK",IF(B139="","CEK SKU DESCRIPTION kosong","OK"))))))))</f>
        <v/>
      </c>
    </row>
    <row r="140">
      <c r="A140" s="10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2">
        <f>IF(G140="","",IFERROR(INDEX(DAFTAR_FIXTURE!$B$2:$B$51,MATCH(G140,DAFTAR_FIXTURE!$A$2:$A$51,0)),""))</f>
        <v/>
      </c>
      <c r="K140" s="12">
        <f>IF(OR(J140="",H140=""),"",IFERROR(INDEX(LAYOUT!$D$2:$D$34,MATCH(J140&amp;"|"&amp;H140,LAYOUT!$E$2:$E$34,0)),"zona tidak ada di layout"))</f>
        <v/>
      </c>
      <c r="L140" s="12">
        <f>IF(OR(G140="",A140=""),"",COUNTIFS($G$2:$G$500,G140,$H$2:$H$500,H140,$A$2:$A$500,"&lt;&gt;"))</f>
        <v/>
      </c>
      <c r="M140" s="12">
        <f>IF(AND(A140="",G140=""),"",IF(G140="","Belum ditempatkan",IF(J140="","CEK ID FIXTURE tidak ada di DAFTAR_FIXTURE",IF(H140="","CEK ZONA NO kosong",IF(K140="zona tidak ada di layout","CEK ZONA NO di luar layout",IF(I140&lt;&gt;K140,"CEK JENIS ZONA",IF(A140="","Zona STOCK",IF(B140="","CEK SKU DESCRIPTION kosong","OK"))))))))</f>
        <v/>
      </c>
    </row>
    <row r="141">
      <c r="A141" s="10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2">
        <f>IF(G141="","",IFERROR(INDEX(DAFTAR_FIXTURE!$B$2:$B$51,MATCH(G141,DAFTAR_FIXTURE!$A$2:$A$51,0)),""))</f>
        <v/>
      </c>
      <c r="K141" s="12">
        <f>IF(OR(J141="",H141=""),"",IFERROR(INDEX(LAYOUT!$D$2:$D$34,MATCH(J141&amp;"|"&amp;H141,LAYOUT!$E$2:$E$34,0)),"zona tidak ada di layout"))</f>
        <v/>
      </c>
      <c r="L141" s="12">
        <f>IF(OR(G141="",A141=""),"",COUNTIFS($G$2:$G$500,G141,$H$2:$H$500,H141,$A$2:$A$500,"&lt;&gt;"))</f>
        <v/>
      </c>
      <c r="M141" s="12">
        <f>IF(AND(A141="",G141=""),"",IF(G141="","Belum ditempatkan",IF(J141="","CEK ID FIXTURE tidak ada di DAFTAR_FIXTURE",IF(H141="","CEK ZONA NO kosong",IF(K141="zona tidak ada di layout","CEK ZONA NO di luar layout",IF(I141&lt;&gt;K141,"CEK JENIS ZONA",IF(A141="","Zona STOCK",IF(B141="","CEK SKU DESCRIPTION kosong","OK"))))))))</f>
        <v/>
      </c>
    </row>
    <row r="142">
      <c r="A142" s="10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2">
        <f>IF(G142="","",IFERROR(INDEX(DAFTAR_FIXTURE!$B$2:$B$51,MATCH(G142,DAFTAR_FIXTURE!$A$2:$A$51,0)),""))</f>
        <v/>
      </c>
      <c r="K142" s="12">
        <f>IF(OR(J142="",H142=""),"",IFERROR(INDEX(LAYOUT!$D$2:$D$34,MATCH(J142&amp;"|"&amp;H142,LAYOUT!$E$2:$E$34,0)),"zona tidak ada di layout"))</f>
        <v/>
      </c>
      <c r="L142" s="12">
        <f>IF(OR(G142="",A142=""),"",COUNTIFS($G$2:$G$500,G142,$H$2:$H$500,H142,$A$2:$A$500,"&lt;&gt;"))</f>
        <v/>
      </c>
      <c r="M142" s="12">
        <f>IF(AND(A142="",G142=""),"",IF(G142="","Belum ditempatkan",IF(J142="","CEK ID FIXTURE tidak ada di DAFTAR_FIXTURE",IF(H142="","CEK ZONA NO kosong",IF(K142="zona tidak ada di layout","CEK ZONA NO di luar layout",IF(I142&lt;&gt;K142,"CEK JENIS ZONA",IF(A142="","Zona STOCK",IF(B142="","CEK SKU DESCRIPTION kosong","OK"))))))))</f>
        <v/>
      </c>
    </row>
    <row r="143">
      <c r="A143" s="10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2">
        <f>IF(G143="","",IFERROR(INDEX(DAFTAR_FIXTURE!$B$2:$B$51,MATCH(G143,DAFTAR_FIXTURE!$A$2:$A$51,0)),""))</f>
        <v/>
      </c>
      <c r="K143" s="12">
        <f>IF(OR(J143="",H143=""),"",IFERROR(INDEX(LAYOUT!$D$2:$D$34,MATCH(J143&amp;"|"&amp;H143,LAYOUT!$E$2:$E$34,0)),"zona tidak ada di layout"))</f>
        <v/>
      </c>
      <c r="L143" s="12">
        <f>IF(OR(G143="",A143=""),"",COUNTIFS($G$2:$G$500,G143,$H$2:$H$500,H143,$A$2:$A$500,"&lt;&gt;"))</f>
        <v/>
      </c>
      <c r="M143" s="12">
        <f>IF(AND(A143="",G143=""),"",IF(G143="","Belum ditempatkan",IF(J143="","CEK ID FIXTURE tidak ada di DAFTAR_FIXTURE",IF(H143="","CEK ZONA NO kosong",IF(K143="zona tidak ada di layout","CEK ZONA NO di luar layout",IF(I143&lt;&gt;K143,"CEK JENIS ZONA",IF(A143="","Zona STOCK",IF(B143="","CEK SKU DESCRIPTION kosong","OK"))))))))</f>
        <v/>
      </c>
    </row>
    <row r="144">
      <c r="A144" s="10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2">
        <f>IF(G144="","",IFERROR(INDEX(DAFTAR_FIXTURE!$B$2:$B$51,MATCH(G144,DAFTAR_FIXTURE!$A$2:$A$51,0)),""))</f>
        <v/>
      </c>
      <c r="K144" s="12">
        <f>IF(OR(J144="",H144=""),"",IFERROR(INDEX(LAYOUT!$D$2:$D$34,MATCH(J144&amp;"|"&amp;H144,LAYOUT!$E$2:$E$34,0)),"zona tidak ada di layout"))</f>
        <v/>
      </c>
      <c r="L144" s="12">
        <f>IF(OR(G144="",A144=""),"",COUNTIFS($G$2:$G$500,G144,$H$2:$H$500,H144,$A$2:$A$500,"&lt;&gt;"))</f>
        <v/>
      </c>
      <c r="M144" s="12">
        <f>IF(AND(A144="",G144=""),"",IF(G144="","Belum ditempatkan",IF(J144="","CEK ID FIXTURE tidak ada di DAFTAR_FIXTURE",IF(H144="","CEK ZONA NO kosong",IF(K144="zona tidak ada di layout","CEK ZONA NO di luar layout",IF(I144&lt;&gt;K144,"CEK JENIS ZONA",IF(A144="","Zona STOCK",IF(B144="","CEK SKU DESCRIPTION kosong","OK"))))))))</f>
        <v/>
      </c>
    </row>
    <row r="145">
      <c r="A145" s="10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2">
        <f>IF(G145="","",IFERROR(INDEX(DAFTAR_FIXTURE!$B$2:$B$51,MATCH(G145,DAFTAR_FIXTURE!$A$2:$A$51,0)),""))</f>
        <v/>
      </c>
      <c r="K145" s="12">
        <f>IF(OR(J145="",H145=""),"",IFERROR(INDEX(LAYOUT!$D$2:$D$34,MATCH(J145&amp;"|"&amp;H145,LAYOUT!$E$2:$E$34,0)),"zona tidak ada di layout"))</f>
        <v/>
      </c>
      <c r="L145" s="12">
        <f>IF(OR(G145="",A145=""),"",COUNTIFS($G$2:$G$500,G145,$H$2:$H$500,H145,$A$2:$A$500,"&lt;&gt;"))</f>
        <v/>
      </c>
      <c r="M145" s="12">
        <f>IF(AND(A145="",G145=""),"",IF(G145="","Belum ditempatkan",IF(J145="","CEK ID FIXTURE tidak ada di DAFTAR_FIXTURE",IF(H145="","CEK ZONA NO kosong",IF(K145="zona tidak ada di layout","CEK ZONA NO di luar layout",IF(I145&lt;&gt;K145,"CEK JENIS ZONA",IF(A145="","Zona STOCK",IF(B145="","CEK SKU DESCRIPTION kosong","OK"))))))))</f>
        <v/>
      </c>
    </row>
    <row r="146">
      <c r="A146" s="10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2">
        <f>IF(G146="","",IFERROR(INDEX(DAFTAR_FIXTURE!$B$2:$B$51,MATCH(G146,DAFTAR_FIXTURE!$A$2:$A$51,0)),""))</f>
        <v/>
      </c>
      <c r="K146" s="12">
        <f>IF(OR(J146="",H146=""),"",IFERROR(INDEX(LAYOUT!$D$2:$D$34,MATCH(J146&amp;"|"&amp;H146,LAYOUT!$E$2:$E$34,0)),"zona tidak ada di layout"))</f>
        <v/>
      </c>
      <c r="L146" s="12">
        <f>IF(OR(G146="",A146=""),"",COUNTIFS($G$2:$G$500,G146,$H$2:$H$500,H146,$A$2:$A$500,"&lt;&gt;"))</f>
        <v/>
      </c>
      <c r="M146" s="12">
        <f>IF(AND(A146="",G146=""),"",IF(G146="","Belum ditempatkan",IF(J146="","CEK ID FIXTURE tidak ada di DAFTAR_FIXTURE",IF(H146="","CEK ZONA NO kosong",IF(K146="zona tidak ada di layout","CEK ZONA NO di luar layout",IF(I146&lt;&gt;K146,"CEK JENIS ZONA",IF(A146="","Zona STOCK",IF(B146="","CEK SKU DESCRIPTION kosong","OK"))))))))</f>
        <v/>
      </c>
    </row>
    <row r="147">
      <c r="A147" s="10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2">
        <f>IF(G147="","",IFERROR(INDEX(DAFTAR_FIXTURE!$B$2:$B$51,MATCH(G147,DAFTAR_FIXTURE!$A$2:$A$51,0)),""))</f>
        <v/>
      </c>
      <c r="K147" s="12">
        <f>IF(OR(J147="",H147=""),"",IFERROR(INDEX(LAYOUT!$D$2:$D$34,MATCH(J147&amp;"|"&amp;H147,LAYOUT!$E$2:$E$34,0)),"zona tidak ada di layout"))</f>
        <v/>
      </c>
      <c r="L147" s="12">
        <f>IF(OR(G147="",A147=""),"",COUNTIFS($G$2:$G$500,G147,$H$2:$H$500,H147,$A$2:$A$500,"&lt;&gt;"))</f>
        <v/>
      </c>
      <c r="M147" s="12">
        <f>IF(AND(A147="",G147=""),"",IF(G147="","Belum ditempatkan",IF(J147="","CEK ID FIXTURE tidak ada di DAFTAR_FIXTURE",IF(H147="","CEK ZONA NO kosong",IF(K147="zona tidak ada di layout","CEK ZONA NO di luar layout",IF(I147&lt;&gt;K147,"CEK JENIS ZONA",IF(A147="","Zona STOCK",IF(B147="","CEK SKU DESCRIPTION kosong","OK"))))))))</f>
        <v/>
      </c>
    </row>
    <row r="148">
      <c r="A148" s="10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2">
        <f>IF(G148="","",IFERROR(INDEX(DAFTAR_FIXTURE!$B$2:$B$51,MATCH(G148,DAFTAR_FIXTURE!$A$2:$A$51,0)),""))</f>
        <v/>
      </c>
      <c r="K148" s="12">
        <f>IF(OR(J148="",H148=""),"",IFERROR(INDEX(LAYOUT!$D$2:$D$34,MATCH(J148&amp;"|"&amp;H148,LAYOUT!$E$2:$E$34,0)),"zona tidak ada di layout"))</f>
        <v/>
      </c>
      <c r="L148" s="12">
        <f>IF(OR(G148="",A148=""),"",COUNTIFS($G$2:$G$500,G148,$H$2:$H$500,H148,$A$2:$A$500,"&lt;&gt;"))</f>
        <v/>
      </c>
      <c r="M148" s="12">
        <f>IF(AND(A148="",G148=""),"",IF(G148="","Belum ditempatkan",IF(J148="","CEK ID FIXTURE tidak ada di DAFTAR_FIXTURE",IF(H148="","CEK ZONA NO kosong",IF(K148="zona tidak ada di layout","CEK ZONA NO di luar layout",IF(I148&lt;&gt;K148,"CEK JENIS ZONA",IF(A148="","Zona STOCK",IF(B148="","CEK SKU DESCRIPTION kosong","OK"))))))))</f>
        <v/>
      </c>
    </row>
    <row r="149">
      <c r="A149" s="10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2">
        <f>IF(G149="","",IFERROR(INDEX(DAFTAR_FIXTURE!$B$2:$B$51,MATCH(G149,DAFTAR_FIXTURE!$A$2:$A$51,0)),""))</f>
        <v/>
      </c>
      <c r="K149" s="12">
        <f>IF(OR(J149="",H149=""),"",IFERROR(INDEX(LAYOUT!$D$2:$D$34,MATCH(J149&amp;"|"&amp;H149,LAYOUT!$E$2:$E$34,0)),"zona tidak ada di layout"))</f>
        <v/>
      </c>
      <c r="L149" s="12">
        <f>IF(OR(G149="",A149=""),"",COUNTIFS($G$2:$G$500,G149,$H$2:$H$500,H149,$A$2:$A$500,"&lt;&gt;"))</f>
        <v/>
      </c>
      <c r="M149" s="12">
        <f>IF(AND(A149="",G149=""),"",IF(G149="","Belum ditempatkan",IF(J149="","CEK ID FIXTURE tidak ada di DAFTAR_FIXTURE",IF(H149="","CEK ZONA NO kosong",IF(K149="zona tidak ada di layout","CEK ZONA NO di luar layout",IF(I149&lt;&gt;K149,"CEK JENIS ZONA",IF(A149="","Zona STOCK",IF(B149="","CEK SKU DESCRIPTION kosong","OK"))))))))</f>
        <v/>
      </c>
    </row>
    <row r="150">
      <c r="A150" s="10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2">
        <f>IF(G150="","",IFERROR(INDEX(DAFTAR_FIXTURE!$B$2:$B$51,MATCH(G150,DAFTAR_FIXTURE!$A$2:$A$51,0)),""))</f>
        <v/>
      </c>
      <c r="K150" s="12">
        <f>IF(OR(J150="",H150=""),"",IFERROR(INDEX(LAYOUT!$D$2:$D$34,MATCH(J150&amp;"|"&amp;H150,LAYOUT!$E$2:$E$34,0)),"zona tidak ada di layout"))</f>
        <v/>
      </c>
      <c r="L150" s="12">
        <f>IF(OR(G150="",A150=""),"",COUNTIFS($G$2:$G$500,G150,$H$2:$H$500,H150,$A$2:$A$500,"&lt;&gt;"))</f>
        <v/>
      </c>
      <c r="M150" s="12">
        <f>IF(AND(A150="",G150=""),"",IF(G150="","Belum ditempatkan",IF(J150="","CEK ID FIXTURE tidak ada di DAFTAR_FIXTURE",IF(H150="","CEK ZONA NO kosong",IF(K150="zona tidak ada di layout","CEK ZONA NO di luar layout",IF(I150&lt;&gt;K150,"CEK JENIS ZONA",IF(A150="","Zona STOCK",IF(B150="","CEK SKU DESCRIPTION kosong","OK"))))))))</f>
        <v/>
      </c>
    </row>
    <row r="151">
      <c r="A151" s="10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2">
        <f>IF(G151="","",IFERROR(INDEX(DAFTAR_FIXTURE!$B$2:$B$51,MATCH(G151,DAFTAR_FIXTURE!$A$2:$A$51,0)),""))</f>
        <v/>
      </c>
      <c r="K151" s="12">
        <f>IF(OR(J151="",H151=""),"",IFERROR(INDEX(LAYOUT!$D$2:$D$34,MATCH(J151&amp;"|"&amp;H151,LAYOUT!$E$2:$E$34,0)),"zona tidak ada di layout"))</f>
        <v/>
      </c>
      <c r="L151" s="12">
        <f>IF(OR(G151="",A151=""),"",COUNTIFS($G$2:$G$500,G151,$H$2:$H$500,H151,$A$2:$A$500,"&lt;&gt;"))</f>
        <v/>
      </c>
      <c r="M151" s="12">
        <f>IF(AND(A151="",G151=""),"",IF(G151="","Belum ditempatkan",IF(J151="","CEK ID FIXTURE tidak ada di DAFTAR_FIXTURE",IF(H151="","CEK ZONA NO kosong",IF(K151="zona tidak ada di layout","CEK ZONA NO di luar layout",IF(I151&lt;&gt;K151,"CEK JENIS ZONA",IF(A151="","Zona STOCK",IF(B151="","CEK SKU DESCRIPTION kosong","OK"))))))))</f>
        <v/>
      </c>
    </row>
    <row r="152">
      <c r="A152" s="10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2">
        <f>IF(G152="","",IFERROR(INDEX(DAFTAR_FIXTURE!$B$2:$B$51,MATCH(G152,DAFTAR_FIXTURE!$A$2:$A$51,0)),""))</f>
        <v/>
      </c>
      <c r="K152" s="12">
        <f>IF(OR(J152="",H152=""),"",IFERROR(INDEX(LAYOUT!$D$2:$D$34,MATCH(J152&amp;"|"&amp;H152,LAYOUT!$E$2:$E$34,0)),"zona tidak ada di layout"))</f>
        <v/>
      </c>
      <c r="L152" s="12">
        <f>IF(OR(G152="",A152=""),"",COUNTIFS($G$2:$G$500,G152,$H$2:$H$500,H152,$A$2:$A$500,"&lt;&gt;"))</f>
        <v/>
      </c>
      <c r="M152" s="12">
        <f>IF(AND(A152="",G152=""),"",IF(G152="","Belum ditempatkan",IF(J152="","CEK ID FIXTURE tidak ada di DAFTAR_FIXTURE",IF(H152="","CEK ZONA NO kosong",IF(K152="zona tidak ada di layout","CEK ZONA NO di luar layout",IF(I152&lt;&gt;K152,"CEK JENIS ZONA",IF(A152="","Zona STOCK",IF(B152="","CEK SKU DESCRIPTION kosong","OK"))))))))</f>
        <v/>
      </c>
    </row>
    <row r="153">
      <c r="A153" s="10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2">
        <f>IF(G153="","",IFERROR(INDEX(DAFTAR_FIXTURE!$B$2:$B$51,MATCH(G153,DAFTAR_FIXTURE!$A$2:$A$51,0)),""))</f>
        <v/>
      </c>
      <c r="K153" s="12">
        <f>IF(OR(J153="",H153=""),"",IFERROR(INDEX(LAYOUT!$D$2:$D$34,MATCH(J153&amp;"|"&amp;H153,LAYOUT!$E$2:$E$34,0)),"zona tidak ada di layout"))</f>
        <v/>
      </c>
      <c r="L153" s="12">
        <f>IF(OR(G153="",A153=""),"",COUNTIFS($G$2:$G$500,G153,$H$2:$H$500,H153,$A$2:$A$500,"&lt;&gt;"))</f>
        <v/>
      </c>
      <c r="M153" s="12">
        <f>IF(AND(A153="",G153=""),"",IF(G153="","Belum ditempatkan",IF(J153="","CEK ID FIXTURE tidak ada di DAFTAR_FIXTURE",IF(H153="","CEK ZONA NO kosong",IF(K153="zona tidak ada di layout","CEK ZONA NO di luar layout",IF(I153&lt;&gt;K153,"CEK JENIS ZONA",IF(A153="","Zona STOCK",IF(B153="","CEK SKU DESCRIPTION kosong","OK"))))))))</f>
        <v/>
      </c>
    </row>
    <row r="154">
      <c r="A154" s="10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2">
        <f>IF(G154="","",IFERROR(INDEX(DAFTAR_FIXTURE!$B$2:$B$51,MATCH(G154,DAFTAR_FIXTURE!$A$2:$A$51,0)),""))</f>
        <v/>
      </c>
      <c r="K154" s="12">
        <f>IF(OR(J154="",H154=""),"",IFERROR(INDEX(LAYOUT!$D$2:$D$34,MATCH(J154&amp;"|"&amp;H154,LAYOUT!$E$2:$E$34,0)),"zona tidak ada di layout"))</f>
        <v/>
      </c>
      <c r="L154" s="12">
        <f>IF(OR(G154="",A154=""),"",COUNTIFS($G$2:$G$500,G154,$H$2:$H$500,H154,$A$2:$A$500,"&lt;&gt;"))</f>
        <v/>
      </c>
      <c r="M154" s="12">
        <f>IF(AND(A154="",G154=""),"",IF(G154="","Belum ditempatkan",IF(J154="","CEK ID FIXTURE tidak ada di DAFTAR_FIXTURE",IF(H154="","CEK ZONA NO kosong",IF(K154="zona tidak ada di layout","CEK ZONA NO di luar layout",IF(I154&lt;&gt;K154,"CEK JENIS ZONA",IF(A154="","Zona STOCK",IF(B154="","CEK SKU DESCRIPTION kosong","OK"))))))))</f>
        <v/>
      </c>
    </row>
    <row r="155">
      <c r="A155" s="10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2">
        <f>IF(G155="","",IFERROR(INDEX(DAFTAR_FIXTURE!$B$2:$B$51,MATCH(G155,DAFTAR_FIXTURE!$A$2:$A$51,0)),""))</f>
        <v/>
      </c>
      <c r="K155" s="12">
        <f>IF(OR(J155="",H155=""),"",IFERROR(INDEX(LAYOUT!$D$2:$D$34,MATCH(J155&amp;"|"&amp;H155,LAYOUT!$E$2:$E$34,0)),"zona tidak ada di layout"))</f>
        <v/>
      </c>
      <c r="L155" s="12">
        <f>IF(OR(G155="",A155=""),"",COUNTIFS($G$2:$G$500,G155,$H$2:$H$500,H155,$A$2:$A$500,"&lt;&gt;"))</f>
        <v/>
      </c>
      <c r="M155" s="12">
        <f>IF(AND(A155="",G155=""),"",IF(G155="","Belum ditempatkan",IF(J155="","CEK ID FIXTURE tidak ada di DAFTAR_FIXTURE",IF(H155="","CEK ZONA NO kosong",IF(K155="zona tidak ada di layout","CEK ZONA NO di luar layout",IF(I155&lt;&gt;K155,"CEK JENIS ZONA",IF(A155="","Zona STOCK",IF(B155="","CEK SKU DESCRIPTION kosong","OK"))))))))</f>
        <v/>
      </c>
    </row>
    <row r="156">
      <c r="A156" s="10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2">
        <f>IF(G156="","",IFERROR(INDEX(DAFTAR_FIXTURE!$B$2:$B$51,MATCH(G156,DAFTAR_FIXTURE!$A$2:$A$51,0)),""))</f>
        <v/>
      </c>
      <c r="K156" s="12">
        <f>IF(OR(J156="",H156=""),"",IFERROR(INDEX(LAYOUT!$D$2:$D$34,MATCH(J156&amp;"|"&amp;H156,LAYOUT!$E$2:$E$34,0)),"zona tidak ada di layout"))</f>
        <v/>
      </c>
      <c r="L156" s="12">
        <f>IF(OR(G156="",A156=""),"",COUNTIFS($G$2:$G$500,G156,$H$2:$H$500,H156,$A$2:$A$500,"&lt;&gt;"))</f>
        <v/>
      </c>
      <c r="M156" s="12">
        <f>IF(AND(A156="",G156=""),"",IF(G156="","Belum ditempatkan",IF(J156="","CEK ID FIXTURE tidak ada di DAFTAR_FIXTURE",IF(H156="","CEK ZONA NO kosong",IF(K156="zona tidak ada di layout","CEK ZONA NO di luar layout",IF(I156&lt;&gt;K156,"CEK JENIS ZONA",IF(A156="","Zona STOCK",IF(B156="","CEK SKU DESCRIPTION kosong","OK"))))))))</f>
        <v/>
      </c>
    </row>
    <row r="157">
      <c r="A157" s="10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2">
        <f>IF(G157="","",IFERROR(INDEX(DAFTAR_FIXTURE!$B$2:$B$51,MATCH(G157,DAFTAR_FIXTURE!$A$2:$A$51,0)),""))</f>
        <v/>
      </c>
      <c r="K157" s="12">
        <f>IF(OR(J157="",H157=""),"",IFERROR(INDEX(LAYOUT!$D$2:$D$34,MATCH(J157&amp;"|"&amp;H157,LAYOUT!$E$2:$E$34,0)),"zona tidak ada di layout"))</f>
        <v/>
      </c>
      <c r="L157" s="12">
        <f>IF(OR(G157="",A157=""),"",COUNTIFS($G$2:$G$500,G157,$H$2:$H$500,H157,$A$2:$A$500,"&lt;&gt;"))</f>
        <v/>
      </c>
      <c r="M157" s="12">
        <f>IF(AND(A157="",G157=""),"",IF(G157="","Belum ditempatkan",IF(J157="","CEK ID FIXTURE tidak ada di DAFTAR_FIXTURE",IF(H157="","CEK ZONA NO kosong",IF(K157="zona tidak ada di layout","CEK ZONA NO di luar layout",IF(I157&lt;&gt;K157,"CEK JENIS ZONA",IF(A157="","Zona STOCK",IF(B157="","CEK SKU DESCRIPTION kosong","OK"))))))))</f>
        <v/>
      </c>
    </row>
    <row r="158">
      <c r="A158" s="10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2">
        <f>IF(G158="","",IFERROR(INDEX(DAFTAR_FIXTURE!$B$2:$B$51,MATCH(G158,DAFTAR_FIXTURE!$A$2:$A$51,0)),""))</f>
        <v/>
      </c>
      <c r="K158" s="12">
        <f>IF(OR(J158="",H158=""),"",IFERROR(INDEX(LAYOUT!$D$2:$D$34,MATCH(J158&amp;"|"&amp;H158,LAYOUT!$E$2:$E$34,0)),"zona tidak ada di layout"))</f>
        <v/>
      </c>
      <c r="L158" s="12">
        <f>IF(OR(G158="",A158=""),"",COUNTIFS($G$2:$G$500,G158,$H$2:$H$500,H158,$A$2:$A$500,"&lt;&gt;"))</f>
        <v/>
      </c>
      <c r="M158" s="12">
        <f>IF(AND(A158="",G158=""),"",IF(G158="","Belum ditempatkan",IF(J158="","CEK ID FIXTURE tidak ada di DAFTAR_FIXTURE",IF(H158="","CEK ZONA NO kosong",IF(K158="zona tidak ada di layout","CEK ZONA NO di luar layout",IF(I158&lt;&gt;K158,"CEK JENIS ZONA",IF(A158="","Zona STOCK",IF(B158="","CEK SKU DESCRIPTION kosong","OK"))))))))</f>
        <v/>
      </c>
    </row>
    <row r="159">
      <c r="A159" s="10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2">
        <f>IF(G159="","",IFERROR(INDEX(DAFTAR_FIXTURE!$B$2:$B$51,MATCH(G159,DAFTAR_FIXTURE!$A$2:$A$51,0)),""))</f>
        <v/>
      </c>
      <c r="K159" s="12">
        <f>IF(OR(J159="",H159=""),"",IFERROR(INDEX(LAYOUT!$D$2:$D$34,MATCH(J159&amp;"|"&amp;H159,LAYOUT!$E$2:$E$34,0)),"zona tidak ada di layout"))</f>
        <v/>
      </c>
      <c r="L159" s="12">
        <f>IF(OR(G159="",A159=""),"",COUNTIFS($G$2:$G$500,G159,$H$2:$H$500,H159,$A$2:$A$500,"&lt;&gt;"))</f>
        <v/>
      </c>
      <c r="M159" s="12">
        <f>IF(AND(A159="",G159=""),"",IF(G159="","Belum ditempatkan",IF(J159="","CEK ID FIXTURE tidak ada di DAFTAR_FIXTURE",IF(H159="","CEK ZONA NO kosong",IF(K159="zona tidak ada di layout","CEK ZONA NO di luar layout",IF(I159&lt;&gt;K159,"CEK JENIS ZONA",IF(A159="","Zona STOCK",IF(B159="","CEK SKU DESCRIPTION kosong","OK"))))))))</f>
        <v/>
      </c>
    </row>
    <row r="160">
      <c r="A160" s="10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2">
        <f>IF(G160="","",IFERROR(INDEX(DAFTAR_FIXTURE!$B$2:$B$51,MATCH(G160,DAFTAR_FIXTURE!$A$2:$A$51,0)),""))</f>
        <v/>
      </c>
      <c r="K160" s="12">
        <f>IF(OR(J160="",H160=""),"",IFERROR(INDEX(LAYOUT!$D$2:$D$34,MATCH(J160&amp;"|"&amp;H160,LAYOUT!$E$2:$E$34,0)),"zona tidak ada di layout"))</f>
        <v/>
      </c>
      <c r="L160" s="12">
        <f>IF(OR(G160="",A160=""),"",COUNTIFS($G$2:$G$500,G160,$H$2:$H$500,H160,$A$2:$A$500,"&lt;&gt;"))</f>
        <v/>
      </c>
      <c r="M160" s="12">
        <f>IF(AND(A160="",G160=""),"",IF(G160="","Belum ditempatkan",IF(J160="","CEK ID FIXTURE tidak ada di DAFTAR_FIXTURE",IF(H160="","CEK ZONA NO kosong",IF(K160="zona tidak ada di layout","CEK ZONA NO di luar layout",IF(I160&lt;&gt;K160,"CEK JENIS ZONA",IF(A160="","Zona STOCK",IF(B160="","CEK SKU DESCRIPTION kosong","OK"))))))))</f>
        <v/>
      </c>
    </row>
    <row r="161">
      <c r="A161" s="10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2">
        <f>IF(G161="","",IFERROR(INDEX(DAFTAR_FIXTURE!$B$2:$B$51,MATCH(G161,DAFTAR_FIXTURE!$A$2:$A$51,0)),""))</f>
        <v/>
      </c>
      <c r="K161" s="12">
        <f>IF(OR(J161="",H161=""),"",IFERROR(INDEX(LAYOUT!$D$2:$D$34,MATCH(J161&amp;"|"&amp;H161,LAYOUT!$E$2:$E$34,0)),"zona tidak ada di layout"))</f>
        <v/>
      </c>
      <c r="L161" s="12">
        <f>IF(OR(G161="",A161=""),"",COUNTIFS($G$2:$G$500,G161,$H$2:$H$500,H161,$A$2:$A$500,"&lt;&gt;"))</f>
        <v/>
      </c>
      <c r="M161" s="12">
        <f>IF(AND(A161="",G161=""),"",IF(G161="","Belum ditempatkan",IF(J161="","CEK ID FIXTURE tidak ada di DAFTAR_FIXTURE",IF(H161="","CEK ZONA NO kosong",IF(K161="zona tidak ada di layout","CEK ZONA NO di luar layout",IF(I161&lt;&gt;K161,"CEK JENIS ZONA",IF(A161="","Zona STOCK",IF(B161="","CEK SKU DESCRIPTION kosong","OK"))))))))</f>
        <v/>
      </c>
    </row>
    <row r="162">
      <c r="A162" s="10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2">
        <f>IF(G162="","",IFERROR(INDEX(DAFTAR_FIXTURE!$B$2:$B$51,MATCH(G162,DAFTAR_FIXTURE!$A$2:$A$51,0)),""))</f>
        <v/>
      </c>
      <c r="K162" s="12">
        <f>IF(OR(J162="",H162=""),"",IFERROR(INDEX(LAYOUT!$D$2:$D$34,MATCH(J162&amp;"|"&amp;H162,LAYOUT!$E$2:$E$34,0)),"zona tidak ada di layout"))</f>
        <v/>
      </c>
      <c r="L162" s="12">
        <f>IF(OR(G162="",A162=""),"",COUNTIFS($G$2:$G$500,G162,$H$2:$H$500,H162,$A$2:$A$500,"&lt;&gt;"))</f>
        <v/>
      </c>
      <c r="M162" s="12">
        <f>IF(AND(A162="",G162=""),"",IF(G162="","Belum ditempatkan",IF(J162="","CEK ID FIXTURE tidak ada di DAFTAR_FIXTURE",IF(H162="","CEK ZONA NO kosong",IF(K162="zona tidak ada di layout","CEK ZONA NO di luar layout",IF(I162&lt;&gt;K162,"CEK JENIS ZONA",IF(A162="","Zona STOCK",IF(B162="","CEK SKU DESCRIPTION kosong","OK"))))))))</f>
        <v/>
      </c>
    </row>
    <row r="163">
      <c r="A163" s="10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2">
        <f>IF(G163="","",IFERROR(INDEX(DAFTAR_FIXTURE!$B$2:$B$51,MATCH(G163,DAFTAR_FIXTURE!$A$2:$A$51,0)),""))</f>
        <v/>
      </c>
      <c r="K163" s="12">
        <f>IF(OR(J163="",H163=""),"",IFERROR(INDEX(LAYOUT!$D$2:$D$34,MATCH(J163&amp;"|"&amp;H163,LAYOUT!$E$2:$E$34,0)),"zona tidak ada di layout"))</f>
        <v/>
      </c>
      <c r="L163" s="12">
        <f>IF(OR(G163="",A163=""),"",COUNTIFS($G$2:$G$500,G163,$H$2:$H$500,H163,$A$2:$A$500,"&lt;&gt;"))</f>
        <v/>
      </c>
      <c r="M163" s="12">
        <f>IF(AND(A163="",G163=""),"",IF(G163="","Belum ditempatkan",IF(J163="","CEK ID FIXTURE tidak ada di DAFTAR_FIXTURE",IF(H163="","CEK ZONA NO kosong",IF(K163="zona tidak ada di layout","CEK ZONA NO di luar layout",IF(I163&lt;&gt;K163,"CEK JENIS ZONA",IF(A163="","Zona STOCK",IF(B163="","CEK SKU DESCRIPTION kosong","OK"))))))))</f>
        <v/>
      </c>
    </row>
    <row r="164">
      <c r="A164" s="10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2">
        <f>IF(G164="","",IFERROR(INDEX(DAFTAR_FIXTURE!$B$2:$B$51,MATCH(G164,DAFTAR_FIXTURE!$A$2:$A$51,0)),""))</f>
        <v/>
      </c>
      <c r="K164" s="12">
        <f>IF(OR(J164="",H164=""),"",IFERROR(INDEX(LAYOUT!$D$2:$D$34,MATCH(J164&amp;"|"&amp;H164,LAYOUT!$E$2:$E$34,0)),"zona tidak ada di layout"))</f>
        <v/>
      </c>
      <c r="L164" s="12">
        <f>IF(OR(G164="",A164=""),"",COUNTIFS($G$2:$G$500,G164,$H$2:$H$500,H164,$A$2:$A$500,"&lt;&gt;"))</f>
        <v/>
      </c>
      <c r="M164" s="12">
        <f>IF(AND(A164="",G164=""),"",IF(G164="","Belum ditempatkan",IF(J164="","CEK ID FIXTURE tidak ada di DAFTAR_FIXTURE",IF(H164="","CEK ZONA NO kosong",IF(K164="zona tidak ada di layout","CEK ZONA NO di luar layout",IF(I164&lt;&gt;K164,"CEK JENIS ZONA",IF(A164="","Zona STOCK",IF(B164="","CEK SKU DESCRIPTION kosong","OK"))))))))</f>
        <v/>
      </c>
    </row>
    <row r="165">
      <c r="A165" s="10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2">
        <f>IF(G165="","",IFERROR(INDEX(DAFTAR_FIXTURE!$B$2:$B$51,MATCH(G165,DAFTAR_FIXTURE!$A$2:$A$51,0)),""))</f>
        <v/>
      </c>
      <c r="K165" s="12">
        <f>IF(OR(J165="",H165=""),"",IFERROR(INDEX(LAYOUT!$D$2:$D$34,MATCH(J165&amp;"|"&amp;H165,LAYOUT!$E$2:$E$34,0)),"zona tidak ada di layout"))</f>
        <v/>
      </c>
      <c r="L165" s="12">
        <f>IF(OR(G165="",A165=""),"",COUNTIFS($G$2:$G$500,G165,$H$2:$H$500,H165,$A$2:$A$500,"&lt;&gt;"))</f>
        <v/>
      </c>
      <c r="M165" s="12">
        <f>IF(AND(A165="",G165=""),"",IF(G165="","Belum ditempatkan",IF(J165="","CEK ID FIXTURE tidak ada di DAFTAR_FIXTURE",IF(H165="","CEK ZONA NO kosong",IF(K165="zona tidak ada di layout","CEK ZONA NO di luar layout",IF(I165&lt;&gt;K165,"CEK JENIS ZONA",IF(A165="","Zona STOCK",IF(B165="","CEK SKU DESCRIPTION kosong","OK"))))))))</f>
        <v/>
      </c>
    </row>
    <row r="166">
      <c r="A166" s="10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2">
        <f>IF(G166="","",IFERROR(INDEX(DAFTAR_FIXTURE!$B$2:$B$51,MATCH(G166,DAFTAR_FIXTURE!$A$2:$A$51,0)),""))</f>
        <v/>
      </c>
      <c r="K166" s="12">
        <f>IF(OR(J166="",H166=""),"",IFERROR(INDEX(LAYOUT!$D$2:$D$34,MATCH(J166&amp;"|"&amp;H166,LAYOUT!$E$2:$E$34,0)),"zona tidak ada di layout"))</f>
        <v/>
      </c>
      <c r="L166" s="12">
        <f>IF(OR(G166="",A166=""),"",COUNTIFS($G$2:$G$500,G166,$H$2:$H$500,H166,$A$2:$A$500,"&lt;&gt;"))</f>
        <v/>
      </c>
      <c r="M166" s="12">
        <f>IF(AND(A166="",G166=""),"",IF(G166="","Belum ditempatkan",IF(J166="","CEK ID FIXTURE tidak ada di DAFTAR_FIXTURE",IF(H166="","CEK ZONA NO kosong",IF(K166="zona tidak ada di layout","CEK ZONA NO di luar layout",IF(I166&lt;&gt;K166,"CEK JENIS ZONA",IF(A166="","Zona STOCK",IF(B166="","CEK SKU DESCRIPTION kosong","OK"))))))))</f>
        <v/>
      </c>
    </row>
    <row r="167">
      <c r="A167" s="10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2">
        <f>IF(G167="","",IFERROR(INDEX(DAFTAR_FIXTURE!$B$2:$B$51,MATCH(G167,DAFTAR_FIXTURE!$A$2:$A$51,0)),""))</f>
        <v/>
      </c>
      <c r="K167" s="12">
        <f>IF(OR(J167="",H167=""),"",IFERROR(INDEX(LAYOUT!$D$2:$D$34,MATCH(J167&amp;"|"&amp;H167,LAYOUT!$E$2:$E$34,0)),"zona tidak ada di layout"))</f>
        <v/>
      </c>
      <c r="L167" s="12">
        <f>IF(OR(G167="",A167=""),"",COUNTIFS($G$2:$G$500,G167,$H$2:$H$500,H167,$A$2:$A$500,"&lt;&gt;"))</f>
        <v/>
      </c>
      <c r="M167" s="12">
        <f>IF(AND(A167="",G167=""),"",IF(G167="","Belum ditempatkan",IF(J167="","CEK ID FIXTURE tidak ada di DAFTAR_FIXTURE",IF(H167="","CEK ZONA NO kosong",IF(K167="zona tidak ada di layout","CEK ZONA NO di luar layout",IF(I167&lt;&gt;K167,"CEK JENIS ZONA",IF(A167="","Zona STOCK",IF(B167="","CEK SKU DESCRIPTION kosong","OK"))))))))</f>
        <v/>
      </c>
    </row>
    <row r="168">
      <c r="A168" s="10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2">
        <f>IF(G168="","",IFERROR(INDEX(DAFTAR_FIXTURE!$B$2:$B$51,MATCH(G168,DAFTAR_FIXTURE!$A$2:$A$51,0)),""))</f>
        <v/>
      </c>
      <c r="K168" s="12">
        <f>IF(OR(J168="",H168=""),"",IFERROR(INDEX(LAYOUT!$D$2:$D$34,MATCH(J168&amp;"|"&amp;H168,LAYOUT!$E$2:$E$34,0)),"zona tidak ada di layout"))</f>
        <v/>
      </c>
      <c r="L168" s="12">
        <f>IF(OR(G168="",A168=""),"",COUNTIFS($G$2:$G$500,G168,$H$2:$H$500,H168,$A$2:$A$500,"&lt;&gt;"))</f>
        <v/>
      </c>
      <c r="M168" s="12">
        <f>IF(AND(A168="",G168=""),"",IF(G168="","Belum ditempatkan",IF(J168="","CEK ID FIXTURE tidak ada di DAFTAR_FIXTURE",IF(H168="","CEK ZONA NO kosong",IF(K168="zona tidak ada di layout","CEK ZONA NO di luar layout",IF(I168&lt;&gt;K168,"CEK JENIS ZONA",IF(A168="","Zona STOCK",IF(B168="","CEK SKU DESCRIPTION kosong","OK"))))))))</f>
        <v/>
      </c>
    </row>
    <row r="169">
      <c r="A169" s="10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2">
        <f>IF(G169="","",IFERROR(INDEX(DAFTAR_FIXTURE!$B$2:$B$51,MATCH(G169,DAFTAR_FIXTURE!$A$2:$A$51,0)),""))</f>
        <v/>
      </c>
      <c r="K169" s="12">
        <f>IF(OR(J169="",H169=""),"",IFERROR(INDEX(LAYOUT!$D$2:$D$34,MATCH(J169&amp;"|"&amp;H169,LAYOUT!$E$2:$E$34,0)),"zona tidak ada di layout"))</f>
        <v/>
      </c>
      <c r="L169" s="12">
        <f>IF(OR(G169="",A169=""),"",COUNTIFS($G$2:$G$500,G169,$H$2:$H$500,H169,$A$2:$A$500,"&lt;&gt;"))</f>
        <v/>
      </c>
      <c r="M169" s="12">
        <f>IF(AND(A169="",G169=""),"",IF(G169="","Belum ditempatkan",IF(J169="","CEK ID FIXTURE tidak ada di DAFTAR_FIXTURE",IF(H169="","CEK ZONA NO kosong",IF(K169="zona tidak ada di layout","CEK ZONA NO di luar layout",IF(I169&lt;&gt;K169,"CEK JENIS ZONA",IF(A169="","Zona STOCK",IF(B169="","CEK SKU DESCRIPTION kosong","OK"))))))))</f>
        <v/>
      </c>
    </row>
    <row r="170">
      <c r="A170" s="10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2">
        <f>IF(G170="","",IFERROR(INDEX(DAFTAR_FIXTURE!$B$2:$B$51,MATCH(G170,DAFTAR_FIXTURE!$A$2:$A$51,0)),""))</f>
        <v/>
      </c>
      <c r="K170" s="12">
        <f>IF(OR(J170="",H170=""),"",IFERROR(INDEX(LAYOUT!$D$2:$D$34,MATCH(J170&amp;"|"&amp;H170,LAYOUT!$E$2:$E$34,0)),"zona tidak ada di layout"))</f>
        <v/>
      </c>
      <c r="L170" s="12">
        <f>IF(OR(G170="",A170=""),"",COUNTIFS($G$2:$G$500,G170,$H$2:$H$500,H170,$A$2:$A$500,"&lt;&gt;"))</f>
        <v/>
      </c>
      <c r="M170" s="12">
        <f>IF(AND(A170="",G170=""),"",IF(G170="","Belum ditempatkan",IF(J170="","CEK ID FIXTURE tidak ada di DAFTAR_FIXTURE",IF(H170="","CEK ZONA NO kosong",IF(K170="zona tidak ada di layout","CEK ZONA NO di luar layout",IF(I170&lt;&gt;K170,"CEK JENIS ZONA",IF(A170="","Zona STOCK",IF(B170="","CEK SKU DESCRIPTION kosong","OK"))))))))</f>
        <v/>
      </c>
    </row>
    <row r="171">
      <c r="A171" s="10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2">
        <f>IF(G171="","",IFERROR(INDEX(DAFTAR_FIXTURE!$B$2:$B$51,MATCH(G171,DAFTAR_FIXTURE!$A$2:$A$51,0)),""))</f>
        <v/>
      </c>
      <c r="K171" s="12">
        <f>IF(OR(J171="",H171=""),"",IFERROR(INDEX(LAYOUT!$D$2:$D$34,MATCH(J171&amp;"|"&amp;H171,LAYOUT!$E$2:$E$34,0)),"zona tidak ada di layout"))</f>
        <v/>
      </c>
      <c r="L171" s="12">
        <f>IF(OR(G171="",A171=""),"",COUNTIFS($G$2:$G$500,G171,$H$2:$H$500,H171,$A$2:$A$500,"&lt;&gt;"))</f>
        <v/>
      </c>
      <c r="M171" s="12">
        <f>IF(AND(A171="",G171=""),"",IF(G171="","Belum ditempatkan",IF(J171="","CEK ID FIXTURE tidak ada di DAFTAR_FIXTURE",IF(H171="","CEK ZONA NO kosong",IF(K171="zona tidak ada di layout","CEK ZONA NO di luar layout",IF(I171&lt;&gt;K171,"CEK JENIS ZONA",IF(A171="","Zona STOCK",IF(B171="","CEK SKU DESCRIPTION kosong","OK"))))))))</f>
        <v/>
      </c>
    </row>
    <row r="172">
      <c r="A172" s="10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2">
        <f>IF(G172="","",IFERROR(INDEX(DAFTAR_FIXTURE!$B$2:$B$51,MATCH(G172,DAFTAR_FIXTURE!$A$2:$A$51,0)),""))</f>
        <v/>
      </c>
      <c r="K172" s="12">
        <f>IF(OR(J172="",H172=""),"",IFERROR(INDEX(LAYOUT!$D$2:$D$34,MATCH(J172&amp;"|"&amp;H172,LAYOUT!$E$2:$E$34,0)),"zona tidak ada di layout"))</f>
        <v/>
      </c>
      <c r="L172" s="12">
        <f>IF(OR(G172="",A172=""),"",COUNTIFS($G$2:$G$500,G172,$H$2:$H$500,H172,$A$2:$A$500,"&lt;&gt;"))</f>
        <v/>
      </c>
      <c r="M172" s="12">
        <f>IF(AND(A172="",G172=""),"",IF(G172="","Belum ditempatkan",IF(J172="","CEK ID FIXTURE tidak ada di DAFTAR_FIXTURE",IF(H172="","CEK ZONA NO kosong",IF(K172="zona tidak ada di layout","CEK ZONA NO di luar layout",IF(I172&lt;&gt;K172,"CEK JENIS ZONA",IF(A172="","Zona STOCK",IF(B172="","CEK SKU DESCRIPTION kosong","OK"))))))))</f>
        <v/>
      </c>
    </row>
    <row r="173">
      <c r="A173" s="10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2">
        <f>IF(G173="","",IFERROR(INDEX(DAFTAR_FIXTURE!$B$2:$B$51,MATCH(G173,DAFTAR_FIXTURE!$A$2:$A$51,0)),""))</f>
        <v/>
      </c>
      <c r="K173" s="12">
        <f>IF(OR(J173="",H173=""),"",IFERROR(INDEX(LAYOUT!$D$2:$D$34,MATCH(J173&amp;"|"&amp;H173,LAYOUT!$E$2:$E$34,0)),"zona tidak ada di layout"))</f>
        <v/>
      </c>
      <c r="L173" s="12">
        <f>IF(OR(G173="",A173=""),"",COUNTIFS($G$2:$G$500,G173,$H$2:$H$500,H173,$A$2:$A$500,"&lt;&gt;"))</f>
        <v/>
      </c>
      <c r="M173" s="12">
        <f>IF(AND(A173="",G173=""),"",IF(G173="","Belum ditempatkan",IF(J173="","CEK ID FIXTURE tidak ada di DAFTAR_FIXTURE",IF(H173="","CEK ZONA NO kosong",IF(K173="zona tidak ada di layout","CEK ZONA NO di luar layout",IF(I173&lt;&gt;K173,"CEK JENIS ZONA",IF(A173="","Zona STOCK",IF(B173="","CEK SKU DESCRIPTION kosong","OK"))))))))</f>
        <v/>
      </c>
    </row>
    <row r="174">
      <c r="A174" s="10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2">
        <f>IF(G174="","",IFERROR(INDEX(DAFTAR_FIXTURE!$B$2:$B$51,MATCH(G174,DAFTAR_FIXTURE!$A$2:$A$51,0)),""))</f>
        <v/>
      </c>
      <c r="K174" s="12">
        <f>IF(OR(J174="",H174=""),"",IFERROR(INDEX(LAYOUT!$D$2:$D$34,MATCH(J174&amp;"|"&amp;H174,LAYOUT!$E$2:$E$34,0)),"zona tidak ada di layout"))</f>
        <v/>
      </c>
      <c r="L174" s="12">
        <f>IF(OR(G174="",A174=""),"",COUNTIFS($G$2:$G$500,G174,$H$2:$H$500,H174,$A$2:$A$500,"&lt;&gt;"))</f>
        <v/>
      </c>
      <c r="M174" s="12">
        <f>IF(AND(A174="",G174=""),"",IF(G174="","Belum ditempatkan",IF(J174="","CEK ID FIXTURE tidak ada di DAFTAR_FIXTURE",IF(H174="","CEK ZONA NO kosong",IF(K174="zona tidak ada di layout","CEK ZONA NO di luar layout",IF(I174&lt;&gt;K174,"CEK JENIS ZONA",IF(A174="","Zona STOCK",IF(B174="","CEK SKU DESCRIPTION kosong","OK"))))))))</f>
        <v/>
      </c>
    </row>
    <row r="175">
      <c r="A175" s="10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2">
        <f>IF(G175="","",IFERROR(INDEX(DAFTAR_FIXTURE!$B$2:$B$51,MATCH(G175,DAFTAR_FIXTURE!$A$2:$A$51,0)),""))</f>
        <v/>
      </c>
      <c r="K175" s="12">
        <f>IF(OR(J175="",H175=""),"",IFERROR(INDEX(LAYOUT!$D$2:$D$34,MATCH(J175&amp;"|"&amp;H175,LAYOUT!$E$2:$E$34,0)),"zona tidak ada di layout"))</f>
        <v/>
      </c>
      <c r="L175" s="12">
        <f>IF(OR(G175="",A175=""),"",COUNTIFS($G$2:$G$500,G175,$H$2:$H$500,H175,$A$2:$A$500,"&lt;&gt;"))</f>
        <v/>
      </c>
      <c r="M175" s="12">
        <f>IF(AND(A175="",G175=""),"",IF(G175="","Belum ditempatkan",IF(J175="","CEK ID FIXTURE tidak ada di DAFTAR_FIXTURE",IF(H175="","CEK ZONA NO kosong",IF(K175="zona tidak ada di layout","CEK ZONA NO di luar layout",IF(I175&lt;&gt;K175,"CEK JENIS ZONA",IF(A175="","Zona STOCK",IF(B175="","CEK SKU DESCRIPTION kosong","OK"))))))))</f>
        <v/>
      </c>
    </row>
    <row r="176">
      <c r="A176" s="10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2">
        <f>IF(G176="","",IFERROR(INDEX(DAFTAR_FIXTURE!$B$2:$B$51,MATCH(G176,DAFTAR_FIXTURE!$A$2:$A$51,0)),""))</f>
        <v/>
      </c>
      <c r="K176" s="12">
        <f>IF(OR(J176="",H176=""),"",IFERROR(INDEX(LAYOUT!$D$2:$D$34,MATCH(J176&amp;"|"&amp;H176,LAYOUT!$E$2:$E$34,0)),"zona tidak ada di layout"))</f>
        <v/>
      </c>
      <c r="L176" s="12">
        <f>IF(OR(G176="",A176=""),"",COUNTIFS($G$2:$G$500,G176,$H$2:$H$500,H176,$A$2:$A$500,"&lt;&gt;"))</f>
        <v/>
      </c>
      <c r="M176" s="12">
        <f>IF(AND(A176="",G176=""),"",IF(G176="","Belum ditempatkan",IF(J176="","CEK ID FIXTURE tidak ada di DAFTAR_FIXTURE",IF(H176="","CEK ZONA NO kosong",IF(K176="zona tidak ada di layout","CEK ZONA NO di luar layout",IF(I176&lt;&gt;K176,"CEK JENIS ZONA",IF(A176="","Zona STOCK",IF(B176="","CEK SKU DESCRIPTION kosong","OK"))))))))</f>
        <v/>
      </c>
    </row>
    <row r="177">
      <c r="A177" s="10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2">
        <f>IF(G177="","",IFERROR(INDEX(DAFTAR_FIXTURE!$B$2:$B$51,MATCH(G177,DAFTAR_FIXTURE!$A$2:$A$51,0)),""))</f>
        <v/>
      </c>
      <c r="K177" s="12">
        <f>IF(OR(J177="",H177=""),"",IFERROR(INDEX(LAYOUT!$D$2:$D$34,MATCH(J177&amp;"|"&amp;H177,LAYOUT!$E$2:$E$34,0)),"zona tidak ada di layout"))</f>
        <v/>
      </c>
      <c r="L177" s="12">
        <f>IF(OR(G177="",A177=""),"",COUNTIFS($G$2:$G$500,G177,$H$2:$H$500,H177,$A$2:$A$500,"&lt;&gt;"))</f>
        <v/>
      </c>
      <c r="M177" s="12">
        <f>IF(AND(A177="",G177=""),"",IF(G177="","Belum ditempatkan",IF(J177="","CEK ID FIXTURE tidak ada di DAFTAR_FIXTURE",IF(H177="","CEK ZONA NO kosong",IF(K177="zona tidak ada di layout","CEK ZONA NO di luar layout",IF(I177&lt;&gt;K177,"CEK JENIS ZONA",IF(A177="","Zona STOCK",IF(B177="","CEK SKU DESCRIPTION kosong","OK"))))))))</f>
        <v/>
      </c>
    </row>
    <row r="178">
      <c r="A178" s="10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2">
        <f>IF(G178="","",IFERROR(INDEX(DAFTAR_FIXTURE!$B$2:$B$51,MATCH(G178,DAFTAR_FIXTURE!$A$2:$A$51,0)),""))</f>
        <v/>
      </c>
      <c r="K178" s="12">
        <f>IF(OR(J178="",H178=""),"",IFERROR(INDEX(LAYOUT!$D$2:$D$34,MATCH(J178&amp;"|"&amp;H178,LAYOUT!$E$2:$E$34,0)),"zona tidak ada di layout"))</f>
        <v/>
      </c>
      <c r="L178" s="12">
        <f>IF(OR(G178="",A178=""),"",COUNTIFS($G$2:$G$500,G178,$H$2:$H$500,H178,$A$2:$A$500,"&lt;&gt;"))</f>
        <v/>
      </c>
      <c r="M178" s="12">
        <f>IF(AND(A178="",G178=""),"",IF(G178="","Belum ditempatkan",IF(J178="","CEK ID FIXTURE tidak ada di DAFTAR_FIXTURE",IF(H178="","CEK ZONA NO kosong",IF(K178="zona tidak ada di layout","CEK ZONA NO di luar layout",IF(I178&lt;&gt;K178,"CEK JENIS ZONA",IF(A178="","Zona STOCK",IF(B178="","CEK SKU DESCRIPTION kosong","OK"))))))))</f>
        <v/>
      </c>
    </row>
    <row r="179">
      <c r="A179" s="10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2">
        <f>IF(G179="","",IFERROR(INDEX(DAFTAR_FIXTURE!$B$2:$B$51,MATCH(G179,DAFTAR_FIXTURE!$A$2:$A$51,0)),""))</f>
        <v/>
      </c>
      <c r="K179" s="12">
        <f>IF(OR(J179="",H179=""),"",IFERROR(INDEX(LAYOUT!$D$2:$D$34,MATCH(J179&amp;"|"&amp;H179,LAYOUT!$E$2:$E$34,0)),"zona tidak ada di layout"))</f>
        <v/>
      </c>
      <c r="L179" s="12">
        <f>IF(OR(G179="",A179=""),"",COUNTIFS($G$2:$G$500,G179,$H$2:$H$500,H179,$A$2:$A$500,"&lt;&gt;"))</f>
        <v/>
      </c>
      <c r="M179" s="12">
        <f>IF(AND(A179="",G179=""),"",IF(G179="","Belum ditempatkan",IF(J179="","CEK ID FIXTURE tidak ada di DAFTAR_FIXTURE",IF(H179="","CEK ZONA NO kosong",IF(K179="zona tidak ada di layout","CEK ZONA NO di luar layout",IF(I179&lt;&gt;K179,"CEK JENIS ZONA",IF(A179="","Zona STOCK",IF(B179="","CEK SKU DESCRIPTION kosong","OK"))))))))</f>
        <v/>
      </c>
    </row>
    <row r="180">
      <c r="A180" s="10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2">
        <f>IF(G180="","",IFERROR(INDEX(DAFTAR_FIXTURE!$B$2:$B$51,MATCH(G180,DAFTAR_FIXTURE!$A$2:$A$51,0)),""))</f>
        <v/>
      </c>
      <c r="K180" s="12">
        <f>IF(OR(J180="",H180=""),"",IFERROR(INDEX(LAYOUT!$D$2:$D$34,MATCH(J180&amp;"|"&amp;H180,LAYOUT!$E$2:$E$34,0)),"zona tidak ada di layout"))</f>
        <v/>
      </c>
      <c r="L180" s="12">
        <f>IF(OR(G180="",A180=""),"",COUNTIFS($G$2:$G$500,G180,$H$2:$H$500,H180,$A$2:$A$500,"&lt;&gt;"))</f>
        <v/>
      </c>
      <c r="M180" s="12">
        <f>IF(AND(A180="",G180=""),"",IF(G180="","Belum ditempatkan",IF(J180="","CEK ID FIXTURE tidak ada di DAFTAR_FIXTURE",IF(H180="","CEK ZONA NO kosong",IF(K180="zona tidak ada di layout","CEK ZONA NO di luar layout",IF(I180&lt;&gt;K180,"CEK JENIS ZONA",IF(A180="","Zona STOCK",IF(B180="","CEK SKU DESCRIPTION kosong","OK"))))))))</f>
        <v/>
      </c>
    </row>
    <row r="181">
      <c r="A181" s="10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2">
        <f>IF(G181="","",IFERROR(INDEX(DAFTAR_FIXTURE!$B$2:$B$51,MATCH(G181,DAFTAR_FIXTURE!$A$2:$A$51,0)),""))</f>
        <v/>
      </c>
      <c r="K181" s="12">
        <f>IF(OR(J181="",H181=""),"",IFERROR(INDEX(LAYOUT!$D$2:$D$34,MATCH(J181&amp;"|"&amp;H181,LAYOUT!$E$2:$E$34,0)),"zona tidak ada di layout"))</f>
        <v/>
      </c>
      <c r="L181" s="12">
        <f>IF(OR(G181="",A181=""),"",COUNTIFS($G$2:$G$500,G181,$H$2:$H$500,H181,$A$2:$A$500,"&lt;&gt;"))</f>
        <v/>
      </c>
      <c r="M181" s="12">
        <f>IF(AND(A181="",G181=""),"",IF(G181="","Belum ditempatkan",IF(J181="","CEK ID FIXTURE tidak ada di DAFTAR_FIXTURE",IF(H181="","CEK ZONA NO kosong",IF(K181="zona tidak ada di layout","CEK ZONA NO di luar layout",IF(I181&lt;&gt;K181,"CEK JENIS ZONA",IF(A181="","Zona STOCK",IF(B181="","CEK SKU DESCRIPTION kosong","OK"))))))))</f>
        <v/>
      </c>
    </row>
    <row r="182">
      <c r="A182" s="10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2">
        <f>IF(G182="","",IFERROR(INDEX(DAFTAR_FIXTURE!$B$2:$B$51,MATCH(G182,DAFTAR_FIXTURE!$A$2:$A$51,0)),""))</f>
        <v/>
      </c>
      <c r="K182" s="12">
        <f>IF(OR(J182="",H182=""),"",IFERROR(INDEX(LAYOUT!$D$2:$D$34,MATCH(J182&amp;"|"&amp;H182,LAYOUT!$E$2:$E$34,0)),"zona tidak ada di layout"))</f>
        <v/>
      </c>
      <c r="L182" s="12">
        <f>IF(OR(G182="",A182=""),"",COUNTIFS($G$2:$G$500,G182,$H$2:$H$500,H182,$A$2:$A$500,"&lt;&gt;"))</f>
        <v/>
      </c>
      <c r="M182" s="12">
        <f>IF(AND(A182="",G182=""),"",IF(G182="","Belum ditempatkan",IF(J182="","CEK ID FIXTURE tidak ada di DAFTAR_FIXTURE",IF(H182="","CEK ZONA NO kosong",IF(K182="zona tidak ada di layout","CEK ZONA NO di luar layout",IF(I182&lt;&gt;K182,"CEK JENIS ZONA",IF(A182="","Zona STOCK",IF(B182="","CEK SKU DESCRIPTION kosong","OK"))))))))</f>
        <v/>
      </c>
    </row>
    <row r="183">
      <c r="A183" s="10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2">
        <f>IF(G183="","",IFERROR(INDEX(DAFTAR_FIXTURE!$B$2:$B$51,MATCH(G183,DAFTAR_FIXTURE!$A$2:$A$51,0)),""))</f>
        <v/>
      </c>
      <c r="K183" s="12">
        <f>IF(OR(J183="",H183=""),"",IFERROR(INDEX(LAYOUT!$D$2:$D$34,MATCH(J183&amp;"|"&amp;H183,LAYOUT!$E$2:$E$34,0)),"zona tidak ada di layout"))</f>
        <v/>
      </c>
      <c r="L183" s="12">
        <f>IF(OR(G183="",A183=""),"",COUNTIFS($G$2:$G$500,G183,$H$2:$H$500,H183,$A$2:$A$500,"&lt;&gt;"))</f>
        <v/>
      </c>
      <c r="M183" s="12">
        <f>IF(AND(A183="",G183=""),"",IF(G183="","Belum ditempatkan",IF(J183="","CEK ID FIXTURE tidak ada di DAFTAR_FIXTURE",IF(H183="","CEK ZONA NO kosong",IF(K183="zona tidak ada di layout","CEK ZONA NO di luar layout",IF(I183&lt;&gt;K183,"CEK JENIS ZONA",IF(A183="","Zona STOCK",IF(B183="","CEK SKU DESCRIPTION kosong","OK"))))))))</f>
        <v/>
      </c>
    </row>
    <row r="184">
      <c r="A184" s="10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2">
        <f>IF(G184="","",IFERROR(INDEX(DAFTAR_FIXTURE!$B$2:$B$51,MATCH(G184,DAFTAR_FIXTURE!$A$2:$A$51,0)),""))</f>
        <v/>
      </c>
      <c r="K184" s="12">
        <f>IF(OR(J184="",H184=""),"",IFERROR(INDEX(LAYOUT!$D$2:$D$34,MATCH(J184&amp;"|"&amp;H184,LAYOUT!$E$2:$E$34,0)),"zona tidak ada di layout"))</f>
        <v/>
      </c>
      <c r="L184" s="12">
        <f>IF(OR(G184="",A184=""),"",COUNTIFS($G$2:$G$500,G184,$H$2:$H$500,H184,$A$2:$A$500,"&lt;&gt;"))</f>
        <v/>
      </c>
      <c r="M184" s="12">
        <f>IF(AND(A184="",G184=""),"",IF(G184="","Belum ditempatkan",IF(J184="","CEK ID FIXTURE tidak ada di DAFTAR_FIXTURE",IF(H184="","CEK ZONA NO kosong",IF(K184="zona tidak ada di layout","CEK ZONA NO di luar layout",IF(I184&lt;&gt;K184,"CEK JENIS ZONA",IF(A184="","Zona STOCK",IF(B184="","CEK SKU DESCRIPTION kosong","OK"))))))))</f>
        <v/>
      </c>
    </row>
    <row r="185">
      <c r="A185" s="10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2">
        <f>IF(G185="","",IFERROR(INDEX(DAFTAR_FIXTURE!$B$2:$B$51,MATCH(G185,DAFTAR_FIXTURE!$A$2:$A$51,0)),""))</f>
        <v/>
      </c>
      <c r="K185" s="12">
        <f>IF(OR(J185="",H185=""),"",IFERROR(INDEX(LAYOUT!$D$2:$D$34,MATCH(J185&amp;"|"&amp;H185,LAYOUT!$E$2:$E$34,0)),"zona tidak ada di layout"))</f>
        <v/>
      </c>
      <c r="L185" s="12">
        <f>IF(OR(G185="",A185=""),"",COUNTIFS($G$2:$G$500,G185,$H$2:$H$500,H185,$A$2:$A$500,"&lt;&gt;"))</f>
        <v/>
      </c>
      <c r="M185" s="12">
        <f>IF(AND(A185="",G185=""),"",IF(G185="","Belum ditempatkan",IF(J185="","CEK ID FIXTURE tidak ada di DAFTAR_FIXTURE",IF(H185="","CEK ZONA NO kosong",IF(K185="zona tidak ada di layout","CEK ZONA NO di luar layout",IF(I185&lt;&gt;K185,"CEK JENIS ZONA",IF(A185="","Zona STOCK",IF(B185="","CEK SKU DESCRIPTION kosong","OK"))))))))</f>
        <v/>
      </c>
    </row>
    <row r="186">
      <c r="A186" s="10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2">
        <f>IF(G186="","",IFERROR(INDEX(DAFTAR_FIXTURE!$B$2:$B$51,MATCH(G186,DAFTAR_FIXTURE!$A$2:$A$51,0)),""))</f>
        <v/>
      </c>
      <c r="K186" s="12">
        <f>IF(OR(J186="",H186=""),"",IFERROR(INDEX(LAYOUT!$D$2:$D$34,MATCH(J186&amp;"|"&amp;H186,LAYOUT!$E$2:$E$34,0)),"zona tidak ada di layout"))</f>
        <v/>
      </c>
      <c r="L186" s="12">
        <f>IF(OR(G186="",A186=""),"",COUNTIFS($G$2:$G$500,G186,$H$2:$H$500,H186,$A$2:$A$500,"&lt;&gt;"))</f>
        <v/>
      </c>
      <c r="M186" s="12">
        <f>IF(AND(A186="",G186=""),"",IF(G186="","Belum ditempatkan",IF(J186="","CEK ID FIXTURE tidak ada di DAFTAR_FIXTURE",IF(H186="","CEK ZONA NO kosong",IF(K186="zona tidak ada di layout","CEK ZONA NO di luar layout",IF(I186&lt;&gt;K186,"CEK JENIS ZONA",IF(A186="","Zona STOCK",IF(B186="","CEK SKU DESCRIPTION kosong","OK"))))))))</f>
        <v/>
      </c>
    </row>
    <row r="187">
      <c r="A187" s="10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2">
        <f>IF(G187="","",IFERROR(INDEX(DAFTAR_FIXTURE!$B$2:$B$51,MATCH(G187,DAFTAR_FIXTURE!$A$2:$A$51,0)),""))</f>
        <v/>
      </c>
      <c r="K187" s="12">
        <f>IF(OR(J187="",H187=""),"",IFERROR(INDEX(LAYOUT!$D$2:$D$34,MATCH(J187&amp;"|"&amp;H187,LAYOUT!$E$2:$E$34,0)),"zona tidak ada di layout"))</f>
        <v/>
      </c>
      <c r="L187" s="12">
        <f>IF(OR(G187="",A187=""),"",COUNTIFS($G$2:$G$500,G187,$H$2:$H$500,H187,$A$2:$A$500,"&lt;&gt;"))</f>
        <v/>
      </c>
      <c r="M187" s="12">
        <f>IF(AND(A187="",G187=""),"",IF(G187="","Belum ditempatkan",IF(J187="","CEK ID FIXTURE tidak ada di DAFTAR_FIXTURE",IF(H187="","CEK ZONA NO kosong",IF(K187="zona tidak ada di layout","CEK ZONA NO di luar layout",IF(I187&lt;&gt;K187,"CEK JENIS ZONA",IF(A187="","Zona STOCK",IF(B187="","CEK SKU DESCRIPTION kosong","OK"))))))))</f>
        <v/>
      </c>
    </row>
    <row r="188">
      <c r="A188" s="10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2">
        <f>IF(G188="","",IFERROR(INDEX(DAFTAR_FIXTURE!$B$2:$B$51,MATCH(G188,DAFTAR_FIXTURE!$A$2:$A$51,0)),""))</f>
        <v/>
      </c>
      <c r="K188" s="12">
        <f>IF(OR(J188="",H188=""),"",IFERROR(INDEX(LAYOUT!$D$2:$D$34,MATCH(J188&amp;"|"&amp;H188,LAYOUT!$E$2:$E$34,0)),"zona tidak ada di layout"))</f>
        <v/>
      </c>
      <c r="L188" s="12">
        <f>IF(OR(G188="",A188=""),"",COUNTIFS($G$2:$G$500,G188,$H$2:$H$500,H188,$A$2:$A$500,"&lt;&gt;"))</f>
        <v/>
      </c>
      <c r="M188" s="12">
        <f>IF(AND(A188="",G188=""),"",IF(G188="","Belum ditempatkan",IF(J188="","CEK ID FIXTURE tidak ada di DAFTAR_FIXTURE",IF(H188="","CEK ZONA NO kosong",IF(K188="zona tidak ada di layout","CEK ZONA NO di luar layout",IF(I188&lt;&gt;K188,"CEK JENIS ZONA",IF(A188="","Zona STOCK",IF(B188="","CEK SKU DESCRIPTION kosong","OK"))))))))</f>
        <v/>
      </c>
    </row>
    <row r="189">
      <c r="A189" s="10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2">
        <f>IF(G189="","",IFERROR(INDEX(DAFTAR_FIXTURE!$B$2:$B$51,MATCH(G189,DAFTAR_FIXTURE!$A$2:$A$51,0)),""))</f>
        <v/>
      </c>
      <c r="K189" s="12">
        <f>IF(OR(J189="",H189=""),"",IFERROR(INDEX(LAYOUT!$D$2:$D$34,MATCH(J189&amp;"|"&amp;H189,LAYOUT!$E$2:$E$34,0)),"zona tidak ada di layout"))</f>
        <v/>
      </c>
      <c r="L189" s="12">
        <f>IF(OR(G189="",A189=""),"",COUNTIFS($G$2:$G$500,G189,$H$2:$H$500,H189,$A$2:$A$500,"&lt;&gt;"))</f>
        <v/>
      </c>
      <c r="M189" s="12">
        <f>IF(AND(A189="",G189=""),"",IF(G189="","Belum ditempatkan",IF(J189="","CEK ID FIXTURE tidak ada di DAFTAR_FIXTURE",IF(H189="","CEK ZONA NO kosong",IF(K189="zona tidak ada di layout","CEK ZONA NO di luar layout",IF(I189&lt;&gt;K189,"CEK JENIS ZONA",IF(A189="","Zona STOCK",IF(B189="","CEK SKU DESCRIPTION kosong","OK"))))))))</f>
        <v/>
      </c>
    </row>
    <row r="190">
      <c r="A190" s="10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2">
        <f>IF(G190="","",IFERROR(INDEX(DAFTAR_FIXTURE!$B$2:$B$51,MATCH(G190,DAFTAR_FIXTURE!$A$2:$A$51,0)),""))</f>
        <v/>
      </c>
      <c r="K190" s="12">
        <f>IF(OR(J190="",H190=""),"",IFERROR(INDEX(LAYOUT!$D$2:$D$34,MATCH(J190&amp;"|"&amp;H190,LAYOUT!$E$2:$E$34,0)),"zona tidak ada di layout"))</f>
        <v/>
      </c>
      <c r="L190" s="12">
        <f>IF(OR(G190="",A190=""),"",COUNTIFS($G$2:$G$500,G190,$H$2:$H$500,H190,$A$2:$A$500,"&lt;&gt;"))</f>
        <v/>
      </c>
      <c r="M190" s="12">
        <f>IF(AND(A190="",G190=""),"",IF(G190="","Belum ditempatkan",IF(J190="","CEK ID FIXTURE tidak ada di DAFTAR_FIXTURE",IF(H190="","CEK ZONA NO kosong",IF(K190="zona tidak ada di layout","CEK ZONA NO di luar layout",IF(I190&lt;&gt;K190,"CEK JENIS ZONA",IF(A190="","Zona STOCK",IF(B190="","CEK SKU DESCRIPTION kosong","OK"))))))))</f>
        <v/>
      </c>
    </row>
    <row r="191">
      <c r="A191" s="10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2">
        <f>IF(G191="","",IFERROR(INDEX(DAFTAR_FIXTURE!$B$2:$B$51,MATCH(G191,DAFTAR_FIXTURE!$A$2:$A$51,0)),""))</f>
        <v/>
      </c>
      <c r="K191" s="12">
        <f>IF(OR(J191="",H191=""),"",IFERROR(INDEX(LAYOUT!$D$2:$D$34,MATCH(J191&amp;"|"&amp;H191,LAYOUT!$E$2:$E$34,0)),"zona tidak ada di layout"))</f>
        <v/>
      </c>
      <c r="L191" s="12">
        <f>IF(OR(G191="",A191=""),"",COUNTIFS($G$2:$G$500,G191,$H$2:$H$500,H191,$A$2:$A$500,"&lt;&gt;"))</f>
        <v/>
      </c>
      <c r="M191" s="12">
        <f>IF(AND(A191="",G191=""),"",IF(G191="","Belum ditempatkan",IF(J191="","CEK ID FIXTURE tidak ada di DAFTAR_FIXTURE",IF(H191="","CEK ZONA NO kosong",IF(K191="zona tidak ada di layout","CEK ZONA NO di luar layout",IF(I191&lt;&gt;K191,"CEK JENIS ZONA",IF(A191="","Zona STOCK",IF(B191="","CEK SKU DESCRIPTION kosong","OK"))))))))</f>
        <v/>
      </c>
    </row>
    <row r="192">
      <c r="A192" s="10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2">
        <f>IF(G192="","",IFERROR(INDEX(DAFTAR_FIXTURE!$B$2:$B$51,MATCH(G192,DAFTAR_FIXTURE!$A$2:$A$51,0)),""))</f>
        <v/>
      </c>
      <c r="K192" s="12">
        <f>IF(OR(J192="",H192=""),"",IFERROR(INDEX(LAYOUT!$D$2:$D$34,MATCH(J192&amp;"|"&amp;H192,LAYOUT!$E$2:$E$34,0)),"zona tidak ada di layout"))</f>
        <v/>
      </c>
      <c r="L192" s="12">
        <f>IF(OR(G192="",A192=""),"",COUNTIFS($G$2:$G$500,G192,$H$2:$H$500,H192,$A$2:$A$500,"&lt;&gt;"))</f>
        <v/>
      </c>
      <c r="M192" s="12">
        <f>IF(AND(A192="",G192=""),"",IF(G192="","Belum ditempatkan",IF(J192="","CEK ID FIXTURE tidak ada di DAFTAR_FIXTURE",IF(H192="","CEK ZONA NO kosong",IF(K192="zona tidak ada di layout","CEK ZONA NO di luar layout",IF(I192&lt;&gt;K192,"CEK JENIS ZONA",IF(A192="","Zona STOCK",IF(B192="","CEK SKU DESCRIPTION kosong","OK"))))))))</f>
        <v/>
      </c>
    </row>
    <row r="193">
      <c r="A193" s="10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2">
        <f>IF(G193="","",IFERROR(INDEX(DAFTAR_FIXTURE!$B$2:$B$51,MATCH(G193,DAFTAR_FIXTURE!$A$2:$A$51,0)),""))</f>
        <v/>
      </c>
      <c r="K193" s="12">
        <f>IF(OR(J193="",H193=""),"",IFERROR(INDEX(LAYOUT!$D$2:$D$34,MATCH(J193&amp;"|"&amp;H193,LAYOUT!$E$2:$E$34,0)),"zona tidak ada di layout"))</f>
        <v/>
      </c>
      <c r="L193" s="12">
        <f>IF(OR(G193="",A193=""),"",COUNTIFS($G$2:$G$500,G193,$H$2:$H$500,H193,$A$2:$A$500,"&lt;&gt;"))</f>
        <v/>
      </c>
      <c r="M193" s="12">
        <f>IF(AND(A193="",G193=""),"",IF(G193="","Belum ditempatkan",IF(J193="","CEK ID FIXTURE tidak ada di DAFTAR_FIXTURE",IF(H193="","CEK ZONA NO kosong",IF(K193="zona tidak ada di layout","CEK ZONA NO di luar layout",IF(I193&lt;&gt;K193,"CEK JENIS ZONA",IF(A193="","Zona STOCK",IF(B193="","CEK SKU DESCRIPTION kosong","OK"))))))))</f>
        <v/>
      </c>
    </row>
    <row r="194">
      <c r="A194" s="10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2">
        <f>IF(G194="","",IFERROR(INDEX(DAFTAR_FIXTURE!$B$2:$B$51,MATCH(G194,DAFTAR_FIXTURE!$A$2:$A$51,0)),""))</f>
        <v/>
      </c>
      <c r="K194" s="12">
        <f>IF(OR(J194="",H194=""),"",IFERROR(INDEX(LAYOUT!$D$2:$D$34,MATCH(J194&amp;"|"&amp;H194,LAYOUT!$E$2:$E$34,0)),"zona tidak ada di layout"))</f>
        <v/>
      </c>
      <c r="L194" s="12">
        <f>IF(OR(G194="",A194=""),"",COUNTIFS($G$2:$G$500,G194,$H$2:$H$500,H194,$A$2:$A$500,"&lt;&gt;"))</f>
        <v/>
      </c>
      <c r="M194" s="12">
        <f>IF(AND(A194="",G194=""),"",IF(G194="","Belum ditempatkan",IF(J194="","CEK ID FIXTURE tidak ada di DAFTAR_FIXTURE",IF(H194="","CEK ZONA NO kosong",IF(K194="zona tidak ada di layout","CEK ZONA NO di luar layout",IF(I194&lt;&gt;K194,"CEK JENIS ZONA",IF(A194="","Zona STOCK",IF(B194="","CEK SKU DESCRIPTION kosong","OK"))))))))</f>
        <v/>
      </c>
    </row>
    <row r="195">
      <c r="A195" s="10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2">
        <f>IF(G195="","",IFERROR(INDEX(DAFTAR_FIXTURE!$B$2:$B$51,MATCH(G195,DAFTAR_FIXTURE!$A$2:$A$51,0)),""))</f>
        <v/>
      </c>
      <c r="K195" s="12">
        <f>IF(OR(J195="",H195=""),"",IFERROR(INDEX(LAYOUT!$D$2:$D$34,MATCH(J195&amp;"|"&amp;H195,LAYOUT!$E$2:$E$34,0)),"zona tidak ada di layout"))</f>
        <v/>
      </c>
      <c r="L195" s="12">
        <f>IF(OR(G195="",A195=""),"",COUNTIFS($G$2:$G$500,G195,$H$2:$H$500,H195,$A$2:$A$500,"&lt;&gt;"))</f>
        <v/>
      </c>
      <c r="M195" s="12">
        <f>IF(AND(A195="",G195=""),"",IF(G195="","Belum ditempatkan",IF(J195="","CEK ID FIXTURE tidak ada di DAFTAR_FIXTURE",IF(H195="","CEK ZONA NO kosong",IF(K195="zona tidak ada di layout","CEK ZONA NO di luar layout",IF(I195&lt;&gt;K195,"CEK JENIS ZONA",IF(A195="","Zona STOCK",IF(B195="","CEK SKU DESCRIPTION kosong","OK"))))))))</f>
        <v/>
      </c>
    </row>
    <row r="196">
      <c r="A196" s="10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2">
        <f>IF(G196="","",IFERROR(INDEX(DAFTAR_FIXTURE!$B$2:$B$51,MATCH(G196,DAFTAR_FIXTURE!$A$2:$A$51,0)),""))</f>
        <v/>
      </c>
      <c r="K196" s="12">
        <f>IF(OR(J196="",H196=""),"",IFERROR(INDEX(LAYOUT!$D$2:$D$34,MATCH(J196&amp;"|"&amp;H196,LAYOUT!$E$2:$E$34,0)),"zona tidak ada di layout"))</f>
        <v/>
      </c>
      <c r="L196" s="12">
        <f>IF(OR(G196="",A196=""),"",COUNTIFS($G$2:$G$500,G196,$H$2:$H$500,H196,$A$2:$A$500,"&lt;&gt;"))</f>
        <v/>
      </c>
      <c r="M196" s="12">
        <f>IF(AND(A196="",G196=""),"",IF(G196="","Belum ditempatkan",IF(J196="","CEK ID FIXTURE tidak ada di DAFTAR_FIXTURE",IF(H196="","CEK ZONA NO kosong",IF(K196="zona tidak ada di layout","CEK ZONA NO di luar layout",IF(I196&lt;&gt;K196,"CEK JENIS ZONA",IF(A196="","Zona STOCK",IF(B196="","CEK SKU DESCRIPTION kosong","OK"))))))))</f>
        <v/>
      </c>
    </row>
    <row r="197">
      <c r="A197" s="10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2">
        <f>IF(G197="","",IFERROR(INDEX(DAFTAR_FIXTURE!$B$2:$B$51,MATCH(G197,DAFTAR_FIXTURE!$A$2:$A$51,0)),""))</f>
        <v/>
      </c>
      <c r="K197" s="12">
        <f>IF(OR(J197="",H197=""),"",IFERROR(INDEX(LAYOUT!$D$2:$D$34,MATCH(J197&amp;"|"&amp;H197,LAYOUT!$E$2:$E$34,0)),"zona tidak ada di layout"))</f>
        <v/>
      </c>
      <c r="L197" s="12">
        <f>IF(OR(G197="",A197=""),"",COUNTIFS($G$2:$G$500,G197,$H$2:$H$500,H197,$A$2:$A$500,"&lt;&gt;"))</f>
        <v/>
      </c>
      <c r="M197" s="12">
        <f>IF(AND(A197="",G197=""),"",IF(G197="","Belum ditempatkan",IF(J197="","CEK ID FIXTURE tidak ada di DAFTAR_FIXTURE",IF(H197="","CEK ZONA NO kosong",IF(K197="zona tidak ada di layout","CEK ZONA NO di luar layout",IF(I197&lt;&gt;K197,"CEK JENIS ZONA",IF(A197="","Zona STOCK",IF(B197="","CEK SKU DESCRIPTION kosong","OK"))))))))</f>
        <v/>
      </c>
    </row>
    <row r="198">
      <c r="A198" s="10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2">
        <f>IF(G198="","",IFERROR(INDEX(DAFTAR_FIXTURE!$B$2:$B$51,MATCH(G198,DAFTAR_FIXTURE!$A$2:$A$51,0)),""))</f>
        <v/>
      </c>
      <c r="K198" s="12">
        <f>IF(OR(J198="",H198=""),"",IFERROR(INDEX(LAYOUT!$D$2:$D$34,MATCH(J198&amp;"|"&amp;H198,LAYOUT!$E$2:$E$34,0)),"zona tidak ada di layout"))</f>
        <v/>
      </c>
      <c r="L198" s="12">
        <f>IF(OR(G198="",A198=""),"",COUNTIFS($G$2:$G$500,G198,$H$2:$H$500,H198,$A$2:$A$500,"&lt;&gt;"))</f>
        <v/>
      </c>
      <c r="M198" s="12">
        <f>IF(AND(A198="",G198=""),"",IF(G198="","Belum ditempatkan",IF(J198="","CEK ID FIXTURE tidak ada di DAFTAR_FIXTURE",IF(H198="","CEK ZONA NO kosong",IF(K198="zona tidak ada di layout","CEK ZONA NO di luar layout",IF(I198&lt;&gt;K198,"CEK JENIS ZONA",IF(A198="","Zona STOCK",IF(B198="","CEK SKU DESCRIPTION kosong","OK"))))))))</f>
        <v/>
      </c>
    </row>
    <row r="199">
      <c r="A199" s="10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2">
        <f>IF(G199="","",IFERROR(INDEX(DAFTAR_FIXTURE!$B$2:$B$51,MATCH(G199,DAFTAR_FIXTURE!$A$2:$A$51,0)),""))</f>
        <v/>
      </c>
      <c r="K199" s="12">
        <f>IF(OR(J199="",H199=""),"",IFERROR(INDEX(LAYOUT!$D$2:$D$34,MATCH(J199&amp;"|"&amp;H199,LAYOUT!$E$2:$E$34,0)),"zona tidak ada di layout"))</f>
        <v/>
      </c>
      <c r="L199" s="12">
        <f>IF(OR(G199="",A199=""),"",COUNTIFS($G$2:$G$500,G199,$H$2:$H$500,H199,$A$2:$A$500,"&lt;&gt;"))</f>
        <v/>
      </c>
      <c r="M199" s="12">
        <f>IF(AND(A199="",G199=""),"",IF(G199="","Belum ditempatkan",IF(J199="","CEK ID FIXTURE tidak ada di DAFTAR_FIXTURE",IF(H199="","CEK ZONA NO kosong",IF(K199="zona tidak ada di layout","CEK ZONA NO di luar layout",IF(I199&lt;&gt;K199,"CEK JENIS ZONA",IF(A199="","Zona STOCK",IF(B199="","CEK SKU DESCRIPTION kosong","OK"))))))))</f>
        <v/>
      </c>
    </row>
    <row r="200">
      <c r="A200" s="10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2">
        <f>IF(G200="","",IFERROR(INDEX(DAFTAR_FIXTURE!$B$2:$B$51,MATCH(G200,DAFTAR_FIXTURE!$A$2:$A$51,0)),""))</f>
        <v/>
      </c>
      <c r="K200" s="12">
        <f>IF(OR(J200="",H200=""),"",IFERROR(INDEX(LAYOUT!$D$2:$D$34,MATCH(J200&amp;"|"&amp;H200,LAYOUT!$E$2:$E$34,0)),"zona tidak ada di layout"))</f>
        <v/>
      </c>
      <c r="L200" s="12">
        <f>IF(OR(G200="",A200=""),"",COUNTIFS($G$2:$G$500,G200,$H$2:$H$500,H200,$A$2:$A$500,"&lt;&gt;"))</f>
        <v/>
      </c>
      <c r="M200" s="12">
        <f>IF(AND(A200="",G200=""),"",IF(G200="","Belum ditempatkan",IF(J200="","CEK ID FIXTURE tidak ada di DAFTAR_FIXTURE",IF(H200="","CEK ZONA NO kosong",IF(K200="zona tidak ada di layout","CEK ZONA NO di luar layout",IF(I200&lt;&gt;K200,"CEK JENIS ZONA",IF(A200="","Zona STOCK",IF(B200="","CEK SKU DESCRIPTION kosong","OK"))))))))</f>
        <v/>
      </c>
    </row>
    <row r="201">
      <c r="A201" s="10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2">
        <f>IF(G201="","",IFERROR(INDEX(DAFTAR_FIXTURE!$B$2:$B$51,MATCH(G201,DAFTAR_FIXTURE!$A$2:$A$51,0)),""))</f>
        <v/>
      </c>
      <c r="K201" s="12">
        <f>IF(OR(J201="",H201=""),"",IFERROR(INDEX(LAYOUT!$D$2:$D$34,MATCH(J201&amp;"|"&amp;H201,LAYOUT!$E$2:$E$34,0)),"zona tidak ada di layout"))</f>
        <v/>
      </c>
      <c r="L201" s="12">
        <f>IF(OR(G201="",A201=""),"",COUNTIFS($G$2:$G$500,G201,$H$2:$H$500,H201,$A$2:$A$500,"&lt;&gt;"))</f>
        <v/>
      </c>
      <c r="M201" s="12">
        <f>IF(AND(A201="",G201=""),"",IF(G201="","Belum ditempatkan",IF(J201="","CEK ID FIXTURE tidak ada di DAFTAR_FIXTURE",IF(H201="","CEK ZONA NO kosong",IF(K201="zona tidak ada di layout","CEK ZONA NO di luar layout",IF(I201&lt;&gt;K201,"CEK JENIS ZONA",IF(A201="","Zona STOCK",IF(B201="","CEK SKU DESCRIPTION kosong","OK"))))))))</f>
        <v/>
      </c>
    </row>
    <row r="202">
      <c r="A202" s="10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2">
        <f>IF(G202="","",IFERROR(INDEX(DAFTAR_FIXTURE!$B$2:$B$51,MATCH(G202,DAFTAR_FIXTURE!$A$2:$A$51,0)),""))</f>
        <v/>
      </c>
      <c r="K202" s="12">
        <f>IF(OR(J202="",H202=""),"",IFERROR(INDEX(LAYOUT!$D$2:$D$34,MATCH(J202&amp;"|"&amp;H202,LAYOUT!$E$2:$E$34,0)),"zona tidak ada di layout"))</f>
        <v/>
      </c>
      <c r="L202" s="12">
        <f>IF(OR(G202="",A202=""),"",COUNTIFS($G$2:$G$500,G202,$H$2:$H$500,H202,$A$2:$A$500,"&lt;&gt;"))</f>
        <v/>
      </c>
      <c r="M202" s="12">
        <f>IF(AND(A202="",G202=""),"",IF(G202="","Belum ditempatkan",IF(J202="","CEK ID FIXTURE tidak ada di DAFTAR_FIXTURE",IF(H202="","CEK ZONA NO kosong",IF(K202="zona tidak ada di layout","CEK ZONA NO di luar layout",IF(I202&lt;&gt;K202,"CEK JENIS ZONA",IF(A202="","Zona STOCK",IF(B202="","CEK SKU DESCRIPTION kosong","OK"))))))))</f>
        <v/>
      </c>
    </row>
    <row r="203">
      <c r="A203" s="10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2">
        <f>IF(G203="","",IFERROR(INDEX(DAFTAR_FIXTURE!$B$2:$B$51,MATCH(G203,DAFTAR_FIXTURE!$A$2:$A$51,0)),""))</f>
        <v/>
      </c>
      <c r="K203" s="12">
        <f>IF(OR(J203="",H203=""),"",IFERROR(INDEX(LAYOUT!$D$2:$D$34,MATCH(J203&amp;"|"&amp;H203,LAYOUT!$E$2:$E$34,0)),"zona tidak ada di layout"))</f>
        <v/>
      </c>
      <c r="L203" s="12">
        <f>IF(OR(G203="",A203=""),"",COUNTIFS($G$2:$G$500,G203,$H$2:$H$500,H203,$A$2:$A$500,"&lt;&gt;"))</f>
        <v/>
      </c>
      <c r="M203" s="12">
        <f>IF(AND(A203="",G203=""),"",IF(G203="","Belum ditempatkan",IF(J203="","CEK ID FIXTURE tidak ada di DAFTAR_FIXTURE",IF(H203="","CEK ZONA NO kosong",IF(K203="zona tidak ada di layout","CEK ZONA NO di luar layout",IF(I203&lt;&gt;K203,"CEK JENIS ZONA",IF(A203="","Zona STOCK",IF(B203="","CEK SKU DESCRIPTION kosong","OK"))))))))</f>
        <v/>
      </c>
    </row>
    <row r="204">
      <c r="A204" s="10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2">
        <f>IF(G204="","",IFERROR(INDEX(DAFTAR_FIXTURE!$B$2:$B$51,MATCH(G204,DAFTAR_FIXTURE!$A$2:$A$51,0)),""))</f>
        <v/>
      </c>
      <c r="K204" s="12">
        <f>IF(OR(J204="",H204=""),"",IFERROR(INDEX(LAYOUT!$D$2:$D$34,MATCH(J204&amp;"|"&amp;H204,LAYOUT!$E$2:$E$34,0)),"zona tidak ada di layout"))</f>
        <v/>
      </c>
      <c r="L204" s="12">
        <f>IF(OR(G204="",A204=""),"",COUNTIFS($G$2:$G$500,G204,$H$2:$H$500,H204,$A$2:$A$500,"&lt;&gt;"))</f>
        <v/>
      </c>
      <c r="M204" s="12">
        <f>IF(AND(A204="",G204=""),"",IF(G204="","Belum ditempatkan",IF(J204="","CEK ID FIXTURE tidak ada di DAFTAR_FIXTURE",IF(H204="","CEK ZONA NO kosong",IF(K204="zona tidak ada di layout","CEK ZONA NO di luar layout",IF(I204&lt;&gt;K204,"CEK JENIS ZONA",IF(A204="","Zona STOCK",IF(B204="","CEK SKU DESCRIPTION kosong","OK"))))))))</f>
        <v/>
      </c>
    </row>
    <row r="205">
      <c r="A205" s="10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2">
        <f>IF(G205="","",IFERROR(INDEX(DAFTAR_FIXTURE!$B$2:$B$51,MATCH(G205,DAFTAR_FIXTURE!$A$2:$A$51,0)),""))</f>
        <v/>
      </c>
      <c r="K205" s="12">
        <f>IF(OR(J205="",H205=""),"",IFERROR(INDEX(LAYOUT!$D$2:$D$34,MATCH(J205&amp;"|"&amp;H205,LAYOUT!$E$2:$E$34,0)),"zona tidak ada di layout"))</f>
        <v/>
      </c>
      <c r="L205" s="12">
        <f>IF(OR(G205="",A205=""),"",COUNTIFS($G$2:$G$500,G205,$H$2:$H$500,H205,$A$2:$A$500,"&lt;&gt;"))</f>
        <v/>
      </c>
      <c r="M205" s="12">
        <f>IF(AND(A205="",G205=""),"",IF(G205="","Belum ditempatkan",IF(J205="","CEK ID FIXTURE tidak ada di DAFTAR_FIXTURE",IF(H205="","CEK ZONA NO kosong",IF(K205="zona tidak ada di layout","CEK ZONA NO di luar layout",IF(I205&lt;&gt;K205,"CEK JENIS ZONA",IF(A205="","Zona STOCK",IF(B205="","CEK SKU DESCRIPTION kosong","OK"))))))))</f>
        <v/>
      </c>
    </row>
    <row r="206">
      <c r="A206" s="10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2">
        <f>IF(G206="","",IFERROR(INDEX(DAFTAR_FIXTURE!$B$2:$B$51,MATCH(G206,DAFTAR_FIXTURE!$A$2:$A$51,0)),""))</f>
        <v/>
      </c>
      <c r="K206" s="12">
        <f>IF(OR(J206="",H206=""),"",IFERROR(INDEX(LAYOUT!$D$2:$D$34,MATCH(J206&amp;"|"&amp;H206,LAYOUT!$E$2:$E$34,0)),"zona tidak ada di layout"))</f>
        <v/>
      </c>
      <c r="L206" s="12">
        <f>IF(OR(G206="",A206=""),"",COUNTIFS($G$2:$G$500,G206,$H$2:$H$500,H206,$A$2:$A$500,"&lt;&gt;"))</f>
        <v/>
      </c>
      <c r="M206" s="12">
        <f>IF(AND(A206="",G206=""),"",IF(G206="","Belum ditempatkan",IF(J206="","CEK ID FIXTURE tidak ada di DAFTAR_FIXTURE",IF(H206="","CEK ZONA NO kosong",IF(K206="zona tidak ada di layout","CEK ZONA NO di luar layout",IF(I206&lt;&gt;K206,"CEK JENIS ZONA",IF(A206="","Zona STOCK",IF(B206="","CEK SKU DESCRIPTION kosong","OK"))))))))</f>
        <v/>
      </c>
    </row>
    <row r="207">
      <c r="A207" s="10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2">
        <f>IF(G207="","",IFERROR(INDEX(DAFTAR_FIXTURE!$B$2:$B$51,MATCH(G207,DAFTAR_FIXTURE!$A$2:$A$51,0)),""))</f>
        <v/>
      </c>
      <c r="K207" s="12">
        <f>IF(OR(J207="",H207=""),"",IFERROR(INDEX(LAYOUT!$D$2:$D$34,MATCH(J207&amp;"|"&amp;H207,LAYOUT!$E$2:$E$34,0)),"zona tidak ada di layout"))</f>
        <v/>
      </c>
      <c r="L207" s="12">
        <f>IF(OR(G207="",A207=""),"",COUNTIFS($G$2:$G$500,G207,$H$2:$H$500,H207,$A$2:$A$500,"&lt;&gt;"))</f>
        <v/>
      </c>
      <c r="M207" s="12">
        <f>IF(AND(A207="",G207=""),"",IF(G207="","Belum ditempatkan",IF(J207="","CEK ID FIXTURE tidak ada di DAFTAR_FIXTURE",IF(H207="","CEK ZONA NO kosong",IF(K207="zona tidak ada di layout","CEK ZONA NO di luar layout",IF(I207&lt;&gt;K207,"CEK JENIS ZONA",IF(A207="","Zona STOCK",IF(B207="","CEK SKU DESCRIPTION kosong","OK"))))))))</f>
        <v/>
      </c>
    </row>
    <row r="208">
      <c r="A208" s="10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2">
        <f>IF(G208="","",IFERROR(INDEX(DAFTAR_FIXTURE!$B$2:$B$51,MATCH(G208,DAFTAR_FIXTURE!$A$2:$A$51,0)),""))</f>
        <v/>
      </c>
      <c r="K208" s="12">
        <f>IF(OR(J208="",H208=""),"",IFERROR(INDEX(LAYOUT!$D$2:$D$34,MATCH(J208&amp;"|"&amp;H208,LAYOUT!$E$2:$E$34,0)),"zona tidak ada di layout"))</f>
        <v/>
      </c>
      <c r="L208" s="12">
        <f>IF(OR(G208="",A208=""),"",COUNTIFS($G$2:$G$500,G208,$H$2:$H$500,H208,$A$2:$A$500,"&lt;&gt;"))</f>
        <v/>
      </c>
      <c r="M208" s="12">
        <f>IF(AND(A208="",G208=""),"",IF(G208="","Belum ditempatkan",IF(J208="","CEK ID FIXTURE tidak ada di DAFTAR_FIXTURE",IF(H208="","CEK ZONA NO kosong",IF(K208="zona tidak ada di layout","CEK ZONA NO di luar layout",IF(I208&lt;&gt;K208,"CEK JENIS ZONA",IF(A208="","Zona STOCK",IF(B208="","CEK SKU DESCRIPTION kosong","OK"))))))))</f>
        <v/>
      </c>
    </row>
    <row r="209">
      <c r="A209" s="10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2">
        <f>IF(G209="","",IFERROR(INDEX(DAFTAR_FIXTURE!$B$2:$B$51,MATCH(G209,DAFTAR_FIXTURE!$A$2:$A$51,0)),""))</f>
        <v/>
      </c>
      <c r="K209" s="12">
        <f>IF(OR(J209="",H209=""),"",IFERROR(INDEX(LAYOUT!$D$2:$D$34,MATCH(J209&amp;"|"&amp;H209,LAYOUT!$E$2:$E$34,0)),"zona tidak ada di layout"))</f>
        <v/>
      </c>
      <c r="L209" s="12">
        <f>IF(OR(G209="",A209=""),"",COUNTIFS($G$2:$G$500,G209,$H$2:$H$500,H209,$A$2:$A$500,"&lt;&gt;"))</f>
        <v/>
      </c>
      <c r="M209" s="12">
        <f>IF(AND(A209="",G209=""),"",IF(G209="","Belum ditempatkan",IF(J209="","CEK ID FIXTURE tidak ada di DAFTAR_FIXTURE",IF(H209="","CEK ZONA NO kosong",IF(K209="zona tidak ada di layout","CEK ZONA NO di luar layout",IF(I209&lt;&gt;K209,"CEK JENIS ZONA",IF(A209="","Zona STOCK",IF(B209="","CEK SKU DESCRIPTION kosong","OK"))))))))</f>
        <v/>
      </c>
    </row>
    <row r="210">
      <c r="A210" s="10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2">
        <f>IF(G210="","",IFERROR(INDEX(DAFTAR_FIXTURE!$B$2:$B$51,MATCH(G210,DAFTAR_FIXTURE!$A$2:$A$51,0)),""))</f>
        <v/>
      </c>
      <c r="K210" s="12">
        <f>IF(OR(J210="",H210=""),"",IFERROR(INDEX(LAYOUT!$D$2:$D$34,MATCH(J210&amp;"|"&amp;H210,LAYOUT!$E$2:$E$34,0)),"zona tidak ada di layout"))</f>
        <v/>
      </c>
      <c r="L210" s="12">
        <f>IF(OR(G210="",A210=""),"",COUNTIFS($G$2:$G$500,G210,$H$2:$H$500,H210,$A$2:$A$500,"&lt;&gt;"))</f>
        <v/>
      </c>
      <c r="M210" s="12">
        <f>IF(AND(A210="",G210=""),"",IF(G210="","Belum ditempatkan",IF(J210="","CEK ID FIXTURE tidak ada di DAFTAR_FIXTURE",IF(H210="","CEK ZONA NO kosong",IF(K210="zona tidak ada di layout","CEK ZONA NO di luar layout",IF(I210&lt;&gt;K210,"CEK JENIS ZONA",IF(A210="","Zona STOCK",IF(B210="","CEK SKU DESCRIPTION kosong","OK"))))))))</f>
        <v/>
      </c>
    </row>
    <row r="211">
      <c r="A211" s="10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2">
        <f>IF(G211="","",IFERROR(INDEX(DAFTAR_FIXTURE!$B$2:$B$51,MATCH(G211,DAFTAR_FIXTURE!$A$2:$A$51,0)),""))</f>
        <v/>
      </c>
      <c r="K211" s="12">
        <f>IF(OR(J211="",H211=""),"",IFERROR(INDEX(LAYOUT!$D$2:$D$34,MATCH(J211&amp;"|"&amp;H211,LAYOUT!$E$2:$E$34,0)),"zona tidak ada di layout"))</f>
        <v/>
      </c>
      <c r="L211" s="12">
        <f>IF(OR(G211="",A211=""),"",COUNTIFS($G$2:$G$500,G211,$H$2:$H$500,H211,$A$2:$A$500,"&lt;&gt;"))</f>
        <v/>
      </c>
      <c r="M211" s="12">
        <f>IF(AND(A211="",G211=""),"",IF(G211="","Belum ditempatkan",IF(J211="","CEK ID FIXTURE tidak ada di DAFTAR_FIXTURE",IF(H211="","CEK ZONA NO kosong",IF(K211="zona tidak ada di layout","CEK ZONA NO di luar layout",IF(I211&lt;&gt;K211,"CEK JENIS ZONA",IF(A211="","Zona STOCK",IF(B211="","CEK SKU DESCRIPTION kosong","OK"))))))))</f>
        <v/>
      </c>
    </row>
    <row r="212">
      <c r="A212" s="10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2">
        <f>IF(G212="","",IFERROR(INDEX(DAFTAR_FIXTURE!$B$2:$B$51,MATCH(G212,DAFTAR_FIXTURE!$A$2:$A$51,0)),""))</f>
        <v/>
      </c>
      <c r="K212" s="12">
        <f>IF(OR(J212="",H212=""),"",IFERROR(INDEX(LAYOUT!$D$2:$D$34,MATCH(J212&amp;"|"&amp;H212,LAYOUT!$E$2:$E$34,0)),"zona tidak ada di layout"))</f>
        <v/>
      </c>
      <c r="L212" s="12">
        <f>IF(OR(G212="",A212=""),"",COUNTIFS($G$2:$G$500,G212,$H$2:$H$500,H212,$A$2:$A$500,"&lt;&gt;"))</f>
        <v/>
      </c>
      <c r="M212" s="12">
        <f>IF(AND(A212="",G212=""),"",IF(G212="","Belum ditempatkan",IF(J212="","CEK ID FIXTURE tidak ada di DAFTAR_FIXTURE",IF(H212="","CEK ZONA NO kosong",IF(K212="zona tidak ada di layout","CEK ZONA NO di luar layout",IF(I212&lt;&gt;K212,"CEK JENIS ZONA",IF(A212="","Zona STOCK",IF(B212="","CEK SKU DESCRIPTION kosong","OK"))))))))</f>
        <v/>
      </c>
    </row>
    <row r="213">
      <c r="A213" s="10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2">
        <f>IF(G213="","",IFERROR(INDEX(DAFTAR_FIXTURE!$B$2:$B$51,MATCH(G213,DAFTAR_FIXTURE!$A$2:$A$51,0)),""))</f>
        <v/>
      </c>
      <c r="K213" s="12">
        <f>IF(OR(J213="",H213=""),"",IFERROR(INDEX(LAYOUT!$D$2:$D$34,MATCH(J213&amp;"|"&amp;H213,LAYOUT!$E$2:$E$34,0)),"zona tidak ada di layout"))</f>
        <v/>
      </c>
      <c r="L213" s="12">
        <f>IF(OR(G213="",A213=""),"",COUNTIFS($G$2:$G$500,G213,$H$2:$H$500,H213,$A$2:$A$500,"&lt;&gt;"))</f>
        <v/>
      </c>
      <c r="M213" s="12">
        <f>IF(AND(A213="",G213=""),"",IF(G213="","Belum ditempatkan",IF(J213="","CEK ID FIXTURE tidak ada di DAFTAR_FIXTURE",IF(H213="","CEK ZONA NO kosong",IF(K213="zona tidak ada di layout","CEK ZONA NO di luar layout",IF(I213&lt;&gt;K213,"CEK JENIS ZONA",IF(A213="","Zona STOCK",IF(B213="","CEK SKU DESCRIPTION kosong","OK"))))))))</f>
        <v/>
      </c>
    </row>
    <row r="214">
      <c r="A214" s="10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2">
        <f>IF(G214="","",IFERROR(INDEX(DAFTAR_FIXTURE!$B$2:$B$51,MATCH(G214,DAFTAR_FIXTURE!$A$2:$A$51,0)),""))</f>
        <v/>
      </c>
      <c r="K214" s="12">
        <f>IF(OR(J214="",H214=""),"",IFERROR(INDEX(LAYOUT!$D$2:$D$34,MATCH(J214&amp;"|"&amp;H214,LAYOUT!$E$2:$E$34,0)),"zona tidak ada di layout"))</f>
        <v/>
      </c>
      <c r="L214" s="12">
        <f>IF(OR(G214="",A214=""),"",COUNTIFS($G$2:$G$500,G214,$H$2:$H$500,H214,$A$2:$A$500,"&lt;&gt;"))</f>
        <v/>
      </c>
      <c r="M214" s="12">
        <f>IF(AND(A214="",G214=""),"",IF(G214="","Belum ditempatkan",IF(J214="","CEK ID FIXTURE tidak ada di DAFTAR_FIXTURE",IF(H214="","CEK ZONA NO kosong",IF(K214="zona tidak ada di layout","CEK ZONA NO di luar layout",IF(I214&lt;&gt;K214,"CEK JENIS ZONA",IF(A214="","Zona STOCK",IF(B214="","CEK SKU DESCRIPTION kosong","OK"))))))))</f>
        <v/>
      </c>
    </row>
    <row r="215">
      <c r="A215" s="10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2">
        <f>IF(G215="","",IFERROR(INDEX(DAFTAR_FIXTURE!$B$2:$B$51,MATCH(G215,DAFTAR_FIXTURE!$A$2:$A$51,0)),""))</f>
        <v/>
      </c>
      <c r="K215" s="12">
        <f>IF(OR(J215="",H215=""),"",IFERROR(INDEX(LAYOUT!$D$2:$D$34,MATCH(J215&amp;"|"&amp;H215,LAYOUT!$E$2:$E$34,0)),"zona tidak ada di layout"))</f>
        <v/>
      </c>
      <c r="L215" s="12">
        <f>IF(OR(G215="",A215=""),"",COUNTIFS($G$2:$G$500,G215,$H$2:$H$500,H215,$A$2:$A$500,"&lt;&gt;"))</f>
        <v/>
      </c>
      <c r="M215" s="12">
        <f>IF(AND(A215="",G215=""),"",IF(G215="","Belum ditempatkan",IF(J215="","CEK ID FIXTURE tidak ada di DAFTAR_FIXTURE",IF(H215="","CEK ZONA NO kosong",IF(K215="zona tidak ada di layout","CEK ZONA NO di luar layout",IF(I215&lt;&gt;K215,"CEK JENIS ZONA",IF(A215="","Zona STOCK",IF(B215="","CEK SKU DESCRIPTION kosong","OK"))))))))</f>
        <v/>
      </c>
    </row>
    <row r="216">
      <c r="A216" s="10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2">
        <f>IF(G216="","",IFERROR(INDEX(DAFTAR_FIXTURE!$B$2:$B$51,MATCH(G216,DAFTAR_FIXTURE!$A$2:$A$51,0)),""))</f>
        <v/>
      </c>
      <c r="K216" s="12">
        <f>IF(OR(J216="",H216=""),"",IFERROR(INDEX(LAYOUT!$D$2:$D$34,MATCH(J216&amp;"|"&amp;H216,LAYOUT!$E$2:$E$34,0)),"zona tidak ada di layout"))</f>
        <v/>
      </c>
      <c r="L216" s="12">
        <f>IF(OR(G216="",A216=""),"",COUNTIFS($G$2:$G$500,G216,$H$2:$H$500,H216,$A$2:$A$500,"&lt;&gt;"))</f>
        <v/>
      </c>
      <c r="M216" s="12">
        <f>IF(AND(A216="",G216=""),"",IF(G216="","Belum ditempatkan",IF(J216="","CEK ID FIXTURE tidak ada di DAFTAR_FIXTURE",IF(H216="","CEK ZONA NO kosong",IF(K216="zona tidak ada di layout","CEK ZONA NO di luar layout",IF(I216&lt;&gt;K216,"CEK JENIS ZONA",IF(A216="","Zona STOCK",IF(B216="","CEK SKU DESCRIPTION kosong","OK"))))))))</f>
        <v/>
      </c>
    </row>
    <row r="217">
      <c r="A217" s="10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2">
        <f>IF(G217="","",IFERROR(INDEX(DAFTAR_FIXTURE!$B$2:$B$51,MATCH(G217,DAFTAR_FIXTURE!$A$2:$A$51,0)),""))</f>
        <v/>
      </c>
      <c r="K217" s="12">
        <f>IF(OR(J217="",H217=""),"",IFERROR(INDEX(LAYOUT!$D$2:$D$34,MATCH(J217&amp;"|"&amp;H217,LAYOUT!$E$2:$E$34,0)),"zona tidak ada di layout"))</f>
        <v/>
      </c>
      <c r="L217" s="12">
        <f>IF(OR(G217="",A217=""),"",COUNTIFS($G$2:$G$500,G217,$H$2:$H$500,H217,$A$2:$A$500,"&lt;&gt;"))</f>
        <v/>
      </c>
      <c r="M217" s="12">
        <f>IF(AND(A217="",G217=""),"",IF(G217="","Belum ditempatkan",IF(J217="","CEK ID FIXTURE tidak ada di DAFTAR_FIXTURE",IF(H217="","CEK ZONA NO kosong",IF(K217="zona tidak ada di layout","CEK ZONA NO di luar layout",IF(I217&lt;&gt;K217,"CEK JENIS ZONA",IF(A217="","Zona STOCK",IF(B217="","CEK SKU DESCRIPTION kosong","OK"))))))))</f>
        <v/>
      </c>
    </row>
    <row r="218">
      <c r="A218" s="10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2">
        <f>IF(G218="","",IFERROR(INDEX(DAFTAR_FIXTURE!$B$2:$B$51,MATCH(G218,DAFTAR_FIXTURE!$A$2:$A$51,0)),""))</f>
        <v/>
      </c>
      <c r="K218" s="12">
        <f>IF(OR(J218="",H218=""),"",IFERROR(INDEX(LAYOUT!$D$2:$D$34,MATCH(J218&amp;"|"&amp;H218,LAYOUT!$E$2:$E$34,0)),"zona tidak ada di layout"))</f>
        <v/>
      </c>
      <c r="L218" s="12">
        <f>IF(OR(G218="",A218=""),"",COUNTIFS($G$2:$G$500,G218,$H$2:$H$500,H218,$A$2:$A$500,"&lt;&gt;"))</f>
        <v/>
      </c>
      <c r="M218" s="12">
        <f>IF(AND(A218="",G218=""),"",IF(G218="","Belum ditempatkan",IF(J218="","CEK ID FIXTURE tidak ada di DAFTAR_FIXTURE",IF(H218="","CEK ZONA NO kosong",IF(K218="zona tidak ada di layout","CEK ZONA NO di luar layout",IF(I218&lt;&gt;K218,"CEK JENIS ZONA",IF(A218="","Zona STOCK",IF(B218="","CEK SKU DESCRIPTION kosong","OK"))))))))</f>
        <v/>
      </c>
    </row>
    <row r="219">
      <c r="A219" s="10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2">
        <f>IF(G219="","",IFERROR(INDEX(DAFTAR_FIXTURE!$B$2:$B$51,MATCH(G219,DAFTAR_FIXTURE!$A$2:$A$51,0)),""))</f>
        <v/>
      </c>
      <c r="K219" s="12">
        <f>IF(OR(J219="",H219=""),"",IFERROR(INDEX(LAYOUT!$D$2:$D$34,MATCH(J219&amp;"|"&amp;H219,LAYOUT!$E$2:$E$34,0)),"zona tidak ada di layout"))</f>
        <v/>
      </c>
      <c r="L219" s="12">
        <f>IF(OR(G219="",A219=""),"",COUNTIFS($G$2:$G$500,G219,$H$2:$H$500,H219,$A$2:$A$500,"&lt;&gt;"))</f>
        <v/>
      </c>
      <c r="M219" s="12">
        <f>IF(AND(A219="",G219=""),"",IF(G219="","Belum ditempatkan",IF(J219="","CEK ID FIXTURE tidak ada di DAFTAR_FIXTURE",IF(H219="","CEK ZONA NO kosong",IF(K219="zona tidak ada di layout","CEK ZONA NO di luar layout",IF(I219&lt;&gt;K219,"CEK JENIS ZONA",IF(A219="","Zona STOCK",IF(B219="","CEK SKU DESCRIPTION kosong","OK"))))))))</f>
        <v/>
      </c>
    </row>
    <row r="220">
      <c r="A220" s="10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2">
        <f>IF(G220="","",IFERROR(INDEX(DAFTAR_FIXTURE!$B$2:$B$51,MATCH(G220,DAFTAR_FIXTURE!$A$2:$A$51,0)),""))</f>
        <v/>
      </c>
      <c r="K220" s="12">
        <f>IF(OR(J220="",H220=""),"",IFERROR(INDEX(LAYOUT!$D$2:$D$34,MATCH(J220&amp;"|"&amp;H220,LAYOUT!$E$2:$E$34,0)),"zona tidak ada di layout"))</f>
        <v/>
      </c>
      <c r="L220" s="12">
        <f>IF(OR(G220="",A220=""),"",COUNTIFS($G$2:$G$500,G220,$H$2:$H$500,H220,$A$2:$A$500,"&lt;&gt;"))</f>
        <v/>
      </c>
      <c r="M220" s="12">
        <f>IF(AND(A220="",G220=""),"",IF(G220="","Belum ditempatkan",IF(J220="","CEK ID FIXTURE tidak ada di DAFTAR_FIXTURE",IF(H220="","CEK ZONA NO kosong",IF(K220="zona tidak ada di layout","CEK ZONA NO di luar layout",IF(I220&lt;&gt;K220,"CEK JENIS ZONA",IF(A220="","Zona STOCK",IF(B220="","CEK SKU DESCRIPTION kosong","OK"))))))))</f>
        <v/>
      </c>
    </row>
    <row r="221">
      <c r="A221" s="10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2">
        <f>IF(G221="","",IFERROR(INDEX(DAFTAR_FIXTURE!$B$2:$B$51,MATCH(G221,DAFTAR_FIXTURE!$A$2:$A$51,0)),""))</f>
        <v/>
      </c>
      <c r="K221" s="12">
        <f>IF(OR(J221="",H221=""),"",IFERROR(INDEX(LAYOUT!$D$2:$D$34,MATCH(J221&amp;"|"&amp;H221,LAYOUT!$E$2:$E$34,0)),"zona tidak ada di layout"))</f>
        <v/>
      </c>
      <c r="L221" s="12">
        <f>IF(OR(G221="",A221=""),"",COUNTIFS($G$2:$G$500,G221,$H$2:$H$500,H221,$A$2:$A$500,"&lt;&gt;"))</f>
        <v/>
      </c>
      <c r="M221" s="12">
        <f>IF(AND(A221="",G221=""),"",IF(G221="","Belum ditempatkan",IF(J221="","CEK ID FIXTURE tidak ada di DAFTAR_FIXTURE",IF(H221="","CEK ZONA NO kosong",IF(K221="zona tidak ada di layout","CEK ZONA NO di luar layout",IF(I221&lt;&gt;K221,"CEK JENIS ZONA",IF(A221="","Zona STOCK",IF(B221="","CEK SKU DESCRIPTION kosong","OK"))))))))</f>
        <v/>
      </c>
    </row>
    <row r="222">
      <c r="A222" s="10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2">
        <f>IF(G222="","",IFERROR(INDEX(DAFTAR_FIXTURE!$B$2:$B$51,MATCH(G222,DAFTAR_FIXTURE!$A$2:$A$51,0)),""))</f>
        <v/>
      </c>
      <c r="K222" s="12">
        <f>IF(OR(J222="",H222=""),"",IFERROR(INDEX(LAYOUT!$D$2:$D$34,MATCH(J222&amp;"|"&amp;H222,LAYOUT!$E$2:$E$34,0)),"zona tidak ada di layout"))</f>
        <v/>
      </c>
      <c r="L222" s="12">
        <f>IF(OR(G222="",A222=""),"",COUNTIFS($G$2:$G$500,G222,$H$2:$H$500,H222,$A$2:$A$500,"&lt;&gt;"))</f>
        <v/>
      </c>
      <c r="M222" s="12">
        <f>IF(AND(A222="",G222=""),"",IF(G222="","Belum ditempatkan",IF(J222="","CEK ID FIXTURE tidak ada di DAFTAR_FIXTURE",IF(H222="","CEK ZONA NO kosong",IF(K222="zona tidak ada di layout","CEK ZONA NO di luar layout",IF(I222&lt;&gt;K222,"CEK JENIS ZONA",IF(A222="","Zona STOCK",IF(B222="","CEK SKU DESCRIPTION kosong","OK"))))))))</f>
        <v/>
      </c>
    </row>
    <row r="223">
      <c r="A223" s="10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2">
        <f>IF(G223="","",IFERROR(INDEX(DAFTAR_FIXTURE!$B$2:$B$51,MATCH(G223,DAFTAR_FIXTURE!$A$2:$A$51,0)),""))</f>
        <v/>
      </c>
      <c r="K223" s="12">
        <f>IF(OR(J223="",H223=""),"",IFERROR(INDEX(LAYOUT!$D$2:$D$34,MATCH(J223&amp;"|"&amp;H223,LAYOUT!$E$2:$E$34,0)),"zona tidak ada di layout"))</f>
        <v/>
      </c>
      <c r="L223" s="12">
        <f>IF(OR(G223="",A223=""),"",COUNTIFS($G$2:$G$500,G223,$H$2:$H$500,H223,$A$2:$A$500,"&lt;&gt;"))</f>
        <v/>
      </c>
      <c r="M223" s="12">
        <f>IF(AND(A223="",G223=""),"",IF(G223="","Belum ditempatkan",IF(J223="","CEK ID FIXTURE tidak ada di DAFTAR_FIXTURE",IF(H223="","CEK ZONA NO kosong",IF(K223="zona tidak ada di layout","CEK ZONA NO di luar layout",IF(I223&lt;&gt;K223,"CEK JENIS ZONA",IF(A223="","Zona STOCK",IF(B223="","CEK SKU DESCRIPTION kosong","OK"))))))))</f>
        <v/>
      </c>
    </row>
    <row r="224">
      <c r="A224" s="10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2">
        <f>IF(G224="","",IFERROR(INDEX(DAFTAR_FIXTURE!$B$2:$B$51,MATCH(G224,DAFTAR_FIXTURE!$A$2:$A$51,0)),""))</f>
        <v/>
      </c>
      <c r="K224" s="12">
        <f>IF(OR(J224="",H224=""),"",IFERROR(INDEX(LAYOUT!$D$2:$D$34,MATCH(J224&amp;"|"&amp;H224,LAYOUT!$E$2:$E$34,0)),"zona tidak ada di layout"))</f>
        <v/>
      </c>
      <c r="L224" s="12">
        <f>IF(OR(G224="",A224=""),"",COUNTIFS($G$2:$G$500,G224,$H$2:$H$500,H224,$A$2:$A$500,"&lt;&gt;"))</f>
        <v/>
      </c>
      <c r="M224" s="12">
        <f>IF(AND(A224="",G224=""),"",IF(G224="","Belum ditempatkan",IF(J224="","CEK ID FIXTURE tidak ada di DAFTAR_FIXTURE",IF(H224="","CEK ZONA NO kosong",IF(K224="zona tidak ada di layout","CEK ZONA NO di luar layout",IF(I224&lt;&gt;K224,"CEK JENIS ZONA",IF(A224="","Zona STOCK",IF(B224="","CEK SKU DESCRIPTION kosong","OK"))))))))</f>
        <v/>
      </c>
    </row>
    <row r="225">
      <c r="A225" s="10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2">
        <f>IF(G225="","",IFERROR(INDEX(DAFTAR_FIXTURE!$B$2:$B$51,MATCH(G225,DAFTAR_FIXTURE!$A$2:$A$51,0)),""))</f>
        <v/>
      </c>
      <c r="K225" s="12">
        <f>IF(OR(J225="",H225=""),"",IFERROR(INDEX(LAYOUT!$D$2:$D$34,MATCH(J225&amp;"|"&amp;H225,LAYOUT!$E$2:$E$34,0)),"zona tidak ada di layout"))</f>
        <v/>
      </c>
      <c r="L225" s="12">
        <f>IF(OR(G225="",A225=""),"",COUNTIFS($G$2:$G$500,G225,$H$2:$H$500,H225,$A$2:$A$500,"&lt;&gt;"))</f>
        <v/>
      </c>
      <c r="M225" s="12">
        <f>IF(AND(A225="",G225=""),"",IF(G225="","Belum ditempatkan",IF(J225="","CEK ID FIXTURE tidak ada di DAFTAR_FIXTURE",IF(H225="","CEK ZONA NO kosong",IF(K225="zona tidak ada di layout","CEK ZONA NO di luar layout",IF(I225&lt;&gt;K225,"CEK JENIS ZONA",IF(A225="","Zona STOCK",IF(B225="","CEK SKU DESCRIPTION kosong","OK"))))))))</f>
        <v/>
      </c>
    </row>
    <row r="226">
      <c r="A226" s="10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2">
        <f>IF(G226="","",IFERROR(INDEX(DAFTAR_FIXTURE!$B$2:$B$51,MATCH(G226,DAFTAR_FIXTURE!$A$2:$A$51,0)),""))</f>
        <v/>
      </c>
      <c r="K226" s="12">
        <f>IF(OR(J226="",H226=""),"",IFERROR(INDEX(LAYOUT!$D$2:$D$34,MATCH(J226&amp;"|"&amp;H226,LAYOUT!$E$2:$E$34,0)),"zona tidak ada di layout"))</f>
        <v/>
      </c>
      <c r="L226" s="12">
        <f>IF(OR(G226="",A226=""),"",COUNTIFS($G$2:$G$500,G226,$H$2:$H$500,H226,$A$2:$A$500,"&lt;&gt;"))</f>
        <v/>
      </c>
      <c r="M226" s="12">
        <f>IF(AND(A226="",G226=""),"",IF(G226="","Belum ditempatkan",IF(J226="","CEK ID FIXTURE tidak ada di DAFTAR_FIXTURE",IF(H226="","CEK ZONA NO kosong",IF(K226="zona tidak ada di layout","CEK ZONA NO di luar layout",IF(I226&lt;&gt;K226,"CEK JENIS ZONA",IF(A226="","Zona STOCK",IF(B226="","CEK SKU DESCRIPTION kosong","OK"))))))))</f>
        <v/>
      </c>
    </row>
    <row r="227">
      <c r="A227" s="10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2">
        <f>IF(G227="","",IFERROR(INDEX(DAFTAR_FIXTURE!$B$2:$B$51,MATCH(G227,DAFTAR_FIXTURE!$A$2:$A$51,0)),""))</f>
        <v/>
      </c>
      <c r="K227" s="12">
        <f>IF(OR(J227="",H227=""),"",IFERROR(INDEX(LAYOUT!$D$2:$D$34,MATCH(J227&amp;"|"&amp;H227,LAYOUT!$E$2:$E$34,0)),"zona tidak ada di layout"))</f>
        <v/>
      </c>
      <c r="L227" s="12">
        <f>IF(OR(G227="",A227=""),"",COUNTIFS($G$2:$G$500,G227,$H$2:$H$500,H227,$A$2:$A$500,"&lt;&gt;"))</f>
        <v/>
      </c>
      <c r="M227" s="12">
        <f>IF(AND(A227="",G227=""),"",IF(G227="","Belum ditempatkan",IF(J227="","CEK ID FIXTURE tidak ada di DAFTAR_FIXTURE",IF(H227="","CEK ZONA NO kosong",IF(K227="zona tidak ada di layout","CEK ZONA NO di luar layout",IF(I227&lt;&gt;K227,"CEK JENIS ZONA",IF(A227="","Zona STOCK",IF(B227="","CEK SKU DESCRIPTION kosong","OK"))))))))</f>
        <v/>
      </c>
    </row>
    <row r="228">
      <c r="A228" s="10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2">
        <f>IF(G228="","",IFERROR(INDEX(DAFTAR_FIXTURE!$B$2:$B$51,MATCH(G228,DAFTAR_FIXTURE!$A$2:$A$51,0)),""))</f>
        <v/>
      </c>
      <c r="K228" s="12">
        <f>IF(OR(J228="",H228=""),"",IFERROR(INDEX(LAYOUT!$D$2:$D$34,MATCH(J228&amp;"|"&amp;H228,LAYOUT!$E$2:$E$34,0)),"zona tidak ada di layout"))</f>
        <v/>
      </c>
      <c r="L228" s="12">
        <f>IF(OR(G228="",A228=""),"",COUNTIFS($G$2:$G$500,G228,$H$2:$H$500,H228,$A$2:$A$500,"&lt;&gt;"))</f>
        <v/>
      </c>
      <c r="M228" s="12">
        <f>IF(AND(A228="",G228=""),"",IF(G228="","Belum ditempatkan",IF(J228="","CEK ID FIXTURE tidak ada di DAFTAR_FIXTURE",IF(H228="","CEK ZONA NO kosong",IF(K228="zona tidak ada di layout","CEK ZONA NO di luar layout",IF(I228&lt;&gt;K228,"CEK JENIS ZONA",IF(A228="","Zona STOCK",IF(B228="","CEK SKU DESCRIPTION kosong","OK"))))))))</f>
        <v/>
      </c>
    </row>
    <row r="229">
      <c r="A229" s="10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2">
        <f>IF(G229="","",IFERROR(INDEX(DAFTAR_FIXTURE!$B$2:$B$51,MATCH(G229,DAFTAR_FIXTURE!$A$2:$A$51,0)),""))</f>
        <v/>
      </c>
      <c r="K229" s="12">
        <f>IF(OR(J229="",H229=""),"",IFERROR(INDEX(LAYOUT!$D$2:$D$34,MATCH(J229&amp;"|"&amp;H229,LAYOUT!$E$2:$E$34,0)),"zona tidak ada di layout"))</f>
        <v/>
      </c>
      <c r="L229" s="12">
        <f>IF(OR(G229="",A229=""),"",COUNTIFS($G$2:$G$500,G229,$H$2:$H$500,H229,$A$2:$A$500,"&lt;&gt;"))</f>
        <v/>
      </c>
      <c r="M229" s="12">
        <f>IF(AND(A229="",G229=""),"",IF(G229="","Belum ditempatkan",IF(J229="","CEK ID FIXTURE tidak ada di DAFTAR_FIXTURE",IF(H229="","CEK ZONA NO kosong",IF(K229="zona tidak ada di layout","CEK ZONA NO di luar layout",IF(I229&lt;&gt;K229,"CEK JENIS ZONA",IF(A229="","Zona STOCK",IF(B229="","CEK SKU DESCRIPTION kosong","OK"))))))))</f>
        <v/>
      </c>
    </row>
    <row r="230">
      <c r="A230" s="10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2">
        <f>IF(G230="","",IFERROR(INDEX(DAFTAR_FIXTURE!$B$2:$B$51,MATCH(G230,DAFTAR_FIXTURE!$A$2:$A$51,0)),""))</f>
        <v/>
      </c>
      <c r="K230" s="12">
        <f>IF(OR(J230="",H230=""),"",IFERROR(INDEX(LAYOUT!$D$2:$D$34,MATCH(J230&amp;"|"&amp;H230,LAYOUT!$E$2:$E$34,0)),"zona tidak ada di layout"))</f>
        <v/>
      </c>
      <c r="L230" s="12">
        <f>IF(OR(G230="",A230=""),"",COUNTIFS($G$2:$G$500,G230,$H$2:$H$500,H230,$A$2:$A$500,"&lt;&gt;"))</f>
        <v/>
      </c>
      <c r="M230" s="12">
        <f>IF(AND(A230="",G230=""),"",IF(G230="","Belum ditempatkan",IF(J230="","CEK ID FIXTURE tidak ada di DAFTAR_FIXTURE",IF(H230="","CEK ZONA NO kosong",IF(K230="zona tidak ada di layout","CEK ZONA NO di luar layout",IF(I230&lt;&gt;K230,"CEK JENIS ZONA",IF(A230="","Zona STOCK",IF(B230="","CEK SKU DESCRIPTION kosong","OK"))))))))</f>
        <v/>
      </c>
    </row>
    <row r="231">
      <c r="A231" s="10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2">
        <f>IF(G231="","",IFERROR(INDEX(DAFTAR_FIXTURE!$B$2:$B$51,MATCH(G231,DAFTAR_FIXTURE!$A$2:$A$51,0)),""))</f>
        <v/>
      </c>
      <c r="K231" s="12">
        <f>IF(OR(J231="",H231=""),"",IFERROR(INDEX(LAYOUT!$D$2:$D$34,MATCH(J231&amp;"|"&amp;H231,LAYOUT!$E$2:$E$34,0)),"zona tidak ada di layout"))</f>
        <v/>
      </c>
      <c r="L231" s="12">
        <f>IF(OR(G231="",A231=""),"",COUNTIFS($G$2:$G$500,G231,$H$2:$H$500,H231,$A$2:$A$500,"&lt;&gt;"))</f>
        <v/>
      </c>
      <c r="M231" s="12">
        <f>IF(AND(A231="",G231=""),"",IF(G231="","Belum ditempatkan",IF(J231="","CEK ID FIXTURE tidak ada di DAFTAR_FIXTURE",IF(H231="","CEK ZONA NO kosong",IF(K231="zona tidak ada di layout","CEK ZONA NO di luar layout",IF(I231&lt;&gt;K231,"CEK JENIS ZONA",IF(A231="","Zona STOCK",IF(B231="","CEK SKU DESCRIPTION kosong","OK"))))))))</f>
        <v/>
      </c>
    </row>
    <row r="232">
      <c r="A232" s="10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2">
        <f>IF(G232="","",IFERROR(INDEX(DAFTAR_FIXTURE!$B$2:$B$51,MATCH(G232,DAFTAR_FIXTURE!$A$2:$A$51,0)),""))</f>
        <v/>
      </c>
      <c r="K232" s="12">
        <f>IF(OR(J232="",H232=""),"",IFERROR(INDEX(LAYOUT!$D$2:$D$34,MATCH(J232&amp;"|"&amp;H232,LAYOUT!$E$2:$E$34,0)),"zona tidak ada di layout"))</f>
        <v/>
      </c>
      <c r="L232" s="12">
        <f>IF(OR(G232="",A232=""),"",COUNTIFS($G$2:$G$500,G232,$H$2:$H$500,H232,$A$2:$A$500,"&lt;&gt;"))</f>
        <v/>
      </c>
      <c r="M232" s="12">
        <f>IF(AND(A232="",G232=""),"",IF(G232="","Belum ditempatkan",IF(J232="","CEK ID FIXTURE tidak ada di DAFTAR_FIXTURE",IF(H232="","CEK ZONA NO kosong",IF(K232="zona tidak ada di layout","CEK ZONA NO di luar layout",IF(I232&lt;&gt;K232,"CEK JENIS ZONA",IF(A232="","Zona STOCK",IF(B232="","CEK SKU DESCRIPTION kosong","OK"))))))))</f>
        <v/>
      </c>
    </row>
    <row r="233">
      <c r="A233" s="10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2">
        <f>IF(G233="","",IFERROR(INDEX(DAFTAR_FIXTURE!$B$2:$B$51,MATCH(G233,DAFTAR_FIXTURE!$A$2:$A$51,0)),""))</f>
        <v/>
      </c>
      <c r="K233" s="12">
        <f>IF(OR(J233="",H233=""),"",IFERROR(INDEX(LAYOUT!$D$2:$D$34,MATCH(J233&amp;"|"&amp;H233,LAYOUT!$E$2:$E$34,0)),"zona tidak ada di layout"))</f>
        <v/>
      </c>
      <c r="L233" s="12">
        <f>IF(OR(G233="",A233=""),"",COUNTIFS($G$2:$G$500,G233,$H$2:$H$500,H233,$A$2:$A$500,"&lt;&gt;"))</f>
        <v/>
      </c>
      <c r="M233" s="12">
        <f>IF(AND(A233="",G233=""),"",IF(G233="","Belum ditempatkan",IF(J233="","CEK ID FIXTURE tidak ada di DAFTAR_FIXTURE",IF(H233="","CEK ZONA NO kosong",IF(K233="zona tidak ada di layout","CEK ZONA NO di luar layout",IF(I233&lt;&gt;K233,"CEK JENIS ZONA",IF(A233="","Zona STOCK",IF(B233="","CEK SKU DESCRIPTION kosong","OK"))))))))</f>
        <v/>
      </c>
    </row>
    <row r="234">
      <c r="A234" s="10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2">
        <f>IF(G234="","",IFERROR(INDEX(DAFTAR_FIXTURE!$B$2:$B$51,MATCH(G234,DAFTAR_FIXTURE!$A$2:$A$51,0)),""))</f>
        <v/>
      </c>
      <c r="K234" s="12">
        <f>IF(OR(J234="",H234=""),"",IFERROR(INDEX(LAYOUT!$D$2:$D$34,MATCH(J234&amp;"|"&amp;H234,LAYOUT!$E$2:$E$34,0)),"zona tidak ada di layout"))</f>
        <v/>
      </c>
      <c r="L234" s="12">
        <f>IF(OR(G234="",A234=""),"",COUNTIFS($G$2:$G$500,G234,$H$2:$H$500,H234,$A$2:$A$500,"&lt;&gt;"))</f>
        <v/>
      </c>
      <c r="M234" s="12">
        <f>IF(AND(A234="",G234=""),"",IF(G234="","Belum ditempatkan",IF(J234="","CEK ID FIXTURE tidak ada di DAFTAR_FIXTURE",IF(H234="","CEK ZONA NO kosong",IF(K234="zona tidak ada di layout","CEK ZONA NO di luar layout",IF(I234&lt;&gt;K234,"CEK JENIS ZONA",IF(A234="","Zona STOCK",IF(B234="","CEK SKU DESCRIPTION kosong","OK"))))))))</f>
        <v/>
      </c>
    </row>
    <row r="235">
      <c r="A235" s="10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2">
        <f>IF(G235="","",IFERROR(INDEX(DAFTAR_FIXTURE!$B$2:$B$51,MATCH(G235,DAFTAR_FIXTURE!$A$2:$A$51,0)),""))</f>
        <v/>
      </c>
      <c r="K235" s="12">
        <f>IF(OR(J235="",H235=""),"",IFERROR(INDEX(LAYOUT!$D$2:$D$34,MATCH(J235&amp;"|"&amp;H235,LAYOUT!$E$2:$E$34,0)),"zona tidak ada di layout"))</f>
        <v/>
      </c>
      <c r="L235" s="12">
        <f>IF(OR(G235="",A235=""),"",COUNTIFS($G$2:$G$500,G235,$H$2:$H$500,H235,$A$2:$A$500,"&lt;&gt;"))</f>
        <v/>
      </c>
      <c r="M235" s="12">
        <f>IF(AND(A235="",G235=""),"",IF(G235="","Belum ditempatkan",IF(J235="","CEK ID FIXTURE tidak ada di DAFTAR_FIXTURE",IF(H235="","CEK ZONA NO kosong",IF(K235="zona tidak ada di layout","CEK ZONA NO di luar layout",IF(I235&lt;&gt;K235,"CEK JENIS ZONA",IF(A235="","Zona STOCK",IF(B235="","CEK SKU DESCRIPTION kosong","OK"))))))))</f>
        <v/>
      </c>
    </row>
    <row r="236">
      <c r="A236" s="10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2">
        <f>IF(G236="","",IFERROR(INDEX(DAFTAR_FIXTURE!$B$2:$B$51,MATCH(G236,DAFTAR_FIXTURE!$A$2:$A$51,0)),""))</f>
        <v/>
      </c>
      <c r="K236" s="12">
        <f>IF(OR(J236="",H236=""),"",IFERROR(INDEX(LAYOUT!$D$2:$D$34,MATCH(J236&amp;"|"&amp;H236,LAYOUT!$E$2:$E$34,0)),"zona tidak ada di layout"))</f>
        <v/>
      </c>
      <c r="L236" s="12">
        <f>IF(OR(G236="",A236=""),"",COUNTIFS($G$2:$G$500,G236,$H$2:$H$500,H236,$A$2:$A$500,"&lt;&gt;"))</f>
        <v/>
      </c>
      <c r="M236" s="12">
        <f>IF(AND(A236="",G236=""),"",IF(G236="","Belum ditempatkan",IF(J236="","CEK ID FIXTURE tidak ada di DAFTAR_FIXTURE",IF(H236="","CEK ZONA NO kosong",IF(K236="zona tidak ada di layout","CEK ZONA NO di luar layout",IF(I236&lt;&gt;K236,"CEK JENIS ZONA",IF(A236="","Zona STOCK",IF(B236="","CEK SKU DESCRIPTION kosong","OK"))))))))</f>
        <v/>
      </c>
    </row>
    <row r="237">
      <c r="A237" s="10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2">
        <f>IF(G237="","",IFERROR(INDEX(DAFTAR_FIXTURE!$B$2:$B$51,MATCH(G237,DAFTAR_FIXTURE!$A$2:$A$51,0)),""))</f>
        <v/>
      </c>
      <c r="K237" s="12">
        <f>IF(OR(J237="",H237=""),"",IFERROR(INDEX(LAYOUT!$D$2:$D$34,MATCH(J237&amp;"|"&amp;H237,LAYOUT!$E$2:$E$34,0)),"zona tidak ada di layout"))</f>
        <v/>
      </c>
      <c r="L237" s="12">
        <f>IF(OR(G237="",A237=""),"",COUNTIFS($G$2:$G$500,G237,$H$2:$H$500,H237,$A$2:$A$500,"&lt;&gt;"))</f>
        <v/>
      </c>
      <c r="M237" s="12">
        <f>IF(AND(A237="",G237=""),"",IF(G237="","Belum ditempatkan",IF(J237="","CEK ID FIXTURE tidak ada di DAFTAR_FIXTURE",IF(H237="","CEK ZONA NO kosong",IF(K237="zona tidak ada di layout","CEK ZONA NO di luar layout",IF(I237&lt;&gt;K237,"CEK JENIS ZONA",IF(A237="","Zona STOCK",IF(B237="","CEK SKU DESCRIPTION kosong","OK"))))))))</f>
        <v/>
      </c>
    </row>
    <row r="238">
      <c r="A238" s="10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2">
        <f>IF(G238="","",IFERROR(INDEX(DAFTAR_FIXTURE!$B$2:$B$51,MATCH(G238,DAFTAR_FIXTURE!$A$2:$A$51,0)),""))</f>
        <v/>
      </c>
      <c r="K238" s="12">
        <f>IF(OR(J238="",H238=""),"",IFERROR(INDEX(LAYOUT!$D$2:$D$34,MATCH(J238&amp;"|"&amp;H238,LAYOUT!$E$2:$E$34,0)),"zona tidak ada di layout"))</f>
        <v/>
      </c>
      <c r="L238" s="12">
        <f>IF(OR(G238="",A238=""),"",COUNTIFS($G$2:$G$500,G238,$H$2:$H$500,H238,$A$2:$A$500,"&lt;&gt;"))</f>
        <v/>
      </c>
      <c r="M238" s="12">
        <f>IF(AND(A238="",G238=""),"",IF(G238="","Belum ditempatkan",IF(J238="","CEK ID FIXTURE tidak ada di DAFTAR_FIXTURE",IF(H238="","CEK ZONA NO kosong",IF(K238="zona tidak ada di layout","CEK ZONA NO di luar layout",IF(I238&lt;&gt;K238,"CEK JENIS ZONA",IF(A238="","Zona STOCK",IF(B238="","CEK SKU DESCRIPTION kosong","OK"))))))))</f>
        <v/>
      </c>
    </row>
    <row r="239">
      <c r="A239" s="10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2">
        <f>IF(G239="","",IFERROR(INDEX(DAFTAR_FIXTURE!$B$2:$B$51,MATCH(G239,DAFTAR_FIXTURE!$A$2:$A$51,0)),""))</f>
        <v/>
      </c>
      <c r="K239" s="12">
        <f>IF(OR(J239="",H239=""),"",IFERROR(INDEX(LAYOUT!$D$2:$D$34,MATCH(J239&amp;"|"&amp;H239,LAYOUT!$E$2:$E$34,0)),"zona tidak ada di layout"))</f>
        <v/>
      </c>
      <c r="L239" s="12">
        <f>IF(OR(G239="",A239=""),"",COUNTIFS($G$2:$G$500,G239,$H$2:$H$500,H239,$A$2:$A$500,"&lt;&gt;"))</f>
        <v/>
      </c>
      <c r="M239" s="12">
        <f>IF(AND(A239="",G239=""),"",IF(G239="","Belum ditempatkan",IF(J239="","CEK ID FIXTURE tidak ada di DAFTAR_FIXTURE",IF(H239="","CEK ZONA NO kosong",IF(K239="zona tidak ada di layout","CEK ZONA NO di luar layout",IF(I239&lt;&gt;K239,"CEK JENIS ZONA",IF(A239="","Zona STOCK",IF(B239="","CEK SKU DESCRIPTION kosong","OK"))))))))</f>
        <v/>
      </c>
    </row>
    <row r="240">
      <c r="A240" s="10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2">
        <f>IF(G240="","",IFERROR(INDEX(DAFTAR_FIXTURE!$B$2:$B$51,MATCH(G240,DAFTAR_FIXTURE!$A$2:$A$51,0)),""))</f>
        <v/>
      </c>
      <c r="K240" s="12">
        <f>IF(OR(J240="",H240=""),"",IFERROR(INDEX(LAYOUT!$D$2:$D$34,MATCH(J240&amp;"|"&amp;H240,LAYOUT!$E$2:$E$34,0)),"zona tidak ada di layout"))</f>
        <v/>
      </c>
      <c r="L240" s="12">
        <f>IF(OR(G240="",A240=""),"",COUNTIFS($G$2:$G$500,G240,$H$2:$H$500,H240,$A$2:$A$500,"&lt;&gt;"))</f>
        <v/>
      </c>
      <c r="M240" s="12">
        <f>IF(AND(A240="",G240=""),"",IF(G240="","Belum ditempatkan",IF(J240="","CEK ID FIXTURE tidak ada di DAFTAR_FIXTURE",IF(H240="","CEK ZONA NO kosong",IF(K240="zona tidak ada di layout","CEK ZONA NO di luar layout",IF(I240&lt;&gt;K240,"CEK JENIS ZONA",IF(A240="","Zona STOCK",IF(B240="","CEK SKU DESCRIPTION kosong","OK"))))))))</f>
        <v/>
      </c>
    </row>
    <row r="241">
      <c r="A241" s="10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2">
        <f>IF(G241="","",IFERROR(INDEX(DAFTAR_FIXTURE!$B$2:$B$51,MATCH(G241,DAFTAR_FIXTURE!$A$2:$A$51,0)),""))</f>
        <v/>
      </c>
      <c r="K241" s="12">
        <f>IF(OR(J241="",H241=""),"",IFERROR(INDEX(LAYOUT!$D$2:$D$34,MATCH(J241&amp;"|"&amp;H241,LAYOUT!$E$2:$E$34,0)),"zona tidak ada di layout"))</f>
        <v/>
      </c>
      <c r="L241" s="12">
        <f>IF(OR(G241="",A241=""),"",COUNTIFS($G$2:$G$500,G241,$H$2:$H$500,H241,$A$2:$A$500,"&lt;&gt;"))</f>
        <v/>
      </c>
      <c r="M241" s="12">
        <f>IF(AND(A241="",G241=""),"",IF(G241="","Belum ditempatkan",IF(J241="","CEK ID FIXTURE tidak ada di DAFTAR_FIXTURE",IF(H241="","CEK ZONA NO kosong",IF(K241="zona tidak ada di layout","CEK ZONA NO di luar layout",IF(I241&lt;&gt;K241,"CEK JENIS ZONA",IF(A241="","Zona STOCK",IF(B241="","CEK SKU DESCRIPTION kosong","OK"))))))))</f>
        <v/>
      </c>
    </row>
    <row r="242">
      <c r="A242" s="10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2">
        <f>IF(G242="","",IFERROR(INDEX(DAFTAR_FIXTURE!$B$2:$B$51,MATCH(G242,DAFTAR_FIXTURE!$A$2:$A$51,0)),""))</f>
        <v/>
      </c>
      <c r="K242" s="12">
        <f>IF(OR(J242="",H242=""),"",IFERROR(INDEX(LAYOUT!$D$2:$D$34,MATCH(J242&amp;"|"&amp;H242,LAYOUT!$E$2:$E$34,0)),"zona tidak ada di layout"))</f>
        <v/>
      </c>
      <c r="L242" s="12">
        <f>IF(OR(G242="",A242=""),"",COUNTIFS($G$2:$G$500,G242,$H$2:$H$500,H242,$A$2:$A$500,"&lt;&gt;"))</f>
        <v/>
      </c>
      <c r="M242" s="12">
        <f>IF(AND(A242="",G242=""),"",IF(G242="","Belum ditempatkan",IF(J242="","CEK ID FIXTURE tidak ada di DAFTAR_FIXTURE",IF(H242="","CEK ZONA NO kosong",IF(K242="zona tidak ada di layout","CEK ZONA NO di luar layout",IF(I242&lt;&gt;K242,"CEK JENIS ZONA",IF(A242="","Zona STOCK",IF(B242="","CEK SKU DESCRIPTION kosong","OK"))))))))</f>
        <v/>
      </c>
    </row>
    <row r="243">
      <c r="A243" s="10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2">
        <f>IF(G243="","",IFERROR(INDEX(DAFTAR_FIXTURE!$B$2:$B$51,MATCH(G243,DAFTAR_FIXTURE!$A$2:$A$51,0)),""))</f>
        <v/>
      </c>
      <c r="K243" s="12">
        <f>IF(OR(J243="",H243=""),"",IFERROR(INDEX(LAYOUT!$D$2:$D$34,MATCH(J243&amp;"|"&amp;H243,LAYOUT!$E$2:$E$34,0)),"zona tidak ada di layout"))</f>
        <v/>
      </c>
      <c r="L243" s="12">
        <f>IF(OR(G243="",A243=""),"",COUNTIFS($G$2:$G$500,G243,$H$2:$H$500,H243,$A$2:$A$500,"&lt;&gt;"))</f>
        <v/>
      </c>
      <c r="M243" s="12">
        <f>IF(AND(A243="",G243=""),"",IF(G243="","Belum ditempatkan",IF(J243="","CEK ID FIXTURE tidak ada di DAFTAR_FIXTURE",IF(H243="","CEK ZONA NO kosong",IF(K243="zona tidak ada di layout","CEK ZONA NO di luar layout",IF(I243&lt;&gt;K243,"CEK JENIS ZONA",IF(A243="","Zona STOCK",IF(B243="","CEK SKU DESCRIPTION kosong","OK"))))))))</f>
        <v/>
      </c>
    </row>
    <row r="244">
      <c r="A244" s="10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2">
        <f>IF(G244="","",IFERROR(INDEX(DAFTAR_FIXTURE!$B$2:$B$51,MATCH(G244,DAFTAR_FIXTURE!$A$2:$A$51,0)),""))</f>
        <v/>
      </c>
      <c r="K244" s="12">
        <f>IF(OR(J244="",H244=""),"",IFERROR(INDEX(LAYOUT!$D$2:$D$34,MATCH(J244&amp;"|"&amp;H244,LAYOUT!$E$2:$E$34,0)),"zona tidak ada di layout"))</f>
        <v/>
      </c>
      <c r="L244" s="12">
        <f>IF(OR(G244="",A244=""),"",COUNTIFS($G$2:$G$500,G244,$H$2:$H$500,H244,$A$2:$A$500,"&lt;&gt;"))</f>
        <v/>
      </c>
      <c r="M244" s="12">
        <f>IF(AND(A244="",G244=""),"",IF(G244="","Belum ditempatkan",IF(J244="","CEK ID FIXTURE tidak ada di DAFTAR_FIXTURE",IF(H244="","CEK ZONA NO kosong",IF(K244="zona tidak ada di layout","CEK ZONA NO di luar layout",IF(I244&lt;&gt;K244,"CEK JENIS ZONA",IF(A244="","Zona STOCK",IF(B244="","CEK SKU DESCRIPTION kosong","OK"))))))))</f>
        <v/>
      </c>
    </row>
    <row r="245">
      <c r="A245" s="10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2">
        <f>IF(G245="","",IFERROR(INDEX(DAFTAR_FIXTURE!$B$2:$B$51,MATCH(G245,DAFTAR_FIXTURE!$A$2:$A$51,0)),""))</f>
        <v/>
      </c>
      <c r="K245" s="12">
        <f>IF(OR(J245="",H245=""),"",IFERROR(INDEX(LAYOUT!$D$2:$D$34,MATCH(J245&amp;"|"&amp;H245,LAYOUT!$E$2:$E$34,0)),"zona tidak ada di layout"))</f>
        <v/>
      </c>
      <c r="L245" s="12">
        <f>IF(OR(G245="",A245=""),"",COUNTIFS($G$2:$G$500,G245,$H$2:$H$500,H245,$A$2:$A$500,"&lt;&gt;"))</f>
        <v/>
      </c>
      <c r="M245" s="12">
        <f>IF(AND(A245="",G245=""),"",IF(G245="","Belum ditempatkan",IF(J245="","CEK ID FIXTURE tidak ada di DAFTAR_FIXTURE",IF(H245="","CEK ZONA NO kosong",IF(K245="zona tidak ada di layout","CEK ZONA NO di luar layout",IF(I245&lt;&gt;K245,"CEK JENIS ZONA",IF(A245="","Zona STOCK",IF(B245="","CEK SKU DESCRIPTION kosong","OK"))))))))</f>
        <v/>
      </c>
    </row>
    <row r="246">
      <c r="A246" s="10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2">
        <f>IF(G246="","",IFERROR(INDEX(DAFTAR_FIXTURE!$B$2:$B$51,MATCH(G246,DAFTAR_FIXTURE!$A$2:$A$51,0)),""))</f>
        <v/>
      </c>
      <c r="K246" s="12">
        <f>IF(OR(J246="",H246=""),"",IFERROR(INDEX(LAYOUT!$D$2:$D$34,MATCH(J246&amp;"|"&amp;H246,LAYOUT!$E$2:$E$34,0)),"zona tidak ada di layout"))</f>
        <v/>
      </c>
      <c r="L246" s="12">
        <f>IF(OR(G246="",A246=""),"",COUNTIFS($G$2:$G$500,G246,$H$2:$H$500,H246,$A$2:$A$500,"&lt;&gt;"))</f>
        <v/>
      </c>
      <c r="M246" s="12">
        <f>IF(AND(A246="",G246=""),"",IF(G246="","Belum ditempatkan",IF(J246="","CEK ID FIXTURE tidak ada di DAFTAR_FIXTURE",IF(H246="","CEK ZONA NO kosong",IF(K246="zona tidak ada di layout","CEK ZONA NO di luar layout",IF(I246&lt;&gt;K246,"CEK JENIS ZONA",IF(A246="","Zona STOCK",IF(B246="","CEK SKU DESCRIPTION kosong","OK"))))))))</f>
        <v/>
      </c>
    </row>
    <row r="247">
      <c r="A247" s="10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2">
        <f>IF(G247="","",IFERROR(INDEX(DAFTAR_FIXTURE!$B$2:$B$51,MATCH(G247,DAFTAR_FIXTURE!$A$2:$A$51,0)),""))</f>
        <v/>
      </c>
      <c r="K247" s="12">
        <f>IF(OR(J247="",H247=""),"",IFERROR(INDEX(LAYOUT!$D$2:$D$34,MATCH(J247&amp;"|"&amp;H247,LAYOUT!$E$2:$E$34,0)),"zona tidak ada di layout"))</f>
        <v/>
      </c>
      <c r="L247" s="12">
        <f>IF(OR(G247="",A247=""),"",COUNTIFS($G$2:$G$500,G247,$H$2:$H$500,H247,$A$2:$A$500,"&lt;&gt;"))</f>
        <v/>
      </c>
      <c r="M247" s="12">
        <f>IF(AND(A247="",G247=""),"",IF(G247="","Belum ditempatkan",IF(J247="","CEK ID FIXTURE tidak ada di DAFTAR_FIXTURE",IF(H247="","CEK ZONA NO kosong",IF(K247="zona tidak ada di layout","CEK ZONA NO di luar layout",IF(I247&lt;&gt;K247,"CEK JENIS ZONA",IF(A247="","Zona STOCK",IF(B247="","CEK SKU DESCRIPTION kosong","OK"))))))))</f>
        <v/>
      </c>
    </row>
    <row r="248">
      <c r="A248" s="10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2">
        <f>IF(G248="","",IFERROR(INDEX(DAFTAR_FIXTURE!$B$2:$B$51,MATCH(G248,DAFTAR_FIXTURE!$A$2:$A$51,0)),""))</f>
        <v/>
      </c>
      <c r="K248" s="12">
        <f>IF(OR(J248="",H248=""),"",IFERROR(INDEX(LAYOUT!$D$2:$D$34,MATCH(J248&amp;"|"&amp;H248,LAYOUT!$E$2:$E$34,0)),"zona tidak ada di layout"))</f>
        <v/>
      </c>
      <c r="L248" s="12">
        <f>IF(OR(G248="",A248=""),"",COUNTIFS($G$2:$G$500,G248,$H$2:$H$500,H248,$A$2:$A$500,"&lt;&gt;"))</f>
        <v/>
      </c>
      <c r="M248" s="12">
        <f>IF(AND(A248="",G248=""),"",IF(G248="","Belum ditempatkan",IF(J248="","CEK ID FIXTURE tidak ada di DAFTAR_FIXTURE",IF(H248="","CEK ZONA NO kosong",IF(K248="zona tidak ada di layout","CEK ZONA NO di luar layout",IF(I248&lt;&gt;K248,"CEK JENIS ZONA",IF(A248="","Zona STOCK",IF(B248="","CEK SKU DESCRIPTION kosong","OK"))))))))</f>
        <v/>
      </c>
    </row>
    <row r="249">
      <c r="A249" s="10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2">
        <f>IF(G249="","",IFERROR(INDEX(DAFTAR_FIXTURE!$B$2:$B$51,MATCH(G249,DAFTAR_FIXTURE!$A$2:$A$51,0)),""))</f>
        <v/>
      </c>
      <c r="K249" s="12">
        <f>IF(OR(J249="",H249=""),"",IFERROR(INDEX(LAYOUT!$D$2:$D$34,MATCH(J249&amp;"|"&amp;H249,LAYOUT!$E$2:$E$34,0)),"zona tidak ada di layout"))</f>
        <v/>
      </c>
      <c r="L249" s="12">
        <f>IF(OR(G249="",A249=""),"",COUNTIFS($G$2:$G$500,G249,$H$2:$H$500,H249,$A$2:$A$500,"&lt;&gt;"))</f>
        <v/>
      </c>
      <c r="M249" s="12">
        <f>IF(AND(A249="",G249=""),"",IF(G249="","Belum ditempatkan",IF(J249="","CEK ID FIXTURE tidak ada di DAFTAR_FIXTURE",IF(H249="","CEK ZONA NO kosong",IF(K249="zona tidak ada di layout","CEK ZONA NO di luar layout",IF(I249&lt;&gt;K249,"CEK JENIS ZONA",IF(A249="","Zona STOCK",IF(B249="","CEK SKU DESCRIPTION kosong","OK"))))))))</f>
        <v/>
      </c>
    </row>
    <row r="250">
      <c r="A250" s="10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2">
        <f>IF(G250="","",IFERROR(INDEX(DAFTAR_FIXTURE!$B$2:$B$51,MATCH(G250,DAFTAR_FIXTURE!$A$2:$A$51,0)),""))</f>
        <v/>
      </c>
      <c r="K250" s="12">
        <f>IF(OR(J250="",H250=""),"",IFERROR(INDEX(LAYOUT!$D$2:$D$34,MATCH(J250&amp;"|"&amp;H250,LAYOUT!$E$2:$E$34,0)),"zona tidak ada di layout"))</f>
        <v/>
      </c>
      <c r="L250" s="12">
        <f>IF(OR(G250="",A250=""),"",COUNTIFS($G$2:$G$500,G250,$H$2:$H$500,H250,$A$2:$A$500,"&lt;&gt;"))</f>
        <v/>
      </c>
      <c r="M250" s="12">
        <f>IF(AND(A250="",G250=""),"",IF(G250="","Belum ditempatkan",IF(J250="","CEK ID FIXTURE tidak ada di DAFTAR_FIXTURE",IF(H250="","CEK ZONA NO kosong",IF(K250="zona tidak ada di layout","CEK ZONA NO di luar layout",IF(I250&lt;&gt;K250,"CEK JENIS ZONA",IF(A250="","Zona STOCK",IF(B250="","CEK SKU DESCRIPTION kosong","OK"))))))))</f>
        <v/>
      </c>
    </row>
    <row r="251">
      <c r="A251" s="10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2">
        <f>IF(G251="","",IFERROR(INDEX(DAFTAR_FIXTURE!$B$2:$B$51,MATCH(G251,DAFTAR_FIXTURE!$A$2:$A$51,0)),""))</f>
        <v/>
      </c>
      <c r="K251" s="12">
        <f>IF(OR(J251="",H251=""),"",IFERROR(INDEX(LAYOUT!$D$2:$D$34,MATCH(J251&amp;"|"&amp;H251,LAYOUT!$E$2:$E$34,0)),"zona tidak ada di layout"))</f>
        <v/>
      </c>
      <c r="L251" s="12">
        <f>IF(OR(G251="",A251=""),"",COUNTIFS($G$2:$G$500,G251,$H$2:$H$500,H251,$A$2:$A$500,"&lt;&gt;"))</f>
        <v/>
      </c>
      <c r="M251" s="12">
        <f>IF(AND(A251="",G251=""),"",IF(G251="","Belum ditempatkan",IF(J251="","CEK ID FIXTURE tidak ada di DAFTAR_FIXTURE",IF(H251="","CEK ZONA NO kosong",IF(K251="zona tidak ada di layout","CEK ZONA NO di luar layout",IF(I251&lt;&gt;K251,"CEK JENIS ZONA",IF(A251="","Zona STOCK",IF(B251="","CEK SKU DESCRIPTION kosong","OK"))))))))</f>
        <v/>
      </c>
    </row>
    <row r="252">
      <c r="A252" s="10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2">
        <f>IF(G252="","",IFERROR(INDEX(DAFTAR_FIXTURE!$B$2:$B$51,MATCH(G252,DAFTAR_FIXTURE!$A$2:$A$51,0)),""))</f>
        <v/>
      </c>
      <c r="K252" s="12">
        <f>IF(OR(J252="",H252=""),"",IFERROR(INDEX(LAYOUT!$D$2:$D$34,MATCH(J252&amp;"|"&amp;H252,LAYOUT!$E$2:$E$34,0)),"zona tidak ada di layout"))</f>
        <v/>
      </c>
      <c r="L252" s="12">
        <f>IF(OR(G252="",A252=""),"",COUNTIFS($G$2:$G$500,G252,$H$2:$H$500,H252,$A$2:$A$500,"&lt;&gt;"))</f>
        <v/>
      </c>
      <c r="M252" s="12">
        <f>IF(AND(A252="",G252=""),"",IF(G252="","Belum ditempatkan",IF(J252="","CEK ID FIXTURE tidak ada di DAFTAR_FIXTURE",IF(H252="","CEK ZONA NO kosong",IF(K252="zona tidak ada di layout","CEK ZONA NO di luar layout",IF(I252&lt;&gt;K252,"CEK JENIS ZONA",IF(A252="","Zona STOCK",IF(B252="","CEK SKU DESCRIPTION kosong","OK"))))))))</f>
        <v/>
      </c>
    </row>
    <row r="253">
      <c r="A253" s="10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2">
        <f>IF(G253="","",IFERROR(INDEX(DAFTAR_FIXTURE!$B$2:$B$51,MATCH(G253,DAFTAR_FIXTURE!$A$2:$A$51,0)),""))</f>
        <v/>
      </c>
      <c r="K253" s="12">
        <f>IF(OR(J253="",H253=""),"",IFERROR(INDEX(LAYOUT!$D$2:$D$34,MATCH(J253&amp;"|"&amp;H253,LAYOUT!$E$2:$E$34,0)),"zona tidak ada di layout"))</f>
        <v/>
      </c>
      <c r="L253" s="12">
        <f>IF(OR(G253="",A253=""),"",COUNTIFS($G$2:$G$500,G253,$H$2:$H$500,H253,$A$2:$A$500,"&lt;&gt;"))</f>
        <v/>
      </c>
      <c r="M253" s="12">
        <f>IF(AND(A253="",G253=""),"",IF(G253="","Belum ditempatkan",IF(J253="","CEK ID FIXTURE tidak ada di DAFTAR_FIXTURE",IF(H253="","CEK ZONA NO kosong",IF(K253="zona tidak ada di layout","CEK ZONA NO di luar layout",IF(I253&lt;&gt;K253,"CEK JENIS ZONA",IF(A253="","Zona STOCK",IF(B253="","CEK SKU DESCRIPTION kosong","OK"))))))))</f>
        <v/>
      </c>
    </row>
    <row r="254">
      <c r="A254" s="10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2">
        <f>IF(G254="","",IFERROR(INDEX(DAFTAR_FIXTURE!$B$2:$B$51,MATCH(G254,DAFTAR_FIXTURE!$A$2:$A$51,0)),""))</f>
        <v/>
      </c>
      <c r="K254" s="12">
        <f>IF(OR(J254="",H254=""),"",IFERROR(INDEX(LAYOUT!$D$2:$D$34,MATCH(J254&amp;"|"&amp;H254,LAYOUT!$E$2:$E$34,0)),"zona tidak ada di layout"))</f>
        <v/>
      </c>
      <c r="L254" s="12">
        <f>IF(OR(G254="",A254=""),"",COUNTIFS($G$2:$G$500,G254,$H$2:$H$500,H254,$A$2:$A$500,"&lt;&gt;"))</f>
        <v/>
      </c>
      <c r="M254" s="12">
        <f>IF(AND(A254="",G254=""),"",IF(G254="","Belum ditempatkan",IF(J254="","CEK ID FIXTURE tidak ada di DAFTAR_FIXTURE",IF(H254="","CEK ZONA NO kosong",IF(K254="zona tidak ada di layout","CEK ZONA NO di luar layout",IF(I254&lt;&gt;K254,"CEK JENIS ZONA",IF(A254="","Zona STOCK",IF(B254="","CEK SKU DESCRIPTION kosong","OK"))))))))</f>
        <v/>
      </c>
    </row>
    <row r="255">
      <c r="A255" s="10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2">
        <f>IF(G255="","",IFERROR(INDEX(DAFTAR_FIXTURE!$B$2:$B$51,MATCH(G255,DAFTAR_FIXTURE!$A$2:$A$51,0)),""))</f>
        <v/>
      </c>
      <c r="K255" s="12">
        <f>IF(OR(J255="",H255=""),"",IFERROR(INDEX(LAYOUT!$D$2:$D$34,MATCH(J255&amp;"|"&amp;H255,LAYOUT!$E$2:$E$34,0)),"zona tidak ada di layout"))</f>
        <v/>
      </c>
      <c r="L255" s="12">
        <f>IF(OR(G255="",A255=""),"",COUNTIFS($G$2:$G$500,G255,$H$2:$H$500,H255,$A$2:$A$500,"&lt;&gt;"))</f>
        <v/>
      </c>
      <c r="M255" s="12">
        <f>IF(AND(A255="",G255=""),"",IF(G255="","Belum ditempatkan",IF(J255="","CEK ID FIXTURE tidak ada di DAFTAR_FIXTURE",IF(H255="","CEK ZONA NO kosong",IF(K255="zona tidak ada di layout","CEK ZONA NO di luar layout",IF(I255&lt;&gt;K255,"CEK JENIS ZONA",IF(A255="","Zona STOCK",IF(B255="","CEK SKU DESCRIPTION kosong","OK"))))))))</f>
        <v/>
      </c>
    </row>
    <row r="256">
      <c r="A256" s="10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2">
        <f>IF(G256="","",IFERROR(INDEX(DAFTAR_FIXTURE!$B$2:$B$51,MATCH(G256,DAFTAR_FIXTURE!$A$2:$A$51,0)),""))</f>
        <v/>
      </c>
      <c r="K256" s="12">
        <f>IF(OR(J256="",H256=""),"",IFERROR(INDEX(LAYOUT!$D$2:$D$34,MATCH(J256&amp;"|"&amp;H256,LAYOUT!$E$2:$E$34,0)),"zona tidak ada di layout"))</f>
        <v/>
      </c>
      <c r="L256" s="12">
        <f>IF(OR(G256="",A256=""),"",COUNTIFS($G$2:$G$500,G256,$H$2:$H$500,H256,$A$2:$A$500,"&lt;&gt;"))</f>
        <v/>
      </c>
      <c r="M256" s="12">
        <f>IF(AND(A256="",G256=""),"",IF(G256="","Belum ditempatkan",IF(J256="","CEK ID FIXTURE tidak ada di DAFTAR_FIXTURE",IF(H256="","CEK ZONA NO kosong",IF(K256="zona tidak ada di layout","CEK ZONA NO di luar layout",IF(I256&lt;&gt;K256,"CEK JENIS ZONA",IF(A256="","Zona STOCK",IF(B256="","CEK SKU DESCRIPTION kosong","OK"))))))))</f>
        <v/>
      </c>
    </row>
    <row r="257">
      <c r="A257" s="10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2">
        <f>IF(G257="","",IFERROR(INDEX(DAFTAR_FIXTURE!$B$2:$B$51,MATCH(G257,DAFTAR_FIXTURE!$A$2:$A$51,0)),""))</f>
        <v/>
      </c>
      <c r="K257" s="12">
        <f>IF(OR(J257="",H257=""),"",IFERROR(INDEX(LAYOUT!$D$2:$D$34,MATCH(J257&amp;"|"&amp;H257,LAYOUT!$E$2:$E$34,0)),"zona tidak ada di layout"))</f>
        <v/>
      </c>
      <c r="L257" s="12">
        <f>IF(OR(G257="",A257=""),"",COUNTIFS($G$2:$G$500,G257,$H$2:$H$500,H257,$A$2:$A$500,"&lt;&gt;"))</f>
        <v/>
      </c>
      <c r="M257" s="12">
        <f>IF(AND(A257="",G257=""),"",IF(G257="","Belum ditempatkan",IF(J257="","CEK ID FIXTURE tidak ada di DAFTAR_FIXTURE",IF(H257="","CEK ZONA NO kosong",IF(K257="zona tidak ada di layout","CEK ZONA NO di luar layout",IF(I257&lt;&gt;K257,"CEK JENIS ZONA",IF(A257="","Zona STOCK",IF(B257="","CEK SKU DESCRIPTION kosong","OK"))))))))</f>
        <v/>
      </c>
    </row>
    <row r="258">
      <c r="A258" s="10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2">
        <f>IF(G258="","",IFERROR(INDEX(DAFTAR_FIXTURE!$B$2:$B$51,MATCH(G258,DAFTAR_FIXTURE!$A$2:$A$51,0)),""))</f>
        <v/>
      </c>
      <c r="K258" s="12">
        <f>IF(OR(J258="",H258=""),"",IFERROR(INDEX(LAYOUT!$D$2:$D$34,MATCH(J258&amp;"|"&amp;H258,LAYOUT!$E$2:$E$34,0)),"zona tidak ada di layout"))</f>
        <v/>
      </c>
      <c r="L258" s="12">
        <f>IF(OR(G258="",A258=""),"",COUNTIFS($G$2:$G$500,G258,$H$2:$H$500,H258,$A$2:$A$500,"&lt;&gt;"))</f>
        <v/>
      </c>
      <c r="M258" s="12">
        <f>IF(AND(A258="",G258=""),"",IF(G258="","Belum ditempatkan",IF(J258="","CEK ID FIXTURE tidak ada di DAFTAR_FIXTURE",IF(H258="","CEK ZONA NO kosong",IF(K258="zona tidak ada di layout","CEK ZONA NO di luar layout",IF(I258&lt;&gt;K258,"CEK JENIS ZONA",IF(A258="","Zona STOCK",IF(B258="","CEK SKU DESCRIPTION kosong","OK"))))))))</f>
        <v/>
      </c>
    </row>
    <row r="259">
      <c r="A259" s="10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2">
        <f>IF(G259="","",IFERROR(INDEX(DAFTAR_FIXTURE!$B$2:$B$51,MATCH(G259,DAFTAR_FIXTURE!$A$2:$A$51,0)),""))</f>
        <v/>
      </c>
      <c r="K259" s="12">
        <f>IF(OR(J259="",H259=""),"",IFERROR(INDEX(LAYOUT!$D$2:$D$34,MATCH(J259&amp;"|"&amp;H259,LAYOUT!$E$2:$E$34,0)),"zona tidak ada di layout"))</f>
        <v/>
      </c>
      <c r="L259" s="12">
        <f>IF(OR(G259="",A259=""),"",COUNTIFS($G$2:$G$500,G259,$H$2:$H$500,H259,$A$2:$A$500,"&lt;&gt;"))</f>
        <v/>
      </c>
      <c r="M259" s="12">
        <f>IF(AND(A259="",G259=""),"",IF(G259="","Belum ditempatkan",IF(J259="","CEK ID FIXTURE tidak ada di DAFTAR_FIXTURE",IF(H259="","CEK ZONA NO kosong",IF(K259="zona tidak ada di layout","CEK ZONA NO di luar layout",IF(I259&lt;&gt;K259,"CEK JENIS ZONA",IF(A259="","Zona STOCK",IF(B259="","CEK SKU DESCRIPTION kosong","OK"))))))))</f>
        <v/>
      </c>
    </row>
    <row r="260">
      <c r="A260" s="10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2">
        <f>IF(G260="","",IFERROR(INDEX(DAFTAR_FIXTURE!$B$2:$B$51,MATCH(G260,DAFTAR_FIXTURE!$A$2:$A$51,0)),""))</f>
        <v/>
      </c>
      <c r="K260" s="12">
        <f>IF(OR(J260="",H260=""),"",IFERROR(INDEX(LAYOUT!$D$2:$D$34,MATCH(J260&amp;"|"&amp;H260,LAYOUT!$E$2:$E$34,0)),"zona tidak ada di layout"))</f>
        <v/>
      </c>
      <c r="L260" s="12">
        <f>IF(OR(G260="",A260=""),"",COUNTIFS($G$2:$G$500,G260,$H$2:$H$500,H260,$A$2:$A$500,"&lt;&gt;"))</f>
        <v/>
      </c>
      <c r="M260" s="12">
        <f>IF(AND(A260="",G260=""),"",IF(G260="","Belum ditempatkan",IF(J260="","CEK ID FIXTURE tidak ada di DAFTAR_FIXTURE",IF(H260="","CEK ZONA NO kosong",IF(K260="zona tidak ada di layout","CEK ZONA NO di luar layout",IF(I260&lt;&gt;K260,"CEK JENIS ZONA",IF(A260="","Zona STOCK",IF(B260="","CEK SKU DESCRIPTION kosong","OK"))))))))</f>
        <v/>
      </c>
    </row>
    <row r="261">
      <c r="A261" s="10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2">
        <f>IF(G261="","",IFERROR(INDEX(DAFTAR_FIXTURE!$B$2:$B$51,MATCH(G261,DAFTAR_FIXTURE!$A$2:$A$51,0)),""))</f>
        <v/>
      </c>
      <c r="K261" s="12">
        <f>IF(OR(J261="",H261=""),"",IFERROR(INDEX(LAYOUT!$D$2:$D$34,MATCH(J261&amp;"|"&amp;H261,LAYOUT!$E$2:$E$34,0)),"zona tidak ada di layout"))</f>
        <v/>
      </c>
      <c r="L261" s="12">
        <f>IF(OR(G261="",A261=""),"",COUNTIFS($G$2:$G$500,G261,$H$2:$H$500,H261,$A$2:$A$500,"&lt;&gt;"))</f>
        <v/>
      </c>
      <c r="M261" s="12">
        <f>IF(AND(A261="",G261=""),"",IF(G261="","Belum ditempatkan",IF(J261="","CEK ID FIXTURE tidak ada di DAFTAR_FIXTURE",IF(H261="","CEK ZONA NO kosong",IF(K261="zona tidak ada di layout","CEK ZONA NO di luar layout",IF(I261&lt;&gt;K261,"CEK JENIS ZONA",IF(A261="","Zona STOCK",IF(B261="","CEK SKU DESCRIPTION kosong","OK"))))))))</f>
        <v/>
      </c>
    </row>
    <row r="262">
      <c r="A262" s="10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2">
        <f>IF(G262="","",IFERROR(INDEX(DAFTAR_FIXTURE!$B$2:$B$51,MATCH(G262,DAFTAR_FIXTURE!$A$2:$A$51,0)),""))</f>
        <v/>
      </c>
      <c r="K262" s="12">
        <f>IF(OR(J262="",H262=""),"",IFERROR(INDEX(LAYOUT!$D$2:$D$34,MATCH(J262&amp;"|"&amp;H262,LAYOUT!$E$2:$E$34,0)),"zona tidak ada di layout"))</f>
        <v/>
      </c>
      <c r="L262" s="12">
        <f>IF(OR(G262="",A262=""),"",COUNTIFS($G$2:$G$500,G262,$H$2:$H$500,H262,$A$2:$A$500,"&lt;&gt;"))</f>
        <v/>
      </c>
      <c r="M262" s="12">
        <f>IF(AND(A262="",G262=""),"",IF(G262="","Belum ditempatkan",IF(J262="","CEK ID FIXTURE tidak ada di DAFTAR_FIXTURE",IF(H262="","CEK ZONA NO kosong",IF(K262="zona tidak ada di layout","CEK ZONA NO di luar layout",IF(I262&lt;&gt;K262,"CEK JENIS ZONA",IF(A262="","Zona STOCK",IF(B262="","CEK SKU DESCRIPTION kosong","OK"))))))))</f>
        <v/>
      </c>
    </row>
    <row r="263">
      <c r="A263" s="10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2">
        <f>IF(G263="","",IFERROR(INDEX(DAFTAR_FIXTURE!$B$2:$B$51,MATCH(G263,DAFTAR_FIXTURE!$A$2:$A$51,0)),""))</f>
        <v/>
      </c>
      <c r="K263" s="12">
        <f>IF(OR(J263="",H263=""),"",IFERROR(INDEX(LAYOUT!$D$2:$D$34,MATCH(J263&amp;"|"&amp;H263,LAYOUT!$E$2:$E$34,0)),"zona tidak ada di layout"))</f>
        <v/>
      </c>
      <c r="L263" s="12">
        <f>IF(OR(G263="",A263=""),"",COUNTIFS($G$2:$G$500,G263,$H$2:$H$500,H263,$A$2:$A$500,"&lt;&gt;"))</f>
        <v/>
      </c>
      <c r="M263" s="12">
        <f>IF(AND(A263="",G263=""),"",IF(G263="","Belum ditempatkan",IF(J263="","CEK ID FIXTURE tidak ada di DAFTAR_FIXTURE",IF(H263="","CEK ZONA NO kosong",IF(K263="zona tidak ada di layout","CEK ZONA NO di luar layout",IF(I263&lt;&gt;K263,"CEK JENIS ZONA",IF(A263="","Zona STOCK",IF(B263="","CEK SKU DESCRIPTION kosong","OK"))))))))</f>
        <v/>
      </c>
    </row>
    <row r="264">
      <c r="A264" s="10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2">
        <f>IF(G264="","",IFERROR(INDEX(DAFTAR_FIXTURE!$B$2:$B$51,MATCH(G264,DAFTAR_FIXTURE!$A$2:$A$51,0)),""))</f>
        <v/>
      </c>
      <c r="K264" s="12">
        <f>IF(OR(J264="",H264=""),"",IFERROR(INDEX(LAYOUT!$D$2:$D$34,MATCH(J264&amp;"|"&amp;H264,LAYOUT!$E$2:$E$34,0)),"zona tidak ada di layout"))</f>
        <v/>
      </c>
      <c r="L264" s="12">
        <f>IF(OR(G264="",A264=""),"",COUNTIFS($G$2:$G$500,G264,$H$2:$H$500,H264,$A$2:$A$500,"&lt;&gt;"))</f>
        <v/>
      </c>
      <c r="M264" s="12">
        <f>IF(AND(A264="",G264=""),"",IF(G264="","Belum ditempatkan",IF(J264="","CEK ID FIXTURE tidak ada di DAFTAR_FIXTURE",IF(H264="","CEK ZONA NO kosong",IF(K264="zona tidak ada di layout","CEK ZONA NO di luar layout",IF(I264&lt;&gt;K264,"CEK JENIS ZONA",IF(A264="","Zona STOCK",IF(B264="","CEK SKU DESCRIPTION kosong","OK"))))))))</f>
        <v/>
      </c>
    </row>
    <row r="265">
      <c r="A265" s="10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2">
        <f>IF(G265="","",IFERROR(INDEX(DAFTAR_FIXTURE!$B$2:$B$51,MATCH(G265,DAFTAR_FIXTURE!$A$2:$A$51,0)),""))</f>
        <v/>
      </c>
      <c r="K265" s="12">
        <f>IF(OR(J265="",H265=""),"",IFERROR(INDEX(LAYOUT!$D$2:$D$34,MATCH(J265&amp;"|"&amp;H265,LAYOUT!$E$2:$E$34,0)),"zona tidak ada di layout"))</f>
        <v/>
      </c>
      <c r="L265" s="12">
        <f>IF(OR(G265="",A265=""),"",COUNTIFS($G$2:$G$500,G265,$H$2:$H$500,H265,$A$2:$A$500,"&lt;&gt;"))</f>
        <v/>
      </c>
      <c r="M265" s="12">
        <f>IF(AND(A265="",G265=""),"",IF(G265="","Belum ditempatkan",IF(J265="","CEK ID FIXTURE tidak ada di DAFTAR_FIXTURE",IF(H265="","CEK ZONA NO kosong",IF(K265="zona tidak ada di layout","CEK ZONA NO di luar layout",IF(I265&lt;&gt;K265,"CEK JENIS ZONA",IF(A265="","Zona STOCK",IF(B265="","CEK SKU DESCRIPTION kosong","OK"))))))))</f>
        <v/>
      </c>
    </row>
    <row r="266">
      <c r="A266" s="10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2">
        <f>IF(G266="","",IFERROR(INDEX(DAFTAR_FIXTURE!$B$2:$B$51,MATCH(G266,DAFTAR_FIXTURE!$A$2:$A$51,0)),""))</f>
        <v/>
      </c>
      <c r="K266" s="12">
        <f>IF(OR(J266="",H266=""),"",IFERROR(INDEX(LAYOUT!$D$2:$D$34,MATCH(J266&amp;"|"&amp;H266,LAYOUT!$E$2:$E$34,0)),"zona tidak ada di layout"))</f>
        <v/>
      </c>
      <c r="L266" s="12">
        <f>IF(OR(G266="",A266=""),"",COUNTIFS($G$2:$G$500,G266,$H$2:$H$500,H266,$A$2:$A$500,"&lt;&gt;"))</f>
        <v/>
      </c>
      <c r="M266" s="12">
        <f>IF(AND(A266="",G266=""),"",IF(G266="","Belum ditempatkan",IF(J266="","CEK ID FIXTURE tidak ada di DAFTAR_FIXTURE",IF(H266="","CEK ZONA NO kosong",IF(K266="zona tidak ada di layout","CEK ZONA NO di luar layout",IF(I266&lt;&gt;K266,"CEK JENIS ZONA",IF(A266="","Zona STOCK",IF(B266="","CEK SKU DESCRIPTION kosong","OK"))))))))</f>
        <v/>
      </c>
    </row>
    <row r="267">
      <c r="A267" s="10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2">
        <f>IF(G267="","",IFERROR(INDEX(DAFTAR_FIXTURE!$B$2:$B$51,MATCH(G267,DAFTAR_FIXTURE!$A$2:$A$51,0)),""))</f>
        <v/>
      </c>
      <c r="K267" s="12">
        <f>IF(OR(J267="",H267=""),"",IFERROR(INDEX(LAYOUT!$D$2:$D$34,MATCH(J267&amp;"|"&amp;H267,LAYOUT!$E$2:$E$34,0)),"zona tidak ada di layout"))</f>
        <v/>
      </c>
      <c r="L267" s="12">
        <f>IF(OR(G267="",A267=""),"",COUNTIFS($G$2:$G$500,G267,$H$2:$H$500,H267,$A$2:$A$500,"&lt;&gt;"))</f>
        <v/>
      </c>
      <c r="M267" s="12">
        <f>IF(AND(A267="",G267=""),"",IF(G267="","Belum ditempatkan",IF(J267="","CEK ID FIXTURE tidak ada di DAFTAR_FIXTURE",IF(H267="","CEK ZONA NO kosong",IF(K267="zona tidak ada di layout","CEK ZONA NO di luar layout",IF(I267&lt;&gt;K267,"CEK JENIS ZONA",IF(A267="","Zona STOCK",IF(B267="","CEK SKU DESCRIPTION kosong","OK"))))))))</f>
        <v/>
      </c>
    </row>
    <row r="268">
      <c r="A268" s="10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2">
        <f>IF(G268="","",IFERROR(INDEX(DAFTAR_FIXTURE!$B$2:$B$51,MATCH(G268,DAFTAR_FIXTURE!$A$2:$A$51,0)),""))</f>
        <v/>
      </c>
      <c r="K268" s="12">
        <f>IF(OR(J268="",H268=""),"",IFERROR(INDEX(LAYOUT!$D$2:$D$34,MATCH(J268&amp;"|"&amp;H268,LAYOUT!$E$2:$E$34,0)),"zona tidak ada di layout"))</f>
        <v/>
      </c>
      <c r="L268" s="12">
        <f>IF(OR(G268="",A268=""),"",COUNTIFS($G$2:$G$500,G268,$H$2:$H$500,H268,$A$2:$A$500,"&lt;&gt;"))</f>
        <v/>
      </c>
      <c r="M268" s="12">
        <f>IF(AND(A268="",G268=""),"",IF(G268="","Belum ditempatkan",IF(J268="","CEK ID FIXTURE tidak ada di DAFTAR_FIXTURE",IF(H268="","CEK ZONA NO kosong",IF(K268="zona tidak ada di layout","CEK ZONA NO di luar layout",IF(I268&lt;&gt;K268,"CEK JENIS ZONA",IF(A268="","Zona STOCK",IF(B268="","CEK SKU DESCRIPTION kosong","OK"))))))))</f>
        <v/>
      </c>
    </row>
    <row r="269">
      <c r="A269" s="10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2">
        <f>IF(G269="","",IFERROR(INDEX(DAFTAR_FIXTURE!$B$2:$B$51,MATCH(G269,DAFTAR_FIXTURE!$A$2:$A$51,0)),""))</f>
        <v/>
      </c>
      <c r="K269" s="12">
        <f>IF(OR(J269="",H269=""),"",IFERROR(INDEX(LAYOUT!$D$2:$D$34,MATCH(J269&amp;"|"&amp;H269,LAYOUT!$E$2:$E$34,0)),"zona tidak ada di layout"))</f>
        <v/>
      </c>
      <c r="L269" s="12">
        <f>IF(OR(G269="",A269=""),"",COUNTIFS($G$2:$G$500,G269,$H$2:$H$500,H269,$A$2:$A$500,"&lt;&gt;"))</f>
        <v/>
      </c>
      <c r="M269" s="12">
        <f>IF(AND(A269="",G269=""),"",IF(G269="","Belum ditempatkan",IF(J269="","CEK ID FIXTURE tidak ada di DAFTAR_FIXTURE",IF(H269="","CEK ZONA NO kosong",IF(K269="zona tidak ada di layout","CEK ZONA NO di luar layout",IF(I269&lt;&gt;K269,"CEK JENIS ZONA",IF(A269="","Zona STOCK",IF(B269="","CEK SKU DESCRIPTION kosong","OK"))))))))</f>
        <v/>
      </c>
    </row>
    <row r="270">
      <c r="A270" s="10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2">
        <f>IF(G270="","",IFERROR(INDEX(DAFTAR_FIXTURE!$B$2:$B$51,MATCH(G270,DAFTAR_FIXTURE!$A$2:$A$51,0)),""))</f>
        <v/>
      </c>
      <c r="K270" s="12">
        <f>IF(OR(J270="",H270=""),"",IFERROR(INDEX(LAYOUT!$D$2:$D$34,MATCH(J270&amp;"|"&amp;H270,LAYOUT!$E$2:$E$34,0)),"zona tidak ada di layout"))</f>
        <v/>
      </c>
      <c r="L270" s="12">
        <f>IF(OR(G270="",A270=""),"",COUNTIFS($G$2:$G$500,G270,$H$2:$H$500,H270,$A$2:$A$500,"&lt;&gt;"))</f>
        <v/>
      </c>
      <c r="M270" s="12">
        <f>IF(AND(A270="",G270=""),"",IF(G270="","Belum ditempatkan",IF(J270="","CEK ID FIXTURE tidak ada di DAFTAR_FIXTURE",IF(H270="","CEK ZONA NO kosong",IF(K270="zona tidak ada di layout","CEK ZONA NO di luar layout",IF(I270&lt;&gt;K270,"CEK JENIS ZONA",IF(A270="","Zona STOCK",IF(B270="","CEK SKU DESCRIPTION kosong","OK"))))))))</f>
        <v/>
      </c>
    </row>
    <row r="271">
      <c r="A271" s="10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2">
        <f>IF(G271="","",IFERROR(INDEX(DAFTAR_FIXTURE!$B$2:$B$51,MATCH(G271,DAFTAR_FIXTURE!$A$2:$A$51,0)),""))</f>
        <v/>
      </c>
      <c r="K271" s="12">
        <f>IF(OR(J271="",H271=""),"",IFERROR(INDEX(LAYOUT!$D$2:$D$34,MATCH(J271&amp;"|"&amp;H271,LAYOUT!$E$2:$E$34,0)),"zona tidak ada di layout"))</f>
        <v/>
      </c>
      <c r="L271" s="12">
        <f>IF(OR(G271="",A271=""),"",COUNTIFS($G$2:$G$500,G271,$H$2:$H$500,H271,$A$2:$A$500,"&lt;&gt;"))</f>
        <v/>
      </c>
      <c r="M271" s="12">
        <f>IF(AND(A271="",G271=""),"",IF(G271="","Belum ditempatkan",IF(J271="","CEK ID FIXTURE tidak ada di DAFTAR_FIXTURE",IF(H271="","CEK ZONA NO kosong",IF(K271="zona tidak ada di layout","CEK ZONA NO di luar layout",IF(I271&lt;&gt;K271,"CEK JENIS ZONA",IF(A271="","Zona STOCK",IF(B271="","CEK SKU DESCRIPTION kosong","OK"))))))))</f>
        <v/>
      </c>
    </row>
    <row r="272">
      <c r="A272" s="10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2">
        <f>IF(G272="","",IFERROR(INDEX(DAFTAR_FIXTURE!$B$2:$B$51,MATCH(G272,DAFTAR_FIXTURE!$A$2:$A$51,0)),""))</f>
        <v/>
      </c>
      <c r="K272" s="12">
        <f>IF(OR(J272="",H272=""),"",IFERROR(INDEX(LAYOUT!$D$2:$D$34,MATCH(J272&amp;"|"&amp;H272,LAYOUT!$E$2:$E$34,0)),"zona tidak ada di layout"))</f>
        <v/>
      </c>
      <c r="L272" s="12">
        <f>IF(OR(G272="",A272=""),"",COUNTIFS($G$2:$G$500,G272,$H$2:$H$500,H272,$A$2:$A$500,"&lt;&gt;"))</f>
        <v/>
      </c>
      <c r="M272" s="12">
        <f>IF(AND(A272="",G272=""),"",IF(G272="","Belum ditempatkan",IF(J272="","CEK ID FIXTURE tidak ada di DAFTAR_FIXTURE",IF(H272="","CEK ZONA NO kosong",IF(K272="zona tidak ada di layout","CEK ZONA NO di luar layout",IF(I272&lt;&gt;K272,"CEK JENIS ZONA",IF(A272="","Zona STOCK",IF(B272="","CEK SKU DESCRIPTION kosong","OK"))))))))</f>
        <v/>
      </c>
    </row>
    <row r="273">
      <c r="A273" s="10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2">
        <f>IF(G273="","",IFERROR(INDEX(DAFTAR_FIXTURE!$B$2:$B$51,MATCH(G273,DAFTAR_FIXTURE!$A$2:$A$51,0)),""))</f>
        <v/>
      </c>
      <c r="K273" s="12">
        <f>IF(OR(J273="",H273=""),"",IFERROR(INDEX(LAYOUT!$D$2:$D$34,MATCH(J273&amp;"|"&amp;H273,LAYOUT!$E$2:$E$34,0)),"zona tidak ada di layout"))</f>
        <v/>
      </c>
      <c r="L273" s="12">
        <f>IF(OR(G273="",A273=""),"",COUNTIFS($G$2:$G$500,G273,$H$2:$H$500,H273,$A$2:$A$500,"&lt;&gt;"))</f>
        <v/>
      </c>
      <c r="M273" s="12">
        <f>IF(AND(A273="",G273=""),"",IF(G273="","Belum ditempatkan",IF(J273="","CEK ID FIXTURE tidak ada di DAFTAR_FIXTURE",IF(H273="","CEK ZONA NO kosong",IF(K273="zona tidak ada di layout","CEK ZONA NO di luar layout",IF(I273&lt;&gt;K273,"CEK JENIS ZONA",IF(A273="","Zona STOCK",IF(B273="","CEK SKU DESCRIPTION kosong","OK"))))))))</f>
        <v/>
      </c>
    </row>
    <row r="274">
      <c r="A274" s="10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2">
        <f>IF(G274="","",IFERROR(INDEX(DAFTAR_FIXTURE!$B$2:$B$51,MATCH(G274,DAFTAR_FIXTURE!$A$2:$A$51,0)),""))</f>
        <v/>
      </c>
      <c r="K274" s="12">
        <f>IF(OR(J274="",H274=""),"",IFERROR(INDEX(LAYOUT!$D$2:$D$34,MATCH(J274&amp;"|"&amp;H274,LAYOUT!$E$2:$E$34,0)),"zona tidak ada di layout"))</f>
        <v/>
      </c>
      <c r="L274" s="12">
        <f>IF(OR(G274="",A274=""),"",COUNTIFS($G$2:$G$500,G274,$H$2:$H$500,H274,$A$2:$A$500,"&lt;&gt;"))</f>
        <v/>
      </c>
      <c r="M274" s="12">
        <f>IF(AND(A274="",G274=""),"",IF(G274="","Belum ditempatkan",IF(J274="","CEK ID FIXTURE tidak ada di DAFTAR_FIXTURE",IF(H274="","CEK ZONA NO kosong",IF(K274="zona tidak ada di layout","CEK ZONA NO di luar layout",IF(I274&lt;&gt;K274,"CEK JENIS ZONA",IF(A274="","Zona STOCK",IF(B274="","CEK SKU DESCRIPTION kosong","OK"))))))))</f>
        <v/>
      </c>
    </row>
    <row r="275">
      <c r="A275" s="10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2">
        <f>IF(G275="","",IFERROR(INDEX(DAFTAR_FIXTURE!$B$2:$B$51,MATCH(G275,DAFTAR_FIXTURE!$A$2:$A$51,0)),""))</f>
        <v/>
      </c>
      <c r="K275" s="12">
        <f>IF(OR(J275="",H275=""),"",IFERROR(INDEX(LAYOUT!$D$2:$D$34,MATCH(J275&amp;"|"&amp;H275,LAYOUT!$E$2:$E$34,0)),"zona tidak ada di layout"))</f>
        <v/>
      </c>
      <c r="L275" s="12">
        <f>IF(OR(G275="",A275=""),"",COUNTIFS($G$2:$G$500,G275,$H$2:$H$500,H275,$A$2:$A$500,"&lt;&gt;"))</f>
        <v/>
      </c>
      <c r="M275" s="12">
        <f>IF(AND(A275="",G275=""),"",IF(G275="","Belum ditempatkan",IF(J275="","CEK ID FIXTURE tidak ada di DAFTAR_FIXTURE",IF(H275="","CEK ZONA NO kosong",IF(K275="zona tidak ada di layout","CEK ZONA NO di luar layout",IF(I275&lt;&gt;K275,"CEK JENIS ZONA",IF(A275="","Zona STOCK",IF(B275="","CEK SKU DESCRIPTION kosong","OK"))))))))</f>
        <v/>
      </c>
    </row>
    <row r="276">
      <c r="A276" s="10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2">
        <f>IF(G276="","",IFERROR(INDEX(DAFTAR_FIXTURE!$B$2:$B$51,MATCH(G276,DAFTAR_FIXTURE!$A$2:$A$51,0)),""))</f>
        <v/>
      </c>
      <c r="K276" s="12">
        <f>IF(OR(J276="",H276=""),"",IFERROR(INDEX(LAYOUT!$D$2:$D$34,MATCH(J276&amp;"|"&amp;H276,LAYOUT!$E$2:$E$34,0)),"zona tidak ada di layout"))</f>
        <v/>
      </c>
      <c r="L276" s="12">
        <f>IF(OR(G276="",A276=""),"",COUNTIFS($G$2:$G$500,G276,$H$2:$H$500,H276,$A$2:$A$500,"&lt;&gt;"))</f>
        <v/>
      </c>
      <c r="M276" s="12">
        <f>IF(AND(A276="",G276=""),"",IF(G276="","Belum ditempatkan",IF(J276="","CEK ID FIXTURE tidak ada di DAFTAR_FIXTURE",IF(H276="","CEK ZONA NO kosong",IF(K276="zona tidak ada di layout","CEK ZONA NO di luar layout",IF(I276&lt;&gt;K276,"CEK JENIS ZONA",IF(A276="","Zona STOCK",IF(B276="","CEK SKU DESCRIPTION kosong","OK"))))))))</f>
        <v/>
      </c>
    </row>
    <row r="277">
      <c r="A277" s="10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2">
        <f>IF(G277="","",IFERROR(INDEX(DAFTAR_FIXTURE!$B$2:$B$51,MATCH(G277,DAFTAR_FIXTURE!$A$2:$A$51,0)),""))</f>
        <v/>
      </c>
      <c r="K277" s="12">
        <f>IF(OR(J277="",H277=""),"",IFERROR(INDEX(LAYOUT!$D$2:$D$34,MATCH(J277&amp;"|"&amp;H277,LAYOUT!$E$2:$E$34,0)),"zona tidak ada di layout"))</f>
        <v/>
      </c>
      <c r="L277" s="12">
        <f>IF(OR(G277="",A277=""),"",COUNTIFS($G$2:$G$500,G277,$H$2:$H$500,H277,$A$2:$A$500,"&lt;&gt;"))</f>
        <v/>
      </c>
      <c r="M277" s="12">
        <f>IF(AND(A277="",G277=""),"",IF(G277="","Belum ditempatkan",IF(J277="","CEK ID FIXTURE tidak ada di DAFTAR_FIXTURE",IF(H277="","CEK ZONA NO kosong",IF(K277="zona tidak ada di layout","CEK ZONA NO di luar layout",IF(I277&lt;&gt;K277,"CEK JENIS ZONA",IF(A277="","Zona STOCK",IF(B277="","CEK SKU DESCRIPTION kosong","OK"))))))))</f>
        <v/>
      </c>
    </row>
    <row r="278">
      <c r="A278" s="10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2">
        <f>IF(G278="","",IFERROR(INDEX(DAFTAR_FIXTURE!$B$2:$B$51,MATCH(G278,DAFTAR_FIXTURE!$A$2:$A$51,0)),""))</f>
        <v/>
      </c>
      <c r="K278" s="12">
        <f>IF(OR(J278="",H278=""),"",IFERROR(INDEX(LAYOUT!$D$2:$D$34,MATCH(J278&amp;"|"&amp;H278,LAYOUT!$E$2:$E$34,0)),"zona tidak ada di layout"))</f>
        <v/>
      </c>
      <c r="L278" s="12">
        <f>IF(OR(G278="",A278=""),"",COUNTIFS($G$2:$G$500,G278,$H$2:$H$500,H278,$A$2:$A$500,"&lt;&gt;"))</f>
        <v/>
      </c>
      <c r="M278" s="12">
        <f>IF(AND(A278="",G278=""),"",IF(G278="","Belum ditempatkan",IF(J278="","CEK ID FIXTURE tidak ada di DAFTAR_FIXTURE",IF(H278="","CEK ZONA NO kosong",IF(K278="zona tidak ada di layout","CEK ZONA NO di luar layout",IF(I278&lt;&gt;K278,"CEK JENIS ZONA",IF(A278="","Zona STOCK",IF(B278="","CEK SKU DESCRIPTION kosong","OK"))))))))</f>
        <v/>
      </c>
    </row>
    <row r="279">
      <c r="A279" s="10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2">
        <f>IF(G279="","",IFERROR(INDEX(DAFTAR_FIXTURE!$B$2:$B$51,MATCH(G279,DAFTAR_FIXTURE!$A$2:$A$51,0)),""))</f>
        <v/>
      </c>
      <c r="K279" s="12">
        <f>IF(OR(J279="",H279=""),"",IFERROR(INDEX(LAYOUT!$D$2:$D$34,MATCH(J279&amp;"|"&amp;H279,LAYOUT!$E$2:$E$34,0)),"zona tidak ada di layout"))</f>
        <v/>
      </c>
      <c r="L279" s="12">
        <f>IF(OR(G279="",A279=""),"",COUNTIFS($G$2:$G$500,G279,$H$2:$H$500,H279,$A$2:$A$500,"&lt;&gt;"))</f>
        <v/>
      </c>
      <c r="M279" s="12">
        <f>IF(AND(A279="",G279=""),"",IF(G279="","Belum ditempatkan",IF(J279="","CEK ID FIXTURE tidak ada di DAFTAR_FIXTURE",IF(H279="","CEK ZONA NO kosong",IF(K279="zona tidak ada di layout","CEK ZONA NO di luar layout",IF(I279&lt;&gt;K279,"CEK JENIS ZONA",IF(A279="","Zona STOCK",IF(B279="","CEK SKU DESCRIPTION kosong","OK"))))))))</f>
        <v/>
      </c>
    </row>
    <row r="280">
      <c r="A280" s="10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2">
        <f>IF(G280="","",IFERROR(INDEX(DAFTAR_FIXTURE!$B$2:$B$51,MATCH(G280,DAFTAR_FIXTURE!$A$2:$A$51,0)),""))</f>
        <v/>
      </c>
      <c r="K280" s="12">
        <f>IF(OR(J280="",H280=""),"",IFERROR(INDEX(LAYOUT!$D$2:$D$34,MATCH(J280&amp;"|"&amp;H280,LAYOUT!$E$2:$E$34,0)),"zona tidak ada di layout"))</f>
        <v/>
      </c>
      <c r="L280" s="12">
        <f>IF(OR(G280="",A280=""),"",COUNTIFS($G$2:$G$500,G280,$H$2:$H$500,H280,$A$2:$A$500,"&lt;&gt;"))</f>
        <v/>
      </c>
      <c r="M280" s="12">
        <f>IF(AND(A280="",G280=""),"",IF(G280="","Belum ditempatkan",IF(J280="","CEK ID FIXTURE tidak ada di DAFTAR_FIXTURE",IF(H280="","CEK ZONA NO kosong",IF(K280="zona tidak ada di layout","CEK ZONA NO di luar layout",IF(I280&lt;&gt;K280,"CEK JENIS ZONA",IF(A280="","Zona STOCK",IF(B280="","CEK SKU DESCRIPTION kosong","OK"))))))))</f>
        <v/>
      </c>
    </row>
    <row r="281">
      <c r="A281" s="10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2">
        <f>IF(G281="","",IFERROR(INDEX(DAFTAR_FIXTURE!$B$2:$B$51,MATCH(G281,DAFTAR_FIXTURE!$A$2:$A$51,0)),""))</f>
        <v/>
      </c>
      <c r="K281" s="12">
        <f>IF(OR(J281="",H281=""),"",IFERROR(INDEX(LAYOUT!$D$2:$D$34,MATCH(J281&amp;"|"&amp;H281,LAYOUT!$E$2:$E$34,0)),"zona tidak ada di layout"))</f>
        <v/>
      </c>
      <c r="L281" s="12">
        <f>IF(OR(G281="",A281=""),"",COUNTIFS($G$2:$G$500,G281,$H$2:$H$500,H281,$A$2:$A$500,"&lt;&gt;"))</f>
        <v/>
      </c>
      <c r="M281" s="12">
        <f>IF(AND(A281="",G281=""),"",IF(G281="","Belum ditempatkan",IF(J281="","CEK ID FIXTURE tidak ada di DAFTAR_FIXTURE",IF(H281="","CEK ZONA NO kosong",IF(K281="zona tidak ada di layout","CEK ZONA NO di luar layout",IF(I281&lt;&gt;K281,"CEK JENIS ZONA",IF(A281="","Zona STOCK",IF(B281="","CEK SKU DESCRIPTION kosong","OK"))))))))</f>
        <v/>
      </c>
    </row>
    <row r="282">
      <c r="A282" s="10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2">
        <f>IF(G282="","",IFERROR(INDEX(DAFTAR_FIXTURE!$B$2:$B$51,MATCH(G282,DAFTAR_FIXTURE!$A$2:$A$51,0)),""))</f>
        <v/>
      </c>
      <c r="K282" s="12">
        <f>IF(OR(J282="",H282=""),"",IFERROR(INDEX(LAYOUT!$D$2:$D$34,MATCH(J282&amp;"|"&amp;H282,LAYOUT!$E$2:$E$34,0)),"zona tidak ada di layout"))</f>
        <v/>
      </c>
      <c r="L282" s="12">
        <f>IF(OR(G282="",A282=""),"",COUNTIFS($G$2:$G$500,G282,$H$2:$H$500,H282,$A$2:$A$500,"&lt;&gt;"))</f>
        <v/>
      </c>
      <c r="M282" s="12">
        <f>IF(AND(A282="",G282=""),"",IF(G282="","Belum ditempatkan",IF(J282="","CEK ID FIXTURE tidak ada di DAFTAR_FIXTURE",IF(H282="","CEK ZONA NO kosong",IF(K282="zona tidak ada di layout","CEK ZONA NO di luar layout",IF(I282&lt;&gt;K282,"CEK JENIS ZONA",IF(A282="","Zona STOCK",IF(B282="","CEK SKU DESCRIPTION kosong","OK"))))))))</f>
        <v/>
      </c>
    </row>
    <row r="283">
      <c r="A283" s="10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2">
        <f>IF(G283="","",IFERROR(INDEX(DAFTAR_FIXTURE!$B$2:$B$51,MATCH(G283,DAFTAR_FIXTURE!$A$2:$A$51,0)),""))</f>
        <v/>
      </c>
      <c r="K283" s="12">
        <f>IF(OR(J283="",H283=""),"",IFERROR(INDEX(LAYOUT!$D$2:$D$34,MATCH(J283&amp;"|"&amp;H283,LAYOUT!$E$2:$E$34,0)),"zona tidak ada di layout"))</f>
        <v/>
      </c>
      <c r="L283" s="12">
        <f>IF(OR(G283="",A283=""),"",COUNTIFS($G$2:$G$500,G283,$H$2:$H$500,H283,$A$2:$A$500,"&lt;&gt;"))</f>
        <v/>
      </c>
      <c r="M283" s="12">
        <f>IF(AND(A283="",G283=""),"",IF(G283="","Belum ditempatkan",IF(J283="","CEK ID FIXTURE tidak ada di DAFTAR_FIXTURE",IF(H283="","CEK ZONA NO kosong",IF(K283="zona tidak ada di layout","CEK ZONA NO di luar layout",IF(I283&lt;&gt;K283,"CEK JENIS ZONA",IF(A283="","Zona STOCK",IF(B283="","CEK SKU DESCRIPTION kosong","OK"))))))))</f>
        <v/>
      </c>
    </row>
    <row r="284">
      <c r="A284" s="10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2">
        <f>IF(G284="","",IFERROR(INDEX(DAFTAR_FIXTURE!$B$2:$B$51,MATCH(G284,DAFTAR_FIXTURE!$A$2:$A$51,0)),""))</f>
        <v/>
      </c>
      <c r="K284" s="12">
        <f>IF(OR(J284="",H284=""),"",IFERROR(INDEX(LAYOUT!$D$2:$D$34,MATCH(J284&amp;"|"&amp;H284,LAYOUT!$E$2:$E$34,0)),"zona tidak ada di layout"))</f>
        <v/>
      </c>
      <c r="L284" s="12">
        <f>IF(OR(G284="",A284=""),"",COUNTIFS($G$2:$G$500,G284,$H$2:$H$500,H284,$A$2:$A$500,"&lt;&gt;"))</f>
        <v/>
      </c>
      <c r="M284" s="12">
        <f>IF(AND(A284="",G284=""),"",IF(G284="","Belum ditempatkan",IF(J284="","CEK ID FIXTURE tidak ada di DAFTAR_FIXTURE",IF(H284="","CEK ZONA NO kosong",IF(K284="zona tidak ada di layout","CEK ZONA NO di luar layout",IF(I284&lt;&gt;K284,"CEK JENIS ZONA",IF(A284="","Zona STOCK",IF(B284="","CEK SKU DESCRIPTION kosong","OK"))))))))</f>
        <v/>
      </c>
    </row>
    <row r="285">
      <c r="A285" s="10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2">
        <f>IF(G285="","",IFERROR(INDEX(DAFTAR_FIXTURE!$B$2:$B$51,MATCH(G285,DAFTAR_FIXTURE!$A$2:$A$51,0)),""))</f>
        <v/>
      </c>
      <c r="K285" s="12">
        <f>IF(OR(J285="",H285=""),"",IFERROR(INDEX(LAYOUT!$D$2:$D$34,MATCH(J285&amp;"|"&amp;H285,LAYOUT!$E$2:$E$34,0)),"zona tidak ada di layout"))</f>
        <v/>
      </c>
      <c r="L285" s="12">
        <f>IF(OR(G285="",A285=""),"",COUNTIFS($G$2:$G$500,G285,$H$2:$H$500,H285,$A$2:$A$500,"&lt;&gt;"))</f>
        <v/>
      </c>
      <c r="M285" s="12">
        <f>IF(AND(A285="",G285=""),"",IF(G285="","Belum ditempatkan",IF(J285="","CEK ID FIXTURE tidak ada di DAFTAR_FIXTURE",IF(H285="","CEK ZONA NO kosong",IF(K285="zona tidak ada di layout","CEK ZONA NO di luar layout",IF(I285&lt;&gt;K285,"CEK JENIS ZONA",IF(A285="","Zona STOCK",IF(B285="","CEK SKU DESCRIPTION kosong","OK"))))))))</f>
        <v/>
      </c>
    </row>
    <row r="286">
      <c r="A286" s="10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2">
        <f>IF(G286="","",IFERROR(INDEX(DAFTAR_FIXTURE!$B$2:$B$51,MATCH(G286,DAFTAR_FIXTURE!$A$2:$A$51,0)),""))</f>
        <v/>
      </c>
      <c r="K286" s="12">
        <f>IF(OR(J286="",H286=""),"",IFERROR(INDEX(LAYOUT!$D$2:$D$34,MATCH(J286&amp;"|"&amp;H286,LAYOUT!$E$2:$E$34,0)),"zona tidak ada di layout"))</f>
        <v/>
      </c>
      <c r="L286" s="12">
        <f>IF(OR(G286="",A286=""),"",COUNTIFS($G$2:$G$500,G286,$H$2:$H$500,H286,$A$2:$A$500,"&lt;&gt;"))</f>
        <v/>
      </c>
      <c r="M286" s="12">
        <f>IF(AND(A286="",G286=""),"",IF(G286="","Belum ditempatkan",IF(J286="","CEK ID FIXTURE tidak ada di DAFTAR_FIXTURE",IF(H286="","CEK ZONA NO kosong",IF(K286="zona tidak ada di layout","CEK ZONA NO di luar layout",IF(I286&lt;&gt;K286,"CEK JENIS ZONA",IF(A286="","Zona STOCK",IF(B286="","CEK SKU DESCRIPTION kosong","OK"))))))))</f>
        <v/>
      </c>
    </row>
    <row r="287">
      <c r="A287" s="10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2">
        <f>IF(G287="","",IFERROR(INDEX(DAFTAR_FIXTURE!$B$2:$B$51,MATCH(G287,DAFTAR_FIXTURE!$A$2:$A$51,0)),""))</f>
        <v/>
      </c>
      <c r="K287" s="12">
        <f>IF(OR(J287="",H287=""),"",IFERROR(INDEX(LAYOUT!$D$2:$D$34,MATCH(J287&amp;"|"&amp;H287,LAYOUT!$E$2:$E$34,0)),"zona tidak ada di layout"))</f>
        <v/>
      </c>
      <c r="L287" s="12">
        <f>IF(OR(G287="",A287=""),"",COUNTIFS($G$2:$G$500,G287,$H$2:$H$500,H287,$A$2:$A$500,"&lt;&gt;"))</f>
        <v/>
      </c>
      <c r="M287" s="12">
        <f>IF(AND(A287="",G287=""),"",IF(G287="","Belum ditempatkan",IF(J287="","CEK ID FIXTURE tidak ada di DAFTAR_FIXTURE",IF(H287="","CEK ZONA NO kosong",IF(K287="zona tidak ada di layout","CEK ZONA NO di luar layout",IF(I287&lt;&gt;K287,"CEK JENIS ZONA",IF(A287="","Zona STOCK",IF(B287="","CEK SKU DESCRIPTION kosong","OK"))))))))</f>
        <v/>
      </c>
    </row>
    <row r="288">
      <c r="A288" s="10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2">
        <f>IF(G288="","",IFERROR(INDEX(DAFTAR_FIXTURE!$B$2:$B$51,MATCH(G288,DAFTAR_FIXTURE!$A$2:$A$51,0)),""))</f>
        <v/>
      </c>
      <c r="K288" s="12">
        <f>IF(OR(J288="",H288=""),"",IFERROR(INDEX(LAYOUT!$D$2:$D$34,MATCH(J288&amp;"|"&amp;H288,LAYOUT!$E$2:$E$34,0)),"zona tidak ada di layout"))</f>
        <v/>
      </c>
      <c r="L288" s="12">
        <f>IF(OR(G288="",A288=""),"",COUNTIFS($G$2:$G$500,G288,$H$2:$H$500,H288,$A$2:$A$500,"&lt;&gt;"))</f>
        <v/>
      </c>
      <c r="M288" s="12">
        <f>IF(AND(A288="",G288=""),"",IF(G288="","Belum ditempatkan",IF(J288="","CEK ID FIXTURE tidak ada di DAFTAR_FIXTURE",IF(H288="","CEK ZONA NO kosong",IF(K288="zona tidak ada di layout","CEK ZONA NO di luar layout",IF(I288&lt;&gt;K288,"CEK JENIS ZONA",IF(A288="","Zona STOCK",IF(B288="","CEK SKU DESCRIPTION kosong","OK"))))))))</f>
        <v/>
      </c>
    </row>
    <row r="289">
      <c r="A289" s="10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2">
        <f>IF(G289="","",IFERROR(INDEX(DAFTAR_FIXTURE!$B$2:$B$51,MATCH(G289,DAFTAR_FIXTURE!$A$2:$A$51,0)),""))</f>
        <v/>
      </c>
      <c r="K289" s="12">
        <f>IF(OR(J289="",H289=""),"",IFERROR(INDEX(LAYOUT!$D$2:$D$34,MATCH(J289&amp;"|"&amp;H289,LAYOUT!$E$2:$E$34,0)),"zona tidak ada di layout"))</f>
        <v/>
      </c>
      <c r="L289" s="12">
        <f>IF(OR(G289="",A289=""),"",COUNTIFS($G$2:$G$500,G289,$H$2:$H$500,H289,$A$2:$A$500,"&lt;&gt;"))</f>
        <v/>
      </c>
      <c r="M289" s="12">
        <f>IF(AND(A289="",G289=""),"",IF(G289="","Belum ditempatkan",IF(J289="","CEK ID FIXTURE tidak ada di DAFTAR_FIXTURE",IF(H289="","CEK ZONA NO kosong",IF(K289="zona tidak ada di layout","CEK ZONA NO di luar layout",IF(I289&lt;&gt;K289,"CEK JENIS ZONA",IF(A289="","Zona STOCK",IF(B289="","CEK SKU DESCRIPTION kosong","OK"))))))))</f>
        <v/>
      </c>
    </row>
    <row r="290">
      <c r="A290" s="10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2">
        <f>IF(G290="","",IFERROR(INDEX(DAFTAR_FIXTURE!$B$2:$B$51,MATCH(G290,DAFTAR_FIXTURE!$A$2:$A$51,0)),""))</f>
        <v/>
      </c>
      <c r="K290" s="12">
        <f>IF(OR(J290="",H290=""),"",IFERROR(INDEX(LAYOUT!$D$2:$D$34,MATCH(J290&amp;"|"&amp;H290,LAYOUT!$E$2:$E$34,0)),"zona tidak ada di layout"))</f>
        <v/>
      </c>
      <c r="L290" s="12">
        <f>IF(OR(G290="",A290=""),"",COUNTIFS($G$2:$G$500,G290,$H$2:$H$500,H290,$A$2:$A$500,"&lt;&gt;"))</f>
        <v/>
      </c>
      <c r="M290" s="12">
        <f>IF(AND(A290="",G290=""),"",IF(G290="","Belum ditempatkan",IF(J290="","CEK ID FIXTURE tidak ada di DAFTAR_FIXTURE",IF(H290="","CEK ZONA NO kosong",IF(K290="zona tidak ada di layout","CEK ZONA NO di luar layout",IF(I290&lt;&gt;K290,"CEK JENIS ZONA",IF(A290="","Zona STOCK",IF(B290="","CEK SKU DESCRIPTION kosong","OK"))))))))</f>
        <v/>
      </c>
    </row>
    <row r="291">
      <c r="A291" s="10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2">
        <f>IF(G291="","",IFERROR(INDEX(DAFTAR_FIXTURE!$B$2:$B$51,MATCH(G291,DAFTAR_FIXTURE!$A$2:$A$51,0)),""))</f>
        <v/>
      </c>
      <c r="K291" s="12">
        <f>IF(OR(J291="",H291=""),"",IFERROR(INDEX(LAYOUT!$D$2:$D$34,MATCH(J291&amp;"|"&amp;H291,LAYOUT!$E$2:$E$34,0)),"zona tidak ada di layout"))</f>
        <v/>
      </c>
      <c r="L291" s="12">
        <f>IF(OR(G291="",A291=""),"",COUNTIFS($G$2:$G$500,G291,$H$2:$H$500,H291,$A$2:$A$500,"&lt;&gt;"))</f>
        <v/>
      </c>
      <c r="M291" s="12">
        <f>IF(AND(A291="",G291=""),"",IF(G291="","Belum ditempatkan",IF(J291="","CEK ID FIXTURE tidak ada di DAFTAR_FIXTURE",IF(H291="","CEK ZONA NO kosong",IF(K291="zona tidak ada di layout","CEK ZONA NO di luar layout",IF(I291&lt;&gt;K291,"CEK JENIS ZONA",IF(A291="","Zona STOCK",IF(B291="","CEK SKU DESCRIPTION kosong","OK"))))))))</f>
        <v/>
      </c>
    </row>
    <row r="292">
      <c r="A292" s="10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2">
        <f>IF(G292="","",IFERROR(INDEX(DAFTAR_FIXTURE!$B$2:$B$51,MATCH(G292,DAFTAR_FIXTURE!$A$2:$A$51,0)),""))</f>
        <v/>
      </c>
      <c r="K292" s="12">
        <f>IF(OR(J292="",H292=""),"",IFERROR(INDEX(LAYOUT!$D$2:$D$34,MATCH(J292&amp;"|"&amp;H292,LAYOUT!$E$2:$E$34,0)),"zona tidak ada di layout"))</f>
        <v/>
      </c>
      <c r="L292" s="12">
        <f>IF(OR(G292="",A292=""),"",COUNTIFS($G$2:$G$500,G292,$H$2:$H$500,H292,$A$2:$A$500,"&lt;&gt;"))</f>
        <v/>
      </c>
      <c r="M292" s="12">
        <f>IF(AND(A292="",G292=""),"",IF(G292="","Belum ditempatkan",IF(J292="","CEK ID FIXTURE tidak ada di DAFTAR_FIXTURE",IF(H292="","CEK ZONA NO kosong",IF(K292="zona tidak ada di layout","CEK ZONA NO di luar layout",IF(I292&lt;&gt;K292,"CEK JENIS ZONA",IF(A292="","Zona STOCK",IF(B292="","CEK SKU DESCRIPTION kosong","OK"))))))))</f>
        <v/>
      </c>
    </row>
    <row r="293">
      <c r="A293" s="10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2">
        <f>IF(G293="","",IFERROR(INDEX(DAFTAR_FIXTURE!$B$2:$B$51,MATCH(G293,DAFTAR_FIXTURE!$A$2:$A$51,0)),""))</f>
        <v/>
      </c>
      <c r="K293" s="12">
        <f>IF(OR(J293="",H293=""),"",IFERROR(INDEX(LAYOUT!$D$2:$D$34,MATCH(J293&amp;"|"&amp;H293,LAYOUT!$E$2:$E$34,0)),"zona tidak ada di layout"))</f>
        <v/>
      </c>
      <c r="L293" s="12">
        <f>IF(OR(G293="",A293=""),"",COUNTIFS($G$2:$G$500,G293,$H$2:$H$500,H293,$A$2:$A$500,"&lt;&gt;"))</f>
        <v/>
      </c>
      <c r="M293" s="12">
        <f>IF(AND(A293="",G293=""),"",IF(G293="","Belum ditempatkan",IF(J293="","CEK ID FIXTURE tidak ada di DAFTAR_FIXTURE",IF(H293="","CEK ZONA NO kosong",IF(K293="zona tidak ada di layout","CEK ZONA NO di luar layout",IF(I293&lt;&gt;K293,"CEK JENIS ZONA",IF(A293="","Zona STOCK",IF(B293="","CEK SKU DESCRIPTION kosong","OK"))))))))</f>
        <v/>
      </c>
    </row>
    <row r="294">
      <c r="A294" s="10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2">
        <f>IF(G294="","",IFERROR(INDEX(DAFTAR_FIXTURE!$B$2:$B$51,MATCH(G294,DAFTAR_FIXTURE!$A$2:$A$51,0)),""))</f>
        <v/>
      </c>
      <c r="K294" s="12">
        <f>IF(OR(J294="",H294=""),"",IFERROR(INDEX(LAYOUT!$D$2:$D$34,MATCH(J294&amp;"|"&amp;H294,LAYOUT!$E$2:$E$34,0)),"zona tidak ada di layout"))</f>
        <v/>
      </c>
      <c r="L294" s="12">
        <f>IF(OR(G294="",A294=""),"",COUNTIFS($G$2:$G$500,G294,$H$2:$H$500,H294,$A$2:$A$500,"&lt;&gt;"))</f>
        <v/>
      </c>
      <c r="M294" s="12">
        <f>IF(AND(A294="",G294=""),"",IF(G294="","Belum ditempatkan",IF(J294="","CEK ID FIXTURE tidak ada di DAFTAR_FIXTURE",IF(H294="","CEK ZONA NO kosong",IF(K294="zona tidak ada di layout","CEK ZONA NO di luar layout",IF(I294&lt;&gt;K294,"CEK JENIS ZONA",IF(A294="","Zona STOCK",IF(B294="","CEK SKU DESCRIPTION kosong","OK"))))))))</f>
        <v/>
      </c>
    </row>
    <row r="295">
      <c r="A295" s="10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2">
        <f>IF(G295="","",IFERROR(INDEX(DAFTAR_FIXTURE!$B$2:$B$51,MATCH(G295,DAFTAR_FIXTURE!$A$2:$A$51,0)),""))</f>
        <v/>
      </c>
      <c r="K295" s="12">
        <f>IF(OR(J295="",H295=""),"",IFERROR(INDEX(LAYOUT!$D$2:$D$34,MATCH(J295&amp;"|"&amp;H295,LAYOUT!$E$2:$E$34,0)),"zona tidak ada di layout"))</f>
        <v/>
      </c>
      <c r="L295" s="12">
        <f>IF(OR(G295="",A295=""),"",COUNTIFS($G$2:$G$500,G295,$H$2:$H$500,H295,$A$2:$A$500,"&lt;&gt;"))</f>
        <v/>
      </c>
      <c r="M295" s="12">
        <f>IF(AND(A295="",G295=""),"",IF(G295="","Belum ditempatkan",IF(J295="","CEK ID FIXTURE tidak ada di DAFTAR_FIXTURE",IF(H295="","CEK ZONA NO kosong",IF(K295="zona tidak ada di layout","CEK ZONA NO di luar layout",IF(I295&lt;&gt;K295,"CEK JENIS ZONA",IF(A295="","Zona STOCK",IF(B295="","CEK SKU DESCRIPTION kosong","OK"))))))))</f>
        <v/>
      </c>
    </row>
    <row r="296">
      <c r="A296" s="10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2">
        <f>IF(G296="","",IFERROR(INDEX(DAFTAR_FIXTURE!$B$2:$B$51,MATCH(G296,DAFTAR_FIXTURE!$A$2:$A$51,0)),""))</f>
        <v/>
      </c>
      <c r="K296" s="12">
        <f>IF(OR(J296="",H296=""),"",IFERROR(INDEX(LAYOUT!$D$2:$D$34,MATCH(J296&amp;"|"&amp;H296,LAYOUT!$E$2:$E$34,0)),"zona tidak ada di layout"))</f>
        <v/>
      </c>
      <c r="L296" s="12">
        <f>IF(OR(G296="",A296=""),"",COUNTIFS($G$2:$G$500,G296,$H$2:$H$500,H296,$A$2:$A$500,"&lt;&gt;"))</f>
        <v/>
      </c>
      <c r="M296" s="12">
        <f>IF(AND(A296="",G296=""),"",IF(G296="","Belum ditempatkan",IF(J296="","CEK ID FIXTURE tidak ada di DAFTAR_FIXTURE",IF(H296="","CEK ZONA NO kosong",IF(K296="zona tidak ada di layout","CEK ZONA NO di luar layout",IF(I296&lt;&gt;K296,"CEK JENIS ZONA",IF(A296="","Zona STOCK",IF(B296="","CEK SKU DESCRIPTION kosong","OK"))))))))</f>
        <v/>
      </c>
    </row>
    <row r="297">
      <c r="A297" s="10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2">
        <f>IF(G297="","",IFERROR(INDEX(DAFTAR_FIXTURE!$B$2:$B$51,MATCH(G297,DAFTAR_FIXTURE!$A$2:$A$51,0)),""))</f>
        <v/>
      </c>
      <c r="K297" s="12">
        <f>IF(OR(J297="",H297=""),"",IFERROR(INDEX(LAYOUT!$D$2:$D$34,MATCH(J297&amp;"|"&amp;H297,LAYOUT!$E$2:$E$34,0)),"zona tidak ada di layout"))</f>
        <v/>
      </c>
      <c r="L297" s="12">
        <f>IF(OR(G297="",A297=""),"",COUNTIFS($G$2:$G$500,G297,$H$2:$H$500,H297,$A$2:$A$500,"&lt;&gt;"))</f>
        <v/>
      </c>
      <c r="M297" s="12">
        <f>IF(AND(A297="",G297=""),"",IF(G297="","Belum ditempatkan",IF(J297="","CEK ID FIXTURE tidak ada di DAFTAR_FIXTURE",IF(H297="","CEK ZONA NO kosong",IF(K297="zona tidak ada di layout","CEK ZONA NO di luar layout",IF(I297&lt;&gt;K297,"CEK JENIS ZONA",IF(A297="","Zona STOCK",IF(B297="","CEK SKU DESCRIPTION kosong","OK"))))))))</f>
        <v/>
      </c>
    </row>
    <row r="298">
      <c r="A298" s="10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2">
        <f>IF(G298="","",IFERROR(INDEX(DAFTAR_FIXTURE!$B$2:$B$51,MATCH(G298,DAFTAR_FIXTURE!$A$2:$A$51,0)),""))</f>
        <v/>
      </c>
      <c r="K298" s="12">
        <f>IF(OR(J298="",H298=""),"",IFERROR(INDEX(LAYOUT!$D$2:$D$34,MATCH(J298&amp;"|"&amp;H298,LAYOUT!$E$2:$E$34,0)),"zona tidak ada di layout"))</f>
        <v/>
      </c>
      <c r="L298" s="12">
        <f>IF(OR(G298="",A298=""),"",COUNTIFS($G$2:$G$500,G298,$H$2:$H$500,H298,$A$2:$A$500,"&lt;&gt;"))</f>
        <v/>
      </c>
      <c r="M298" s="12">
        <f>IF(AND(A298="",G298=""),"",IF(G298="","Belum ditempatkan",IF(J298="","CEK ID FIXTURE tidak ada di DAFTAR_FIXTURE",IF(H298="","CEK ZONA NO kosong",IF(K298="zona tidak ada di layout","CEK ZONA NO di luar layout",IF(I298&lt;&gt;K298,"CEK JENIS ZONA",IF(A298="","Zona STOCK",IF(B298="","CEK SKU DESCRIPTION kosong","OK"))))))))</f>
        <v/>
      </c>
    </row>
    <row r="299">
      <c r="A299" s="10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2">
        <f>IF(G299="","",IFERROR(INDEX(DAFTAR_FIXTURE!$B$2:$B$51,MATCH(G299,DAFTAR_FIXTURE!$A$2:$A$51,0)),""))</f>
        <v/>
      </c>
      <c r="K299" s="12">
        <f>IF(OR(J299="",H299=""),"",IFERROR(INDEX(LAYOUT!$D$2:$D$34,MATCH(J299&amp;"|"&amp;H299,LAYOUT!$E$2:$E$34,0)),"zona tidak ada di layout"))</f>
        <v/>
      </c>
      <c r="L299" s="12">
        <f>IF(OR(G299="",A299=""),"",COUNTIFS($G$2:$G$500,G299,$H$2:$H$500,H299,$A$2:$A$500,"&lt;&gt;"))</f>
        <v/>
      </c>
      <c r="M299" s="12">
        <f>IF(AND(A299="",G299=""),"",IF(G299="","Belum ditempatkan",IF(J299="","CEK ID FIXTURE tidak ada di DAFTAR_FIXTURE",IF(H299="","CEK ZONA NO kosong",IF(K299="zona tidak ada di layout","CEK ZONA NO di luar layout",IF(I299&lt;&gt;K299,"CEK JENIS ZONA",IF(A299="","Zona STOCK",IF(B299="","CEK SKU DESCRIPTION kosong","OK"))))))))</f>
        <v/>
      </c>
    </row>
    <row r="300">
      <c r="A300" s="10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2">
        <f>IF(G300="","",IFERROR(INDEX(DAFTAR_FIXTURE!$B$2:$B$51,MATCH(G300,DAFTAR_FIXTURE!$A$2:$A$51,0)),""))</f>
        <v/>
      </c>
      <c r="K300" s="12">
        <f>IF(OR(J300="",H300=""),"",IFERROR(INDEX(LAYOUT!$D$2:$D$34,MATCH(J300&amp;"|"&amp;H300,LAYOUT!$E$2:$E$34,0)),"zona tidak ada di layout"))</f>
        <v/>
      </c>
      <c r="L300" s="12">
        <f>IF(OR(G300="",A300=""),"",COUNTIFS($G$2:$G$500,G300,$H$2:$H$500,H300,$A$2:$A$500,"&lt;&gt;"))</f>
        <v/>
      </c>
      <c r="M300" s="12">
        <f>IF(AND(A300="",G300=""),"",IF(G300="","Belum ditempatkan",IF(J300="","CEK ID FIXTURE tidak ada di DAFTAR_FIXTURE",IF(H300="","CEK ZONA NO kosong",IF(K300="zona tidak ada di layout","CEK ZONA NO di luar layout",IF(I300&lt;&gt;K300,"CEK JENIS ZONA",IF(A300="","Zona STOCK",IF(B300="","CEK SKU DESCRIPTION kosong","OK"))))))))</f>
        <v/>
      </c>
    </row>
    <row r="301">
      <c r="A301" s="10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2">
        <f>IF(G301="","",IFERROR(INDEX(DAFTAR_FIXTURE!$B$2:$B$51,MATCH(G301,DAFTAR_FIXTURE!$A$2:$A$51,0)),""))</f>
        <v/>
      </c>
      <c r="K301" s="12">
        <f>IF(OR(J301="",H301=""),"",IFERROR(INDEX(LAYOUT!$D$2:$D$34,MATCH(J301&amp;"|"&amp;H301,LAYOUT!$E$2:$E$34,0)),"zona tidak ada di layout"))</f>
        <v/>
      </c>
      <c r="L301" s="12">
        <f>IF(OR(G301="",A301=""),"",COUNTIFS($G$2:$G$500,G301,$H$2:$H$500,H301,$A$2:$A$500,"&lt;&gt;"))</f>
        <v/>
      </c>
      <c r="M301" s="12">
        <f>IF(AND(A301="",G301=""),"",IF(G301="","Belum ditempatkan",IF(J301="","CEK ID FIXTURE tidak ada di DAFTAR_FIXTURE",IF(H301="","CEK ZONA NO kosong",IF(K301="zona tidak ada di layout","CEK ZONA NO di luar layout",IF(I301&lt;&gt;K301,"CEK JENIS ZONA",IF(A301="","Zona STOCK",IF(B301="","CEK SKU DESCRIPTION kosong","OK"))))))))</f>
        <v/>
      </c>
    </row>
    <row r="302">
      <c r="A302" s="10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2">
        <f>IF(G302="","",IFERROR(INDEX(DAFTAR_FIXTURE!$B$2:$B$51,MATCH(G302,DAFTAR_FIXTURE!$A$2:$A$51,0)),""))</f>
        <v/>
      </c>
      <c r="K302" s="12">
        <f>IF(OR(J302="",H302=""),"",IFERROR(INDEX(LAYOUT!$D$2:$D$34,MATCH(J302&amp;"|"&amp;H302,LAYOUT!$E$2:$E$34,0)),"zona tidak ada di layout"))</f>
        <v/>
      </c>
      <c r="L302" s="12">
        <f>IF(OR(G302="",A302=""),"",COUNTIFS($G$2:$G$500,G302,$H$2:$H$500,H302,$A$2:$A$500,"&lt;&gt;"))</f>
        <v/>
      </c>
      <c r="M302" s="12">
        <f>IF(AND(A302="",G302=""),"",IF(G302="","Belum ditempatkan",IF(J302="","CEK ID FIXTURE tidak ada di DAFTAR_FIXTURE",IF(H302="","CEK ZONA NO kosong",IF(K302="zona tidak ada di layout","CEK ZONA NO di luar layout",IF(I302&lt;&gt;K302,"CEK JENIS ZONA",IF(A302="","Zona STOCK",IF(B302="","CEK SKU DESCRIPTION kosong","OK"))))))))</f>
        <v/>
      </c>
    </row>
    <row r="303">
      <c r="A303" s="10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2">
        <f>IF(G303="","",IFERROR(INDEX(DAFTAR_FIXTURE!$B$2:$B$51,MATCH(G303,DAFTAR_FIXTURE!$A$2:$A$51,0)),""))</f>
        <v/>
      </c>
      <c r="K303" s="12">
        <f>IF(OR(J303="",H303=""),"",IFERROR(INDEX(LAYOUT!$D$2:$D$34,MATCH(J303&amp;"|"&amp;H303,LAYOUT!$E$2:$E$34,0)),"zona tidak ada di layout"))</f>
        <v/>
      </c>
      <c r="L303" s="12">
        <f>IF(OR(G303="",A303=""),"",COUNTIFS($G$2:$G$500,G303,$H$2:$H$500,H303,$A$2:$A$500,"&lt;&gt;"))</f>
        <v/>
      </c>
      <c r="M303" s="12">
        <f>IF(AND(A303="",G303=""),"",IF(G303="","Belum ditempatkan",IF(J303="","CEK ID FIXTURE tidak ada di DAFTAR_FIXTURE",IF(H303="","CEK ZONA NO kosong",IF(K303="zona tidak ada di layout","CEK ZONA NO di luar layout",IF(I303&lt;&gt;K303,"CEK JENIS ZONA",IF(A303="","Zona STOCK",IF(B303="","CEK SKU DESCRIPTION kosong","OK"))))))))</f>
        <v/>
      </c>
    </row>
    <row r="304">
      <c r="A304" s="10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2">
        <f>IF(G304="","",IFERROR(INDEX(DAFTAR_FIXTURE!$B$2:$B$51,MATCH(G304,DAFTAR_FIXTURE!$A$2:$A$51,0)),""))</f>
        <v/>
      </c>
      <c r="K304" s="12">
        <f>IF(OR(J304="",H304=""),"",IFERROR(INDEX(LAYOUT!$D$2:$D$34,MATCH(J304&amp;"|"&amp;H304,LAYOUT!$E$2:$E$34,0)),"zona tidak ada di layout"))</f>
        <v/>
      </c>
      <c r="L304" s="12">
        <f>IF(OR(G304="",A304=""),"",COUNTIFS($G$2:$G$500,G304,$H$2:$H$500,H304,$A$2:$A$500,"&lt;&gt;"))</f>
        <v/>
      </c>
      <c r="M304" s="12">
        <f>IF(AND(A304="",G304=""),"",IF(G304="","Belum ditempatkan",IF(J304="","CEK ID FIXTURE tidak ada di DAFTAR_FIXTURE",IF(H304="","CEK ZONA NO kosong",IF(K304="zona tidak ada di layout","CEK ZONA NO di luar layout",IF(I304&lt;&gt;K304,"CEK JENIS ZONA",IF(A304="","Zona STOCK",IF(B304="","CEK SKU DESCRIPTION kosong","OK"))))))))</f>
        <v/>
      </c>
    </row>
    <row r="305">
      <c r="A305" s="10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2">
        <f>IF(G305="","",IFERROR(INDEX(DAFTAR_FIXTURE!$B$2:$B$51,MATCH(G305,DAFTAR_FIXTURE!$A$2:$A$51,0)),""))</f>
        <v/>
      </c>
      <c r="K305" s="12">
        <f>IF(OR(J305="",H305=""),"",IFERROR(INDEX(LAYOUT!$D$2:$D$34,MATCH(J305&amp;"|"&amp;H305,LAYOUT!$E$2:$E$34,0)),"zona tidak ada di layout"))</f>
        <v/>
      </c>
      <c r="L305" s="12">
        <f>IF(OR(G305="",A305=""),"",COUNTIFS($G$2:$G$500,G305,$H$2:$H$500,H305,$A$2:$A$500,"&lt;&gt;"))</f>
        <v/>
      </c>
      <c r="M305" s="12">
        <f>IF(AND(A305="",G305=""),"",IF(G305="","Belum ditempatkan",IF(J305="","CEK ID FIXTURE tidak ada di DAFTAR_FIXTURE",IF(H305="","CEK ZONA NO kosong",IF(K305="zona tidak ada di layout","CEK ZONA NO di luar layout",IF(I305&lt;&gt;K305,"CEK JENIS ZONA",IF(A305="","Zona STOCK",IF(B305="","CEK SKU DESCRIPTION kosong","OK"))))))))</f>
        <v/>
      </c>
    </row>
    <row r="306">
      <c r="A306" s="10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2">
        <f>IF(G306="","",IFERROR(INDEX(DAFTAR_FIXTURE!$B$2:$B$51,MATCH(G306,DAFTAR_FIXTURE!$A$2:$A$51,0)),""))</f>
        <v/>
      </c>
      <c r="K306" s="12">
        <f>IF(OR(J306="",H306=""),"",IFERROR(INDEX(LAYOUT!$D$2:$D$34,MATCH(J306&amp;"|"&amp;H306,LAYOUT!$E$2:$E$34,0)),"zona tidak ada di layout"))</f>
        <v/>
      </c>
      <c r="L306" s="12">
        <f>IF(OR(G306="",A306=""),"",COUNTIFS($G$2:$G$500,G306,$H$2:$H$500,H306,$A$2:$A$500,"&lt;&gt;"))</f>
        <v/>
      </c>
      <c r="M306" s="12">
        <f>IF(AND(A306="",G306=""),"",IF(G306="","Belum ditempatkan",IF(J306="","CEK ID FIXTURE tidak ada di DAFTAR_FIXTURE",IF(H306="","CEK ZONA NO kosong",IF(K306="zona tidak ada di layout","CEK ZONA NO di luar layout",IF(I306&lt;&gt;K306,"CEK JENIS ZONA",IF(A306="","Zona STOCK",IF(B306="","CEK SKU DESCRIPTION kosong","OK"))))))))</f>
        <v/>
      </c>
    </row>
    <row r="307">
      <c r="A307" s="10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2">
        <f>IF(G307="","",IFERROR(INDEX(DAFTAR_FIXTURE!$B$2:$B$51,MATCH(G307,DAFTAR_FIXTURE!$A$2:$A$51,0)),""))</f>
        <v/>
      </c>
      <c r="K307" s="12">
        <f>IF(OR(J307="",H307=""),"",IFERROR(INDEX(LAYOUT!$D$2:$D$34,MATCH(J307&amp;"|"&amp;H307,LAYOUT!$E$2:$E$34,0)),"zona tidak ada di layout"))</f>
        <v/>
      </c>
      <c r="L307" s="12">
        <f>IF(OR(G307="",A307=""),"",COUNTIFS($G$2:$G$500,G307,$H$2:$H$500,H307,$A$2:$A$500,"&lt;&gt;"))</f>
        <v/>
      </c>
      <c r="M307" s="12">
        <f>IF(AND(A307="",G307=""),"",IF(G307="","Belum ditempatkan",IF(J307="","CEK ID FIXTURE tidak ada di DAFTAR_FIXTURE",IF(H307="","CEK ZONA NO kosong",IF(K307="zona tidak ada di layout","CEK ZONA NO di luar layout",IF(I307&lt;&gt;K307,"CEK JENIS ZONA",IF(A307="","Zona STOCK",IF(B307="","CEK SKU DESCRIPTION kosong","OK"))))))))</f>
        <v/>
      </c>
    </row>
    <row r="308">
      <c r="A308" s="10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2">
        <f>IF(G308="","",IFERROR(INDEX(DAFTAR_FIXTURE!$B$2:$B$51,MATCH(G308,DAFTAR_FIXTURE!$A$2:$A$51,0)),""))</f>
        <v/>
      </c>
      <c r="K308" s="12">
        <f>IF(OR(J308="",H308=""),"",IFERROR(INDEX(LAYOUT!$D$2:$D$34,MATCH(J308&amp;"|"&amp;H308,LAYOUT!$E$2:$E$34,0)),"zona tidak ada di layout"))</f>
        <v/>
      </c>
      <c r="L308" s="12">
        <f>IF(OR(G308="",A308=""),"",COUNTIFS($G$2:$G$500,G308,$H$2:$H$500,H308,$A$2:$A$500,"&lt;&gt;"))</f>
        <v/>
      </c>
      <c r="M308" s="12">
        <f>IF(AND(A308="",G308=""),"",IF(G308="","Belum ditempatkan",IF(J308="","CEK ID FIXTURE tidak ada di DAFTAR_FIXTURE",IF(H308="","CEK ZONA NO kosong",IF(K308="zona tidak ada di layout","CEK ZONA NO di luar layout",IF(I308&lt;&gt;K308,"CEK JENIS ZONA",IF(A308="","Zona STOCK",IF(B308="","CEK SKU DESCRIPTION kosong","OK"))))))))</f>
        <v/>
      </c>
    </row>
    <row r="309">
      <c r="A309" s="10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2">
        <f>IF(G309="","",IFERROR(INDEX(DAFTAR_FIXTURE!$B$2:$B$51,MATCH(G309,DAFTAR_FIXTURE!$A$2:$A$51,0)),""))</f>
        <v/>
      </c>
      <c r="K309" s="12">
        <f>IF(OR(J309="",H309=""),"",IFERROR(INDEX(LAYOUT!$D$2:$D$34,MATCH(J309&amp;"|"&amp;H309,LAYOUT!$E$2:$E$34,0)),"zona tidak ada di layout"))</f>
        <v/>
      </c>
      <c r="L309" s="12">
        <f>IF(OR(G309="",A309=""),"",COUNTIFS($G$2:$G$500,G309,$H$2:$H$500,H309,$A$2:$A$500,"&lt;&gt;"))</f>
        <v/>
      </c>
      <c r="M309" s="12">
        <f>IF(AND(A309="",G309=""),"",IF(G309="","Belum ditempatkan",IF(J309="","CEK ID FIXTURE tidak ada di DAFTAR_FIXTURE",IF(H309="","CEK ZONA NO kosong",IF(K309="zona tidak ada di layout","CEK ZONA NO di luar layout",IF(I309&lt;&gt;K309,"CEK JENIS ZONA",IF(A309="","Zona STOCK",IF(B309="","CEK SKU DESCRIPTION kosong","OK"))))))))</f>
        <v/>
      </c>
    </row>
    <row r="310">
      <c r="A310" s="10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2">
        <f>IF(G310="","",IFERROR(INDEX(DAFTAR_FIXTURE!$B$2:$B$51,MATCH(G310,DAFTAR_FIXTURE!$A$2:$A$51,0)),""))</f>
        <v/>
      </c>
      <c r="K310" s="12">
        <f>IF(OR(J310="",H310=""),"",IFERROR(INDEX(LAYOUT!$D$2:$D$34,MATCH(J310&amp;"|"&amp;H310,LAYOUT!$E$2:$E$34,0)),"zona tidak ada di layout"))</f>
        <v/>
      </c>
      <c r="L310" s="12">
        <f>IF(OR(G310="",A310=""),"",COUNTIFS($G$2:$G$500,G310,$H$2:$H$500,H310,$A$2:$A$500,"&lt;&gt;"))</f>
        <v/>
      </c>
      <c r="M310" s="12">
        <f>IF(AND(A310="",G310=""),"",IF(G310="","Belum ditempatkan",IF(J310="","CEK ID FIXTURE tidak ada di DAFTAR_FIXTURE",IF(H310="","CEK ZONA NO kosong",IF(K310="zona tidak ada di layout","CEK ZONA NO di luar layout",IF(I310&lt;&gt;K310,"CEK JENIS ZONA",IF(A310="","Zona STOCK",IF(B310="","CEK SKU DESCRIPTION kosong","OK"))))))))</f>
        <v/>
      </c>
    </row>
    <row r="311">
      <c r="A311" s="10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2">
        <f>IF(G311="","",IFERROR(INDEX(DAFTAR_FIXTURE!$B$2:$B$51,MATCH(G311,DAFTAR_FIXTURE!$A$2:$A$51,0)),""))</f>
        <v/>
      </c>
      <c r="K311" s="12">
        <f>IF(OR(J311="",H311=""),"",IFERROR(INDEX(LAYOUT!$D$2:$D$34,MATCH(J311&amp;"|"&amp;H311,LAYOUT!$E$2:$E$34,0)),"zona tidak ada di layout"))</f>
        <v/>
      </c>
      <c r="L311" s="12">
        <f>IF(OR(G311="",A311=""),"",COUNTIFS($G$2:$G$500,G311,$H$2:$H$500,H311,$A$2:$A$500,"&lt;&gt;"))</f>
        <v/>
      </c>
      <c r="M311" s="12">
        <f>IF(AND(A311="",G311=""),"",IF(G311="","Belum ditempatkan",IF(J311="","CEK ID FIXTURE tidak ada di DAFTAR_FIXTURE",IF(H311="","CEK ZONA NO kosong",IF(K311="zona tidak ada di layout","CEK ZONA NO di luar layout",IF(I311&lt;&gt;K311,"CEK JENIS ZONA",IF(A311="","Zona STOCK",IF(B311="","CEK SKU DESCRIPTION kosong","OK"))))))))</f>
        <v/>
      </c>
    </row>
    <row r="312">
      <c r="A312" s="10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2">
        <f>IF(G312="","",IFERROR(INDEX(DAFTAR_FIXTURE!$B$2:$B$51,MATCH(G312,DAFTAR_FIXTURE!$A$2:$A$51,0)),""))</f>
        <v/>
      </c>
      <c r="K312" s="12">
        <f>IF(OR(J312="",H312=""),"",IFERROR(INDEX(LAYOUT!$D$2:$D$34,MATCH(J312&amp;"|"&amp;H312,LAYOUT!$E$2:$E$34,0)),"zona tidak ada di layout"))</f>
        <v/>
      </c>
      <c r="L312" s="12">
        <f>IF(OR(G312="",A312=""),"",COUNTIFS($G$2:$G$500,G312,$H$2:$H$500,H312,$A$2:$A$500,"&lt;&gt;"))</f>
        <v/>
      </c>
      <c r="M312" s="12">
        <f>IF(AND(A312="",G312=""),"",IF(G312="","Belum ditempatkan",IF(J312="","CEK ID FIXTURE tidak ada di DAFTAR_FIXTURE",IF(H312="","CEK ZONA NO kosong",IF(K312="zona tidak ada di layout","CEK ZONA NO di luar layout",IF(I312&lt;&gt;K312,"CEK JENIS ZONA",IF(A312="","Zona STOCK",IF(B312="","CEK SKU DESCRIPTION kosong","OK"))))))))</f>
        <v/>
      </c>
    </row>
    <row r="313">
      <c r="A313" s="10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2">
        <f>IF(G313="","",IFERROR(INDEX(DAFTAR_FIXTURE!$B$2:$B$51,MATCH(G313,DAFTAR_FIXTURE!$A$2:$A$51,0)),""))</f>
        <v/>
      </c>
      <c r="K313" s="12">
        <f>IF(OR(J313="",H313=""),"",IFERROR(INDEX(LAYOUT!$D$2:$D$34,MATCH(J313&amp;"|"&amp;H313,LAYOUT!$E$2:$E$34,0)),"zona tidak ada di layout"))</f>
        <v/>
      </c>
      <c r="L313" s="12">
        <f>IF(OR(G313="",A313=""),"",COUNTIFS($G$2:$G$500,G313,$H$2:$H$500,H313,$A$2:$A$500,"&lt;&gt;"))</f>
        <v/>
      </c>
      <c r="M313" s="12">
        <f>IF(AND(A313="",G313=""),"",IF(G313="","Belum ditempatkan",IF(J313="","CEK ID FIXTURE tidak ada di DAFTAR_FIXTURE",IF(H313="","CEK ZONA NO kosong",IF(K313="zona tidak ada di layout","CEK ZONA NO di luar layout",IF(I313&lt;&gt;K313,"CEK JENIS ZONA",IF(A313="","Zona STOCK",IF(B313="","CEK SKU DESCRIPTION kosong","OK"))))))))</f>
        <v/>
      </c>
    </row>
    <row r="314">
      <c r="A314" s="10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2">
        <f>IF(G314="","",IFERROR(INDEX(DAFTAR_FIXTURE!$B$2:$B$51,MATCH(G314,DAFTAR_FIXTURE!$A$2:$A$51,0)),""))</f>
        <v/>
      </c>
      <c r="K314" s="12">
        <f>IF(OR(J314="",H314=""),"",IFERROR(INDEX(LAYOUT!$D$2:$D$34,MATCH(J314&amp;"|"&amp;H314,LAYOUT!$E$2:$E$34,0)),"zona tidak ada di layout"))</f>
        <v/>
      </c>
      <c r="L314" s="12">
        <f>IF(OR(G314="",A314=""),"",COUNTIFS($G$2:$G$500,G314,$H$2:$H$500,H314,$A$2:$A$500,"&lt;&gt;"))</f>
        <v/>
      </c>
      <c r="M314" s="12">
        <f>IF(AND(A314="",G314=""),"",IF(G314="","Belum ditempatkan",IF(J314="","CEK ID FIXTURE tidak ada di DAFTAR_FIXTURE",IF(H314="","CEK ZONA NO kosong",IF(K314="zona tidak ada di layout","CEK ZONA NO di luar layout",IF(I314&lt;&gt;K314,"CEK JENIS ZONA",IF(A314="","Zona STOCK",IF(B314="","CEK SKU DESCRIPTION kosong","OK"))))))))</f>
        <v/>
      </c>
    </row>
    <row r="315">
      <c r="A315" s="10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2">
        <f>IF(G315="","",IFERROR(INDEX(DAFTAR_FIXTURE!$B$2:$B$51,MATCH(G315,DAFTAR_FIXTURE!$A$2:$A$51,0)),""))</f>
        <v/>
      </c>
      <c r="K315" s="12">
        <f>IF(OR(J315="",H315=""),"",IFERROR(INDEX(LAYOUT!$D$2:$D$34,MATCH(J315&amp;"|"&amp;H315,LAYOUT!$E$2:$E$34,0)),"zona tidak ada di layout"))</f>
        <v/>
      </c>
      <c r="L315" s="12">
        <f>IF(OR(G315="",A315=""),"",COUNTIFS($G$2:$G$500,G315,$H$2:$H$500,H315,$A$2:$A$500,"&lt;&gt;"))</f>
        <v/>
      </c>
      <c r="M315" s="12">
        <f>IF(AND(A315="",G315=""),"",IF(G315="","Belum ditempatkan",IF(J315="","CEK ID FIXTURE tidak ada di DAFTAR_FIXTURE",IF(H315="","CEK ZONA NO kosong",IF(K315="zona tidak ada di layout","CEK ZONA NO di luar layout",IF(I315&lt;&gt;K315,"CEK JENIS ZONA",IF(A315="","Zona STOCK",IF(B315="","CEK SKU DESCRIPTION kosong","OK"))))))))</f>
        <v/>
      </c>
    </row>
    <row r="316">
      <c r="A316" s="10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2">
        <f>IF(G316="","",IFERROR(INDEX(DAFTAR_FIXTURE!$B$2:$B$51,MATCH(G316,DAFTAR_FIXTURE!$A$2:$A$51,0)),""))</f>
        <v/>
      </c>
      <c r="K316" s="12">
        <f>IF(OR(J316="",H316=""),"",IFERROR(INDEX(LAYOUT!$D$2:$D$34,MATCH(J316&amp;"|"&amp;H316,LAYOUT!$E$2:$E$34,0)),"zona tidak ada di layout"))</f>
        <v/>
      </c>
      <c r="L316" s="12">
        <f>IF(OR(G316="",A316=""),"",COUNTIFS($G$2:$G$500,G316,$H$2:$H$500,H316,$A$2:$A$500,"&lt;&gt;"))</f>
        <v/>
      </c>
      <c r="M316" s="12">
        <f>IF(AND(A316="",G316=""),"",IF(G316="","Belum ditempatkan",IF(J316="","CEK ID FIXTURE tidak ada di DAFTAR_FIXTURE",IF(H316="","CEK ZONA NO kosong",IF(K316="zona tidak ada di layout","CEK ZONA NO di luar layout",IF(I316&lt;&gt;K316,"CEK JENIS ZONA",IF(A316="","Zona STOCK",IF(B316="","CEK SKU DESCRIPTION kosong","OK"))))))))</f>
        <v/>
      </c>
    </row>
    <row r="317">
      <c r="A317" s="10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2">
        <f>IF(G317="","",IFERROR(INDEX(DAFTAR_FIXTURE!$B$2:$B$51,MATCH(G317,DAFTAR_FIXTURE!$A$2:$A$51,0)),""))</f>
        <v/>
      </c>
      <c r="K317" s="12">
        <f>IF(OR(J317="",H317=""),"",IFERROR(INDEX(LAYOUT!$D$2:$D$34,MATCH(J317&amp;"|"&amp;H317,LAYOUT!$E$2:$E$34,0)),"zona tidak ada di layout"))</f>
        <v/>
      </c>
      <c r="L317" s="12">
        <f>IF(OR(G317="",A317=""),"",COUNTIFS($G$2:$G$500,G317,$H$2:$H$500,H317,$A$2:$A$500,"&lt;&gt;"))</f>
        <v/>
      </c>
      <c r="M317" s="12">
        <f>IF(AND(A317="",G317=""),"",IF(G317="","Belum ditempatkan",IF(J317="","CEK ID FIXTURE tidak ada di DAFTAR_FIXTURE",IF(H317="","CEK ZONA NO kosong",IF(K317="zona tidak ada di layout","CEK ZONA NO di luar layout",IF(I317&lt;&gt;K317,"CEK JENIS ZONA",IF(A317="","Zona STOCK",IF(B317="","CEK SKU DESCRIPTION kosong","OK"))))))))</f>
        <v/>
      </c>
    </row>
    <row r="318">
      <c r="A318" s="10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2">
        <f>IF(G318="","",IFERROR(INDEX(DAFTAR_FIXTURE!$B$2:$B$51,MATCH(G318,DAFTAR_FIXTURE!$A$2:$A$51,0)),""))</f>
        <v/>
      </c>
      <c r="K318" s="12">
        <f>IF(OR(J318="",H318=""),"",IFERROR(INDEX(LAYOUT!$D$2:$D$34,MATCH(J318&amp;"|"&amp;H318,LAYOUT!$E$2:$E$34,0)),"zona tidak ada di layout"))</f>
        <v/>
      </c>
      <c r="L318" s="12">
        <f>IF(OR(G318="",A318=""),"",COUNTIFS($G$2:$G$500,G318,$H$2:$H$500,H318,$A$2:$A$500,"&lt;&gt;"))</f>
        <v/>
      </c>
      <c r="M318" s="12">
        <f>IF(AND(A318="",G318=""),"",IF(G318="","Belum ditempatkan",IF(J318="","CEK ID FIXTURE tidak ada di DAFTAR_FIXTURE",IF(H318="","CEK ZONA NO kosong",IF(K318="zona tidak ada di layout","CEK ZONA NO di luar layout",IF(I318&lt;&gt;K318,"CEK JENIS ZONA",IF(A318="","Zona STOCK",IF(B318="","CEK SKU DESCRIPTION kosong","OK"))))))))</f>
        <v/>
      </c>
    </row>
    <row r="319">
      <c r="A319" s="10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2">
        <f>IF(G319="","",IFERROR(INDEX(DAFTAR_FIXTURE!$B$2:$B$51,MATCH(G319,DAFTAR_FIXTURE!$A$2:$A$51,0)),""))</f>
        <v/>
      </c>
      <c r="K319" s="12">
        <f>IF(OR(J319="",H319=""),"",IFERROR(INDEX(LAYOUT!$D$2:$D$34,MATCH(J319&amp;"|"&amp;H319,LAYOUT!$E$2:$E$34,0)),"zona tidak ada di layout"))</f>
        <v/>
      </c>
      <c r="L319" s="12">
        <f>IF(OR(G319="",A319=""),"",COUNTIFS($G$2:$G$500,G319,$H$2:$H$500,H319,$A$2:$A$500,"&lt;&gt;"))</f>
        <v/>
      </c>
      <c r="M319" s="12">
        <f>IF(AND(A319="",G319=""),"",IF(G319="","Belum ditempatkan",IF(J319="","CEK ID FIXTURE tidak ada di DAFTAR_FIXTURE",IF(H319="","CEK ZONA NO kosong",IF(K319="zona tidak ada di layout","CEK ZONA NO di luar layout",IF(I319&lt;&gt;K319,"CEK JENIS ZONA",IF(A319="","Zona STOCK",IF(B319="","CEK SKU DESCRIPTION kosong","OK"))))))))</f>
        <v/>
      </c>
    </row>
    <row r="320">
      <c r="A320" s="10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2">
        <f>IF(G320="","",IFERROR(INDEX(DAFTAR_FIXTURE!$B$2:$B$51,MATCH(G320,DAFTAR_FIXTURE!$A$2:$A$51,0)),""))</f>
        <v/>
      </c>
      <c r="K320" s="12">
        <f>IF(OR(J320="",H320=""),"",IFERROR(INDEX(LAYOUT!$D$2:$D$34,MATCH(J320&amp;"|"&amp;H320,LAYOUT!$E$2:$E$34,0)),"zona tidak ada di layout"))</f>
        <v/>
      </c>
      <c r="L320" s="12">
        <f>IF(OR(G320="",A320=""),"",COUNTIFS($G$2:$G$500,G320,$H$2:$H$500,H320,$A$2:$A$500,"&lt;&gt;"))</f>
        <v/>
      </c>
      <c r="M320" s="12">
        <f>IF(AND(A320="",G320=""),"",IF(G320="","Belum ditempatkan",IF(J320="","CEK ID FIXTURE tidak ada di DAFTAR_FIXTURE",IF(H320="","CEK ZONA NO kosong",IF(K320="zona tidak ada di layout","CEK ZONA NO di luar layout",IF(I320&lt;&gt;K320,"CEK JENIS ZONA",IF(A320="","Zona STOCK",IF(B320="","CEK SKU DESCRIPTION kosong","OK"))))))))</f>
        <v/>
      </c>
    </row>
    <row r="321">
      <c r="A321" s="10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2">
        <f>IF(G321="","",IFERROR(INDEX(DAFTAR_FIXTURE!$B$2:$B$51,MATCH(G321,DAFTAR_FIXTURE!$A$2:$A$51,0)),""))</f>
        <v/>
      </c>
      <c r="K321" s="12">
        <f>IF(OR(J321="",H321=""),"",IFERROR(INDEX(LAYOUT!$D$2:$D$34,MATCH(J321&amp;"|"&amp;H321,LAYOUT!$E$2:$E$34,0)),"zona tidak ada di layout"))</f>
        <v/>
      </c>
      <c r="L321" s="12">
        <f>IF(OR(G321="",A321=""),"",COUNTIFS($G$2:$G$500,G321,$H$2:$H$500,H321,$A$2:$A$500,"&lt;&gt;"))</f>
        <v/>
      </c>
      <c r="M321" s="12">
        <f>IF(AND(A321="",G321=""),"",IF(G321="","Belum ditempatkan",IF(J321="","CEK ID FIXTURE tidak ada di DAFTAR_FIXTURE",IF(H321="","CEK ZONA NO kosong",IF(K321="zona tidak ada di layout","CEK ZONA NO di luar layout",IF(I321&lt;&gt;K321,"CEK JENIS ZONA",IF(A321="","Zona STOCK",IF(B321="","CEK SKU DESCRIPTION kosong","OK"))))))))</f>
        <v/>
      </c>
    </row>
    <row r="322">
      <c r="A322" s="10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2">
        <f>IF(G322="","",IFERROR(INDEX(DAFTAR_FIXTURE!$B$2:$B$51,MATCH(G322,DAFTAR_FIXTURE!$A$2:$A$51,0)),""))</f>
        <v/>
      </c>
      <c r="K322" s="12">
        <f>IF(OR(J322="",H322=""),"",IFERROR(INDEX(LAYOUT!$D$2:$D$34,MATCH(J322&amp;"|"&amp;H322,LAYOUT!$E$2:$E$34,0)),"zona tidak ada di layout"))</f>
        <v/>
      </c>
      <c r="L322" s="12">
        <f>IF(OR(G322="",A322=""),"",COUNTIFS($G$2:$G$500,G322,$H$2:$H$500,H322,$A$2:$A$500,"&lt;&gt;"))</f>
        <v/>
      </c>
      <c r="M322" s="12">
        <f>IF(AND(A322="",G322=""),"",IF(G322="","Belum ditempatkan",IF(J322="","CEK ID FIXTURE tidak ada di DAFTAR_FIXTURE",IF(H322="","CEK ZONA NO kosong",IF(K322="zona tidak ada di layout","CEK ZONA NO di luar layout",IF(I322&lt;&gt;K322,"CEK JENIS ZONA",IF(A322="","Zona STOCK",IF(B322="","CEK SKU DESCRIPTION kosong","OK"))))))))</f>
        <v/>
      </c>
    </row>
    <row r="323">
      <c r="A323" s="10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2">
        <f>IF(G323="","",IFERROR(INDEX(DAFTAR_FIXTURE!$B$2:$B$51,MATCH(G323,DAFTAR_FIXTURE!$A$2:$A$51,0)),""))</f>
        <v/>
      </c>
      <c r="K323" s="12">
        <f>IF(OR(J323="",H323=""),"",IFERROR(INDEX(LAYOUT!$D$2:$D$34,MATCH(J323&amp;"|"&amp;H323,LAYOUT!$E$2:$E$34,0)),"zona tidak ada di layout"))</f>
        <v/>
      </c>
      <c r="L323" s="12">
        <f>IF(OR(G323="",A323=""),"",COUNTIFS($G$2:$G$500,G323,$H$2:$H$500,H323,$A$2:$A$500,"&lt;&gt;"))</f>
        <v/>
      </c>
      <c r="M323" s="12">
        <f>IF(AND(A323="",G323=""),"",IF(G323="","Belum ditempatkan",IF(J323="","CEK ID FIXTURE tidak ada di DAFTAR_FIXTURE",IF(H323="","CEK ZONA NO kosong",IF(K323="zona tidak ada di layout","CEK ZONA NO di luar layout",IF(I323&lt;&gt;K323,"CEK JENIS ZONA",IF(A323="","Zona STOCK",IF(B323="","CEK SKU DESCRIPTION kosong","OK"))))))))</f>
        <v/>
      </c>
    </row>
    <row r="324">
      <c r="A324" s="10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2">
        <f>IF(G324="","",IFERROR(INDEX(DAFTAR_FIXTURE!$B$2:$B$51,MATCH(G324,DAFTAR_FIXTURE!$A$2:$A$51,0)),""))</f>
        <v/>
      </c>
      <c r="K324" s="12">
        <f>IF(OR(J324="",H324=""),"",IFERROR(INDEX(LAYOUT!$D$2:$D$34,MATCH(J324&amp;"|"&amp;H324,LAYOUT!$E$2:$E$34,0)),"zona tidak ada di layout"))</f>
        <v/>
      </c>
      <c r="L324" s="12">
        <f>IF(OR(G324="",A324=""),"",COUNTIFS($G$2:$G$500,G324,$H$2:$H$500,H324,$A$2:$A$500,"&lt;&gt;"))</f>
        <v/>
      </c>
      <c r="M324" s="12">
        <f>IF(AND(A324="",G324=""),"",IF(G324="","Belum ditempatkan",IF(J324="","CEK ID FIXTURE tidak ada di DAFTAR_FIXTURE",IF(H324="","CEK ZONA NO kosong",IF(K324="zona tidak ada di layout","CEK ZONA NO di luar layout",IF(I324&lt;&gt;K324,"CEK JENIS ZONA",IF(A324="","Zona STOCK",IF(B324="","CEK SKU DESCRIPTION kosong","OK"))))))))</f>
        <v/>
      </c>
    </row>
    <row r="325">
      <c r="A325" s="10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2">
        <f>IF(G325="","",IFERROR(INDEX(DAFTAR_FIXTURE!$B$2:$B$51,MATCH(G325,DAFTAR_FIXTURE!$A$2:$A$51,0)),""))</f>
        <v/>
      </c>
      <c r="K325" s="12">
        <f>IF(OR(J325="",H325=""),"",IFERROR(INDEX(LAYOUT!$D$2:$D$34,MATCH(J325&amp;"|"&amp;H325,LAYOUT!$E$2:$E$34,0)),"zona tidak ada di layout"))</f>
        <v/>
      </c>
      <c r="L325" s="12">
        <f>IF(OR(G325="",A325=""),"",COUNTIFS($G$2:$G$500,G325,$H$2:$H$500,H325,$A$2:$A$500,"&lt;&gt;"))</f>
        <v/>
      </c>
      <c r="M325" s="12">
        <f>IF(AND(A325="",G325=""),"",IF(G325="","Belum ditempatkan",IF(J325="","CEK ID FIXTURE tidak ada di DAFTAR_FIXTURE",IF(H325="","CEK ZONA NO kosong",IF(K325="zona tidak ada di layout","CEK ZONA NO di luar layout",IF(I325&lt;&gt;K325,"CEK JENIS ZONA",IF(A325="","Zona STOCK",IF(B325="","CEK SKU DESCRIPTION kosong","OK"))))))))</f>
        <v/>
      </c>
    </row>
    <row r="326">
      <c r="A326" s="10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2">
        <f>IF(G326="","",IFERROR(INDEX(DAFTAR_FIXTURE!$B$2:$B$51,MATCH(G326,DAFTAR_FIXTURE!$A$2:$A$51,0)),""))</f>
        <v/>
      </c>
      <c r="K326" s="12">
        <f>IF(OR(J326="",H326=""),"",IFERROR(INDEX(LAYOUT!$D$2:$D$34,MATCH(J326&amp;"|"&amp;H326,LAYOUT!$E$2:$E$34,0)),"zona tidak ada di layout"))</f>
        <v/>
      </c>
      <c r="L326" s="12">
        <f>IF(OR(G326="",A326=""),"",COUNTIFS($G$2:$G$500,G326,$H$2:$H$500,H326,$A$2:$A$500,"&lt;&gt;"))</f>
        <v/>
      </c>
      <c r="M326" s="12">
        <f>IF(AND(A326="",G326=""),"",IF(G326="","Belum ditempatkan",IF(J326="","CEK ID FIXTURE tidak ada di DAFTAR_FIXTURE",IF(H326="","CEK ZONA NO kosong",IF(K326="zona tidak ada di layout","CEK ZONA NO di luar layout",IF(I326&lt;&gt;K326,"CEK JENIS ZONA",IF(A326="","Zona STOCK",IF(B326="","CEK SKU DESCRIPTION kosong","OK"))))))))</f>
        <v/>
      </c>
    </row>
    <row r="327">
      <c r="A327" s="10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2">
        <f>IF(G327="","",IFERROR(INDEX(DAFTAR_FIXTURE!$B$2:$B$51,MATCH(G327,DAFTAR_FIXTURE!$A$2:$A$51,0)),""))</f>
        <v/>
      </c>
      <c r="K327" s="12">
        <f>IF(OR(J327="",H327=""),"",IFERROR(INDEX(LAYOUT!$D$2:$D$34,MATCH(J327&amp;"|"&amp;H327,LAYOUT!$E$2:$E$34,0)),"zona tidak ada di layout"))</f>
        <v/>
      </c>
      <c r="L327" s="12">
        <f>IF(OR(G327="",A327=""),"",COUNTIFS($G$2:$G$500,G327,$H$2:$H$500,H327,$A$2:$A$500,"&lt;&gt;"))</f>
        <v/>
      </c>
      <c r="M327" s="12">
        <f>IF(AND(A327="",G327=""),"",IF(G327="","Belum ditempatkan",IF(J327="","CEK ID FIXTURE tidak ada di DAFTAR_FIXTURE",IF(H327="","CEK ZONA NO kosong",IF(K327="zona tidak ada di layout","CEK ZONA NO di luar layout",IF(I327&lt;&gt;K327,"CEK JENIS ZONA",IF(A327="","Zona STOCK",IF(B327="","CEK SKU DESCRIPTION kosong","OK"))))))))</f>
        <v/>
      </c>
    </row>
    <row r="328">
      <c r="A328" s="10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2">
        <f>IF(G328="","",IFERROR(INDEX(DAFTAR_FIXTURE!$B$2:$B$51,MATCH(G328,DAFTAR_FIXTURE!$A$2:$A$51,0)),""))</f>
        <v/>
      </c>
      <c r="K328" s="12">
        <f>IF(OR(J328="",H328=""),"",IFERROR(INDEX(LAYOUT!$D$2:$D$34,MATCH(J328&amp;"|"&amp;H328,LAYOUT!$E$2:$E$34,0)),"zona tidak ada di layout"))</f>
        <v/>
      </c>
      <c r="L328" s="12">
        <f>IF(OR(G328="",A328=""),"",COUNTIFS($G$2:$G$500,G328,$H$2:$H$500,H328,$A$2:$A$500,"&lt;&gt;"))</f>
        <v/>
      </c>
      <c r="M328" s="12">
        <f>IF(AND(A328="",G328=""),"",IF(G328="","Belum ditempatkan",IF(J328="","CEK ID FIXTURE tidak ada di DAFTAR_FIXTURE",IF(H328="","CEK ZONA NO kosong",IF(K328="zona tidak ada di layout","CEK ZONA NO di luar layout",IF(I328&lt;&gt;K328,"CEK JENIS ZONA",IF(A328="","Zona STOCK",IF(B328="","CEK SKU DESCRIPTION kosong","OK"))))))))</f>
        <v/>
      </c>
    </row>
    <row r="329">
      <c r="A329" s="10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2">
        <f>IF(G329="","",IFERROR(INDEX(DAFTAR_FIXTURE!$B$2:$B$51,MATCH(G329,DAFTAR_FIXTURE!$A$2:$A$51,0)),""))</f>
        <v/>
      </c>
      <c r="K329" s="12">
        <f>IF(OR(J329="",H329=""),"",IFERROR(INDEX(LAYOUT!$D$2:$D$34,MATCH(J329&amp;"|"&amp;H329,LAYOUT!$E$2:$E$34,0)),"zona tidak ada di layout"))</f>
        <v/>
      </c>
      <c r="L329" s="12">
        <f>IF(OR(G329="",A329=""),"",COUNTIFS($G$2:$G$500,G329,$H$2:$H$500,H329,$A$2:$A$500,"&lt;&gt;"))</f>
        <v/>
      </c>
      <c r="M329" s="12">
        <f>IF(AND(A329="",G329=""),"",IF(G329="","Belum ditempatkan",IF(J329="","CEK ID FIXTURE tidak ada di DAFTAR_FIXTURE",IF(H329="","CEK ZONA NO kosong",IF(K329="zona tidak ada di layout","CEK ZONA NO di luar layout",IF(I329&lt;&gt;K329,"CEK JENIS ZONA",IF(A329="","Zona STOCK",IF(B329="","CEK SKU DESCRIPTION kosong","OK"))))))))</f>
        <v/>
      </c>
    </row>
    <row r="330">
      <c r="A330" s="10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2">
        <f>IF(G330="","",IFERROR(INDEX(DAFTAR_FIXTURE!$B$2:$B$51,MATCH(G330,DAFTAR_FIXTURE!$A$2:$A$51,0)),""))</f>
        <v/>
      </c>
      <c r="K330" s="12">
        <f>IF(OR(J330="",H330=""),"",IFERROR(INDEX(LAYOUT!$D$2:$D$34,MATCH(J330&amp;"|"&amp;H330,LAYOUT!$E$2:$E$34,0)),"zona tidak ada di layout"))</f>
        <v/>
      </c>
      <c r="L330" s="12">
        <f>IF(OR(G330="",A330=""),"",COUNTIFS($G$2:$G$500,G330,$H$2:$H$500,H330,$A$2:$A$500,"&lt;&gt;"))</f>
        <v/>
      </c>
      <c r="M330" s="12">
        <f>IF(AND(A330="",G330=""),"",IF(G330="","Belum ditempatkan",IF(J330="","CEK ID FIXTURE tidak ada di DAFTAR_FIXTURE",IF(H330="","CEK ZONA NO kosong",IF(K330="zona tidak ada di layout","CEK ZONA NO di luar layout",IF(I330&lt;&gt;K330,"CEK JENIS ZONA",IF(A330="","Zona STOCK",IF(B330="","CEK SKU DESCRIPTION kosong","OK"))))))))</f>
        <v/>
      </c>
    </row>
    <row r="331">
      <c r="A331" s="10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2">
        <f>IF(G331="","",IFERROR(INDEX(DAFTAR_FIXTURE!$B$2:$B$51,MATCH(G331,DAFTAR_FIXTURE!$A$2:$A$51,0)),""))</f>
        <v/>
      </c>
      <c r="K331" s="12">
        <f>IF(OR(J331="",H331=""),"",IFERROR(INDEX(LAYOUT!$D$2:$D$34,MATCH(J331&amp;"|"&amp;H331,LAYOUT!$E$2:$E$34,0)),"zona tidak ada di layout"))</f>
        <v/>
      </c>
      <c r="L331" s="12">
        <f>IF(OR(G331="",A331=""),"",COUNTIFS($G$2:$G$500,G331,$H$2:$H$500,H331,$A$2:$A$500,"&lt;&gt;"))</f>
        <v/>
      </c>
      <c r="M331" s="12">
        <f>IF(AND(A331="",G331=""),"",IF(G331="","Belum ditempatkan",IF(J331="","CEK ID FIXTURE tidak ada di DAFTAR_FIXTURE",IF(H331="","CEK ZONA NO kosong",IF(K331="zona tidak ada di layout","CEK ZONA NO di luar layout",IF(I331&lt;&gt;K331,"CEK JENIS ZONA",IF(A331="","Zona STOCK",IF(B331="","CEK SKU DESCRIPTION kosong","OK"))))))))</f>
        <v/>
      </c>
    </row>
    <row r="332">
      <c r="A332" s="10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2">
        <f>IF(G332="","",IFERROR(INDEX(DAFTAR_FIXTURE!$B$2:$B$51,MATCH(G332,DAFTAR_FIXTURE!$A$2:$A$51,0)),""))</f>
        <v/>
      </c>
      <c r="K332" s="12">
        <f>IF(OR(J332="",H332=""),"",IFERROR(INDEX(LAYOUT!$D$2:$D$34,MATCH(J332&amp;"|"&amp;H332,LAYOUT!$E$2:$E$34,0)),"zona tidak ada di layout"))</f>
        <v/>
      </c>
      <c r="L332" s="12">
        <f>IF(OR(G332="",A332=""),"",COUNTIFS($G$2:$G$500,G332,$H$2:$H$500,H332,$A$2:$A$500,"&lt;&gt;"))</f>
        <v/>
      </c>
      <c r="M332" s="12">
        <f>IF(AND(A332="",G332=""),"",IF(G332="","Belum ditempatkan",IF(J332="","CEK ID FIXTURE tidak ada di DAFTAR_FIXTURE",IF(H332="","CEK ZONA NO kosong",IF(K332="zona tidak ada di layout","CEK ZONA NO di luar layout",IF(I332&lt;&gt;K332,"CEK JENIS ZONA",IF(A332="","Zona STOCK",IF(B332="","CEK SKU DESCRIPTION kosong","OK"))))))))</f>
        <v/>
      </c>
    </row>
    <row r="333">
      <c r="A333" s="10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2">
        <f>IF(G333="","",IFERROR(INDEX(DAFTAR_FIXTURE!$B$2:$B$51,MATCH(G333,DAFTAR_FIXTURE!$A$2:$A$51,0)),""))</f>
        <v/>
      </c>
      <c r="K333" s="12">
        <f>IF(OR(J333="",H333=""),"",IFERROR(INDEX(LAYOUT!$D$2:$D$34,MATCH(J333&amp;"|"&amp;H333,LAYOUT!$E$2:$E$34,0)),"zona tidak ada di layout"))</f>
        <v/>
      </c>
      <c r="L333" s="12">
        <f>IF(OR(G333="",A333=""),"",COUNTIFS($G$2:$G$500,G333,$H$2:$H$500,H333,$A$2:$A$500,"&lt;&gt;"))</f>
        <v/>
      </c>
      <c r="M333" s="12">
        <f>IF(AND(A333="",G333=""),"",IF(G333="","Belum ditempatkan",IF(J333="","CEK ID FIXTURE tidak ada di DAFTAR_FIXTURE",IF(H333="","CEK ZONA NO kosong",IF(K333="zona tidak ada di layout","CEK ZONA NO di luar layout",IF(I333&lt;&gt;K333,"CEK JENIS ZONA",IF(A333="","Zona STOCK",IF(B333="","CEK SKU DESCRIPTION kosong","OK"))))))))</f>
        <v/>
      </c>
    </row>
    <row r="334">
      <c r="A334" s="10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2">
        <f>IF(G334="","",IFERROR(INDEX(DAFTAR_FIXTURE!$B$2:$B$51,MATCH(G334,DAFTAR_FIXTURE!$A$2:$A$51,0)),""))</f>
        <v/>
      </c>
      <c r="K334" s="12">
        <f>IF(OR(J334="",H334=""),"",IFERROR(INDEX(LAYOUT!$D$2:$D$34,MATCH(J334&amp;"|"&amp;H334,LAYOUT!$E$2:$E$34,0)),"zona tidak ada di layout"))</f>
        <v/>
      </c>
      <c r="L334" s="12">
        <f>IF(OR(G334="",A334=""),"",COUNTIFS($G$2:$G$500,G334,$H$2:$H$500,H334,$A$2:$A$500,"&lt;&gt;"))</f>
        <v/>
      </c>
      <c r="M334" s="12">
        <f>IF(AND(A334="",G334=""),"",IF(G334="","Belum ditempatkan",IF(J334="","CEK ID FIXTURE tidak ada di DAFTAR_FIXTURE",IF(H334="","CEK ZONA NO kosong",IF(K334="zona tidak ada di layout","CEK ZONA NO di luar layout",IF(I334&lt;&gt;K334,"CEK JENIS ZONA",IF(A334="","Zona STOCK",IF(B334="","CEK SKU DESCRIPTION kosong","OK"))))))))</f>
        <v/>
      </c>
    </row>
    <row r="335">
      <c r="A335" s="10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2">
        <f>IF(G335="","",IFERROR(INDEX(DAFTAR_FIXTURE!$B$2:$B$51,MATCH(G335,DAFTAR_FIXTURE!$A$2:$A$51,0)),""))</f>
        <v/>
      </c>
      <c r="K335" s="12">
        <f>IF(OR(J335="",H335=""),"",IFERROR(INDEX(LAYOUT!$D$2:$D$34,MATCH(J335&amp;"|"&amp;H335,LAYOUT!$E$2:$E$34,0)),"zona tidak ada di layout"))</f>
        <v/>
      </c>
      <c r="L335" s="12">
        <f>IF(OR(G335="",A335=""),"",COUNTIFS($G$2:$G$500,G335,$H$2:$H$500,H335,$A$2:$A$500,"&lt;&gt;"))</f>
        <v/>
      </c>
      <c r="M335" s="12">
        <f>IF(AND(A335="",G335=""),"",IF(G335="","Belum ditempatkan",IF(J335="","CEK ID FIXTURE tidak ada di DAFTAR_FIXTURE",IF(H335="","CEK ZONA NO kosong",IF(K335="zona tidak ada di layout","CEK ZONA NO di luar layout",IF(I335&lt;&gt;K335,"CEK JENIS ZONA",IF(A335="","Zona STOCK",IF(B335="","CEK SKU DESCRIPTION kosong","OK"))))))))</f>
        <v/>
      </c>
    </row>
    <row r="336">
      <c r="A336" s="10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2">
        <f>IF(G336="","",IFERROR(INDEX(DAFTAR_FIXTURE!$B$2:$B$51,MATCH(G336,DAFTAR_FIXTURE!$A$2:$A$51,0)),""))</f>
        <v/>
      </c>
      <c r="K336" s="12">
        <f>IF(OR(J336="",H336=""),"",IFERROR(INDEX(LAYOUT!$D$2:$D$34,MATCH(J336&amp;"|"&amp;H336,LAYOUT!$E$2:$E$34,0)),"zona tidak ada di layout"))</f>
        <v/>
      </c>
      <c r="L336" s="12">
        <f>IF(OR(G336="",A336=""),"",COUNTIFS($G$2:$G$500,G336,$H$2:$H$500,H336,$A$2:$A$500,"&lt;&gt;"))</f>
        <v/>
      </c>
      <c r="M336" s="12">
        <f>IF(AND(A336="",G336=""),"",IF(G336="","Belum ditempatkan",IF(J336="","CEK ID FIXTURE tidak ada di DAFTAR_FIXTURE",IF(H336="","CEK ZONA NO kosong",IF(K336="zona tidak ada di layout","CEK ZONA NO di luar layout",IF(I336&lt;&gt;K336,"CEK JENIS ZONA",IF(A336="","Zona STOCK",IF(B336="","CEK SKU DESCRIPTION kosong","OK"))))))))</f>
        <v/>
      </c>
    </row>
    <row r="337">
      <c r="A337" s="10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2">
        <f>IF(G337="","",IFERROR(INDEX(DAFTAR_FIXTURE!$B$2:$B$51,MATCH(G337,DAFTAR_FIXTURE!$A$2:$A$51,0)),""))</f>
        <v/>
      </c>
      <c r="K337" s="12">
        <f>IF(OR(J337="",H337=""),"",IFERROR(INDEX(LAYOUT!$D$2:$D$34,MATCH(J337&amp;"|"&amp;H337,LAYOUT!$E$2:$E$34,0)),"zona tidak ada di layout"))</f>
        <v/>
      </c>
      <c r="L337" s="12">
        <f>IF(OR(G337="",A337=""),"",COUNTIFS($G$2:$G$500,G337,$H$2:$H$500,H337,$A$2:$A$500,"&lt;&gt;"))</f>
        <v/>
      </c>
      <c r="M337" s="12">
        <f>IF(AND(A337="",G337=""),"",IF(G337="","Belum ditempatkan",IF(J337="","CEK ID FIXTURE tidak ada di DAFTAR_FIXTURE",IF(H337="","CEK ZONA NO kosong",IF(K337="zona tidak ada di layout","CEK ZONA NO di luar layout",IF(I337&lt;&gt;K337,"CEK JENIS ZONA",IF(A337="","Zona STOCK",IF(B337="","CEK SKU DESCRIPTION kosong","OK"))))))))</f>
        <v/>
      </c>
    </row>
    <row r="338">
      <c r="A338" s="10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2">
        <f>IF(G338="","",IFERROR(INDEX(DAFTAR_FIXTURE!$B$2:$B$51,MATCH(G338,DAFTAR_FIXTURE!$A$2:$A$51,0)),""))</f>
        <v/>
      </c>
      <c r="K338" s="12">
        <f>IF(OR(J338="",H338=""),"",IFERROR(INDEX(LAYOUT!$D$2:$D$34,MATCH(J338&amp;"|"&amp;H338,LAYOUT!$E$2:$E$34,0)),"zona tidak ada di layout"))</f>
        <v/>
      </c>
      <c r="L338" s="12">
        <f>IF(OR(G338="",A338=""),"",COUNTIFS($G$2:$G$500,G338,$H$2:$H$500,H338,$A$2:$A$500,"&lt;&gt;"))</f>
        <v/>
      </c>
      <c r="M338" s="12">
        <f>IF(AND(A338="",G338=""),"",IF(G338="","Belum ditempatkan",IF(J338="","CEK ID FIXTURE tidak ada di DAFTAR_FIXTURE",IF(H338="","CEK ZONA NO kosong",IF(K338="zona tidak ada di layout","CEK ZONA NO di luar layout",IF(I338&lt;&gt;K338,"CEK JENIS ZONA",IF(A338="","Zona STOCK",IF(B338="","CEK SKU DESCRIPTION kosong","OK"))))))))</f>
        <v/>
      </c>
    </row>
    <row r="339">
      <c r="A339" s="10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2">
        <f>IF(G339="","",IFERROR(INDEX(DAFTAR_FIXTURE!$B$2:$B$51,MATCH(G339,DAFTAR_FIXTURE!$A$2:$A$51,0)),""))</f>
        <v/>
      </c>
      <c r="K339" s="12">
        <f>IF(OR(J339="",H339=""),"",IFERROR(INDEX(LAYOUT!$D$2:$D$34,MATCH(J339&amp;"|"&amp;H339,LAYOUT!$E$2:$E$34,0)),"zona tidak ada di layout"))</f>
        <v/>
      </c>
      <c r="L339" s="12">
        <f>IF(OR(G339="",A339=""),"",COUNTIFS($G$2:$G$500,G339,$H$2:$H$500,H339,$A$2:$A$500,"&lt;&gt;"))</f>
        <v/>
      </c>
      <c r="M339" s="12">
        <f>IF(AND(A339="",G339=""),"",IF(G339="","Belum ditempatkan",IF(J339="","CEK ID FIXTURE tidak ada di DAFTAR_FIXTURE",IF(H339="","CEK ZONA NO kosong",IF(K339="zona tidak ada di layout","CEK ZONA NO di luar layout",IF(I339&lt;&gt;K339,"CEK JENIS ZONA",IF(A339="","Zona STOCK",IF(B339="","CEK SKU DESCRIPTION kosong","OK"))))))))</f>
        <v/>
      </c>
    </row>
    <row r="340">
      <c r="A340" s="10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2">
        <f>IF(G340="","",IFERROR(INDEX(DAFTAR_FIXTURE!$B$2:$B$51,MATCH(G340,DAFTAR_FIXTURE!$A$2:$A$51,0)),""))</f>
        <v/>
      </c>
      <c r="K340" s="12">
        <f>IF(OR(J340="",H340=""),"",IFERROR(INDEX(LAYOUT!$D$2:$D$34,MATCH(J340&amp;"|"&amp;H340,LAYOUT!$E$2:$E$34,0)),"zona tidak ada di layout"))</f>
        <v/>
      </c>
      <c r="L340" s="12">
        <f>IF(OR(G340="",A340=""),"",COUNTIFS($G$2:$G$500,G340,$H$2:$H$500,H340,$A$2:$A$500,"&lt;&gt;"))</f>
        <v/>
      </c>
      <c r="M340" s="12">
        <f>IF(AND(A340="",G340=""),"",IF(G340="","Belum ditempatkan",IF(J340="","CEK ID FIXTURE tidak ada di DAFTAR_FIXTURE",IF(H340="","CEK ZONA NO kosong",IF(K340="zona tidak ada di layout","CEK ZONA NO di luar layout",IF(I340&lt;&gt;K340,"CEK JENIS ZONA",IF(A340="","Zona STOCK",IF(B340="","CEK SKU DESCRIPTION kosong","OK"))))))))</f>
        <v/>
      </c>
    </row>
    <row r="341">
      <c r="A341" s="10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2">
        <f>IF(G341="","",IFERROR(INDEX(DAFTAR_FIXTURE!$B$2:$B$51,MATCH(G341,DAFTAR_FIXTURE!$A$2:$A$51,0)),""))</f>
        <v/>
      </c>
      <c r="K341" s="12">
        <f>IF(OR(J341="",H341=""),"",IFERROR(INDEX(LAYOUT!$D$2:$D$34,MATCH(J341&amp;"|"&amp;H341,LAYOUT!$E$2:$E$34,0)),"zona tidak ada di layout"))</f>
        <v/>
      </c>
      <c r="L341" s="12">
        <f>IF(OR(G341="",A341=""),"",COUNTIFS($G$2:$G$500,G341,$H$2:$H$500,H341,$A$2:$A$500,"&lt;&gt;"))</f>
        <v/>
      </c>
      <c r="M341" s="12">
        <f>IF(AND(A341="",G341=""),"",IF(G341="","Belum ditempatkan",IF(J341="","CEK ID FIXTURE tidak ada di DAFTAR_FIXTURE",IF(H341="","CEK ZONA NO kosong",IF(K341="zona tidak ada di layout","CEK ZONA NO di luar layout",IF(I341&lt;&gt;K341,"CEK JENIS ZONA",IF(A341="","Zona STOCK",IF(B341="","CEK SKU DESCRIPTION kosong","OK"))))))))</f>
        <v/>
      </c>
    </row>
    <row r="342">
      <c r="A342" s="10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2">
        <f>IF(G342="","",IFERROR(INDEX(DAFTAR_FIXTURE!$B$2:$B$51,MATCH(G342,DAFTAR_FIXTURE!$A$2:$A$51,0)),""))</f>
        <v/>
      </c>
      <c r="K342" s="12">
        <f>IF(OR(J342="",H342=""),"",IFERROR(INDEX(LAYOUT!$D$2:$D$34,MATCH(J342&amp;"|"&amp;H342,LAYOUT!$E$2:$E$34,0)),"zona tidak ada di layout"))</f>
        <v/>
      </c>
      <c r="L342" s="12">
        <f>IF(OR(G342="",A342=""),"",COUNTIFS($G$2:$G$500,G342,$H$2:$H$500,H342,$A$2:$A$500,"&lt;&gt;"))</f>
        <v/>
      </c>
      <c r="M342" s="12">
        <f>IF(AND(A342="",G342=""),"",IF(G342="","Belum ditempatkan",IF(J342="","CEK ID FIXTURE tidak ada di DAFTAR_FIXTURE",IF(H342="","CEK ZONA NO kosong",IF(K342="zona tidak ada di layout","CEK ZONA NO di luar layout",IF(I342&lt;&gt;K342,"CEK JENIS ZONA",IF(A342="","Zona STOCK",IF(B342="","CEK SKU DESCRIPTION kosong","OK"))))))))</f>
        <v/>
      </c>
    </row>
    <row r="343">
      <c r="A343" s="10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2">
        <f>IF(G343="","",IFERROR(INDEX(DAFTAR_FIXTURE!$B$2:$B$51,MATCH(G343,DAFTAR_FIXTURE!$A$2:$A$51,0)),""))</f>
        <v/>
      </c>
      <c r="K343" s="12">
        <f>IF(OR(J343="",H343=""),"",IFERROR(INDEX(LAYOUT!$D$2:$D$34,MATCH(J343&amp;"|"&amp;H343,LAYOUT!$E$2:$E$34,0)),"zona tidak ada di layout"))</f>
        <v/>
      </c>
      <c r="L343" s="12">
        <f>IF(OR(G343="",A343=""),"",COUNTIFS($G$2:$G$500,G343,$H$2:$H$500,H343,$A$2:$A$500,"&lt;&gt;"))</f>
        <v/>
      </c>
      <c r="M343" s="12">
        <f>IF(AND(A343="",G343=""),"",IF(G343="","Belum ditempatkan",IF(J343="","CEK ID FIXTURE tidak ada di DAFTAR_FIXTURE",IF(H343="","CEK ZONA NO kosong",IF(K343="zona tidak ada di layout","CEK ZONA NO di luar layout",IF(I343&lt;&gt;K343,"CEK JENIS ZONA",IF(A343="","Zona STOCK",IF(B343="","CEK SKU DESCRIPTION kosong","OK"))))))))</f>
        <v/>
      </c>
    </row>
    <row r="344">
      <c r="A344" s="10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2">
        <f>IF(G344="","",IFERROR(INDEX(DAFTAR_FIXTURE!$B$2:$B$51,MATCH(G344,DAFTAR_FIXTURE!$A$2:$A$51,0)),""))</f>
        <v/>
      </c>
      <c r="K344" s="12">
        <f>IF(OR(J344="",H344=""),"",IFERROR(INDEX(LAYOUT!$D$2:$D$34,MATCH(J344&amp;"|"&amp;H344,LAYOUT!$E$2:$E$34,0)),"zona tidak ada di layout"))</f>
        <v/>
      </c>
      <c r="L344" s="12">
        <f>IF(OR(G344="",A344=""),"",COUNTIFS($G$2:$G$500,G344,$H$2:$H$500,H344,$A$2:$A$500,"&lt;&gt;"))</f>
        <v/>
      </c>
      <c r="M344" s="12">
        <f>IF(AND(A344="",G344=""),"",IF(G344="","Belum ditempatkan",IF(J344="","CEK ID FIXTURE tidak ada di DAFTAR_FIXTURE",IF(H344="","CEK ZONA NO kosong",IF(K344="zona tidak ada di layout","CEK ZONA NO di luar layout",IF(I344&lt;&gt;K344,"CEK JENIS ZONA",IF(A344="","Zona STOCK",IF(B344="","CEK SKU DESCRIPTION kosong","OK"))))))))</f>
        <v/>
      </c>
    </row>
    <row r="345">
      <c r="A345" s="10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2">
        <f>IF(G345="","",IFERROR(INDEX(DAFTAR_FIXTURE!$B$2:$B$51,MATCH(G345,DAFTAR_FIXTURE!$A$2:$A$51,0)),""))</f>
        <v/>
      </c>
      <c r="K345" s="12">
        <f>IF(OR(J345="",H345=""),"",IFERROR(INDEX(LAYOUT!$D$2:$D$34,MATCH(J345&amp;"|"&amp;H345,LAYOUT!$E$2:$E$34,0)),"zona tidak ada di layout"))</f>
        <v/>
      </c>
      <c r="L345" s="12">
        <f>IF(OR(G345="",A345=""),"",COUNTIFS($G$2:$G$500,G345,$H$2:$H$500,H345,$A$2:$A$500,"&lt;&gt;"))</f>
        <v/>
      </c>
      <c r="M345" s="12">
        <f>IF(AND(A345="",G345=""),"",IF(G345="","Belum ditempatkan",IF(J345="","CEK ID FIXTURE tidak ada di DAFTAR_FIXTURE",IF(H345="","CEK ZONA NO kosong",IF(K345="zona tidak ada di layout","CEK ZONA NO di luar layout",IF(I345&lt;&gt;K345,"CEK JENIS ZONA",IF(A345="","Zona STOCK",IF(B345="","CEK SKU DESCRIPTION kosong","OK"))))))))</f>
        <v/>
      </c>
    </row>
    <row r="346">
      <c r="A346" s="10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2">
        <f>IF(G346="","",IFERROR(INDEX(DAFTAR_FIXTURE!$B$2:$B$51,MATCH(G346,DAFTAR_FIXTURE!$A$2:$A$51,0)),""))</f>
        <v/>
      </c>
      <c r="K346" s="12">
        <f>IF(OR(J346="",H346=""),"",IFERROR(INDEX(LAYOUT!$D$2:$D$34,MATCH(J346&amp;"|"&amp;H346,LAYOUT!$E$2:$E$34,0)),"zona tidak ada di layout"))</f>
        <v/>
      </c>
      <c r="L346" s="12">
        <f>IF(OR(G346="",A346=""),"",COUNTIFS($G$2:$G$500,G346,$H$2:$H$500,H346,$A$2:$A$500,"&lt;&gt;"))</f>
        <v/>
      </c>
      <c r="M346" s="12">
        <f>IF(AND(A346="",G346=""),"",IF(G346="","Belum ditempatkan",IF(J346="","CEK ID FIXTURE tidak ada di DAFTAR_FIXTURE",IF(H346="","CEK ZONA NO kosong",IF(K346="zona tidak ada di layout","CEK ZONA NO di luar layout",IF(I346&lt;&gt;K346,"CEK JENIS ZONA",IF(A346="","Zona STOCK",IF(B346="","CEK SKU DESCRIPTION kosong","OK"))))))))</f>
        <v/>
      </c>
    </row>
    <row r="347">
      <c r="A347" s="10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2">
        <f>IF(G347="","",IFERROR(INDEX(DAFTAR_FIXTURE!$B$2:$B$51,MATCH(G347,DAFTAR_FIXTURE!$A$2:$A$51,0)),""))</f>
        <v/>
      </c>
      <c r="K347" s="12">
        <f>IF(OR(J347="",H347=""),"",IFERROR(INDEX(LAYOUT!$D$2:$D$34,MATCH(J347&amp;"|"&amp;H347,LAYOUT!$E$2:$E$34,0)),"zona tidak ada di layout"))</f>
        <v/>
      </c>
      <c r="L347" s="12">
        <f>IF(OR(G347="",A347=""),"",COUNTIFS($G$2:$G$500,G347,$H$2:$H$500,H347,$A$2:$A$500,"&lt;&gt;"))</f>
        <v/>
      </c>
      <c r="M347" s="12">
        <f>IF(AND(A347="",G347=""),"",IF(G347="","Belum ditempatkan",IF(J347="","CEK ID FIXTURE tidak ada di DAFTAR_FIXTURE",IF(H347="","CEK ZONA NO kosong",IF(K347="zona tidak ada di layout","CEK ZONA NO di luar layout",IF(I347&lt;&gt;K347,"CEK JENIS ZONA",IF(A347="","Zona STOCK",IF(B347="","CEK SKU DESCRIPTION kosong","OK"))))))))</f>
        <v/>
      </c>
    </row>
    <row r="348">
      <c r="A348" s="10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2">
        <f>IF(G348="","",IFERROR(INDEX(DAFTAR_FIXTURE!$B$2:$B$51,MATCH(G348,DAFTAR_FIXTURE!$A$2:$A$51,0)),""))</f>
        <v/>
      </c>
      <c r="K348" s="12">
        <f>IF(OR(J348="",H348=""),"",IFERROR(INDEX(LAYOUT!$D$2:$D$34,MATCH(J348&amp;"|"&amp;H348,LAYOUT!$E$2:$E$34,0)),"zona tidak ada di layout"))</f>
        <v/>
      </c>
      <c r="L348" s="12">
        <f>IF(OR(G348="",A348=""),"",COUNTIFS($G$2:$G$500,G348,$H$2:$H$500,H348,$A$2:$A$500,"&lt;&gt;"))</f>
        <v/>
      </c>
      <c r="M348" s="12">
        <f>IF(AND(A348="",G348=""),"",IF(G348="","Belum ditempatkan",IF(J348="","CEK ID FIXTURE tidak ada di DAFTAR_FIXTURE",IF(H348="","CEK ZONA NO kosong",IF(K348="zona tidak ada di layout","CEK ZONA NO di luar layout",IF(I348&lt;&gt;K348,"CEK JENIS ZONA",IF(A348="","Zona STOCK",IF(B348="","CEK SKU DESCRIPTION kosong","OK"))))))))</f>
        <v/>
      </c>
    </row>
    <row r="349">
      <c r="A349" s="10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2">
        <f>IF(G349="","",IFERROR(INDEX(DAFTAR_FIXTURE!$B$2:$B$51,MATCH(G349,DAFTAR_FIXTURE!$A$2:$A$51,0)),""))</f>
        <v/>
      </c>
      <c r="K349" s="12">
        <f>IF(OR(J349="",H349=""),"",IFERROR(INDEX(LAYOUT!$D$2:$D$34,MATCH(J349&amp;"|"&amp;H349,LAYOUT!$E$2:$E$34,0)),"zona tidak ada di layout"))</f>
        <v/>
      </c>
      <c r="L349" s="12">
        <f>IF(OR(G349="",A349=""),"",COUNTIFS($G$2:$G$500,G349,$H$2:$H$500,H349,$A$2:$A$500,"&lt;&gt;"))</f>
        <v/>
      </c>
      <c r="M349" s="12">
        <f>IF(AND(A349="",G349=""),"",IF(G349="","Belum ditempatkan",IF(J349="","CEK ID FIXTURE tidak ada di DAFTAR_FIXTURE",IF(H349="","CEK ZONA NO kosong",IF(K349="zona tidak ada di layout","CEK ZONA NO di luar layout",IF(I349&lt;&gt;K349,"CEK JENIS ZONA",IF(A349="","Zona STOCK",IF(B349="","CEK SKU DESCRIPTION kosong","OK"))))))))</f>
        <v/>
      </c>
    </row>
    <row r="350">
      <c r="A350" s="10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2">
        <f>IF(G350="","",IFERROR(INDEX(DAFTAR_FIXTURE!$B$2:$B$51,MATCH(G350,DAFTAR_FIXTURE!$A$2:$A$51,0)),""))</f>
        <v/>
      </c>
      <c r="K350" s="12">
        <f>IF(OR(J350="",H350=""),"",IFERROR(INDEX(LAYOUT!$D$2:$D$34,MATCH(J350&amp;"|"&amp;H350,LAYOUT!$E$2:$E$34,0)),"zona tidak ada di layout"))</f>
        <v/>
      </c>
      <c r="L350" s="12">
        <f>IF(OR(G350="",A350=""),"",COUNTIFS($G$2:$G$500,G350,$H$2:$H$500,H350,$A$2:$A$500,"&lt;&gt;"))</f>
        <v/>
      </c>
      <c r="M350" s="12">
        <f>IF(AND(A350="",G350=""),"",IF(G350="","Belum ditempatkan",IF(J350="","CEK ID FIXTURE tidak ada di DAFTAR_FIXTURE",IF(H350="","CEK ZONA NO kosong",IF(K350="zona tidak ada di layout","CEK ZONA NO di luar layout",IF(I350&lt;&gt;K350,"CEK JENIS ZONA",IF(A350="","Zona STOCK",IF(B350="","CEK SKU DESCRIPTION kosong","OK"))))))))</f>
        <v/>
      </c>
    </row>
    <row r="351">
      <c r="A351" s="10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2">
        <f>IF(G351="","",IFERROR(INDEX(DAFTAR_FIXTURE!$B$2:$B$51,MATCH(G351,DAFTAR_FIXTURE!$A$2:$A$51,0)),""))</f>
        <v/>
      </c>
      <c r="K351" s="12">
        <f>IF(OR(J351="",H351=""),"",IFERROR(INDEX(LAYOUT!$D$2:$D$34,MATCH(J351&amp;"|"&amp;H351,LAYOUT!$E$2:$E$34,0)),"zona tidak ada di layout"))</f>
        <v/>
      </c>
      <c r="L351" s="12">
        <f>IF(OR(G351="",A351=""),"",COUNTIFS($G$2:$G$500,G351,$H$2:$H$500,H351,$A$2:$A$500,"&lt;&gt;"))</f>
        <v/>
      </c>
      <c r="M351" s="12">
        <f>IF(AND(A351="",G351=""),"",IF(G351="","Belum ditempatkan",IF(J351="","CEK ID FIXTURE tidak ada di DAFTAR_FIXTURE",IF(H351="","CEK ZONA NO kosong",IF(K351="zona tidak ada di layout","CEK ZONA NO di luar layout",IF(I351&lt;&gt;K351,"CEK JENIS ZONA",IF(A351="","Zona STOCK",IF(B351="","CEK SKU DESCRIPTION kosong","OK"))))))))</f>
        <v/>
      </c>
    </row>
    <row r="352">
      <c r="A352" s="10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2">
        <f>IF(G352="","",IFERROR(INDEX(DAFTAR_FIXTURE!$B$2:$B$51,MATCH(G352,DAFTAR_FIXTURE!$A$2:$A$51,0)),""))</f>
        <v/>
      </c>
      <c r="K352" s="12">
        <f>IF(OR(J352="",H352=""),"",IFERROR(INDEX(LAYOUT!$D$2:$D$34,MATCH(J352&amp;"|"&amp;H352,LAYOUT!$E$2:$E$34,0)),"zona tidak ada di layout"))</f>
        <v/>
      </c>
      <c r="L352" s="12">
        <f>IF(OR(G352="",A352=""),"",COUNTIFS($G$2:$G$500,G352,$H$2:$H$500,H352,$A$2:$A$500,"&lt;&gt;"))</f>
        <v/>
      </c>
      <c r="M352" s="12">
        <f>IF(AND(A352="",G352=""),"",IF(G352="","Belum ditempatkan",IF(J352="","CEK ID FIXTURE tidak ada di DAFTAR_FIXTURE",IF(H352="","CEK ZONA NO kosong",IF(K352="zona tidak ada di layout","CEK ZONA NO di luar layout",IF(I352&lt;&gt;K352,"CEK JENIS ZONA",IF(A352="","Zona STOCK",IF(B352="","CEK SKU DESCRIPTION kosong","OK"))))))))</f>
        <v/>
      </c>
    </row>
    <row r="353">
      <c r="A353" s="10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2">
        <f>IF(G353="","",IFERROR(INDEX(DAFTAR_FIXTURE!$B$2:$B$51,MATCH(G353,DAFTAR_FIXTURE!$A$2:$A$51,0)),""))</f>
        <v/>
      </c>
      <c r="K353" s="12">
        <f>IF(OR(J353="",H353=""),"",IFERROR(INDEX(LAYOUT!$D$2:$D$34,MATCH(J353&amp;"|"&amp;H353,LAYOUT!$E$2:$E$34,0)),"zona tidak ada di layout"))</f>
        <v/>
      </c>
      <c r="L353" s="12">
        <f>IF(OR(G353="",A353=""),"",COUNTIFS($G$2:$G$500,G353,$H$2:$H$500,H353,$A$2:$A$500,"&lt;&gt;"))</f>
        <v/>
      </c>
      <c r="M353" s="12">
        <f>IF(AND(A353="",G353=""),"",IF(G353="","Belum ditempatkan",IF(J353="","CEK ID FIXTURE tidak ada di DAFTAR_FIXTURE",IF(H353="","CEK ZONA NO kosong",IF(K353="zona tidak ada di layout","CEK ZONA NO di luar layout",IF(I353&lt;&gt;K353,"CEK JENIS ZONA",IF(A353="","Zona STOCK",IF(B353="","CEK SKU DESCRIPTION kosong","OK"))))))))</f>
        <v/>
      </c>
    </row>
    <row r="354">
      <c r="A354" s="10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2">
        <f>IF(G354="","",IFERROR(INDEX(DAFTAR_FIXTURE!$B$2:$B$51,MATCH(G354,DAFTAR_FIXTURE!$A$2:$A$51,0)),""))</f>
        <v/>
      </c>
      <c r="K354" s="12">
        <f>IF(OR(J354="",H354=""),"",IFERROR(INDEX(LAYOUT!$D$2:$D$34,MATCH(J354&amp;"|"&amp;H354,LAYOUT!$E$2:$E$34,0)),"zona tidak ada di layout"))</f>
        <v/>
      </c>
      <c r="L354" s="12">
        <f>IF(OR(G354="",A354=""),"",COUNTIFS($G$2:$G$500,G354,$H$2:$H$500,H354,$A$2:$A$500,"&lt;&gt;"))</f>
        <v/>
      </c>
      <c r="M354" s="12">
        <f>IF(AND(A354="",G354=""),"",IF(G354="","Belum ditempatkan",IF(J354="","CEK ID FIXTURE tidak ada di DAFTAR_FIXTURE",IF(H354="","CEK ZONA NO kosong",IF(K354="zona tidak ada di layout","CEK ZONA NO di luar layout",IF(I354&lt;&gt;K354,"CEK JENIS ZONA",IF(A354="","Zona STOCK",IF(B354="","CEK SKU DESCRIPTION kosong","OK"))))))))</f>
        <v/>
      </c>
    </row>
    <row r="355">
      <c r="A355" s="10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2">
        <f>IF(G355="","",IFERROR(INDEX(DAFTAR_FIXTURE!$B$2:$B$51,MATCH(G355,DAFTAR_FIXTURE!$A$2:$A$51,0)),""))</f>
        <v/>
      </c>
      <c r="K355" s="12">
        <f>IF(OR(J355="",H355=""),"",IFERROR(INDEX(LAYOUT!$D$2:$D$34,MATCH(J355&amp;"|"&amp;H355,LAYOUT!$E$2:$E$34,0)),"zona tidak ada di layout"))</f>
        <v/>
      </c>
      <c r="L355" s="12">
        <f>IF(OR(G355="",A355=""),"",COUNTIFS($G$2:$G$500,G355,$H$2:$H$500,H355,$A$2:$A$500,"&lt;&gt;"))</f>
        <v/>
      </c>
      <c r="M355" s="12">
        <f>IF(AND(A355="",G355=""),"",IF(G355="","Belum ditempatkan",IF(J355="","CEK ID FIXTURE tidak ada di DAFTAR_FIXTURE",IF(H355="","CEK ZONA NO kosong",IF(K355="zona tidak ada di layout","CEK ZONA NO di luar layout",IF(I355&lt;&gt;K355,"CEK JENIS ZONA",IF(A355="","Zona STOCK",IF(B355="","CEK SKU DESCRIPTION kosong","OK"))))))))</f>
        <v/>
      </c>
    </row>
    <row r="356">
      <c r="A356" s="10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2">
        <f>IF(G356="","",IFERROR(INDEX(DAFTAR_FIXTURE!$B$2:$B$51,MATCH(G356,DAFTAR_FIXTURE!$A$2:$A$51,0)),""))</f>
        <v/>
      </c>
      <c r="K356" s="12">
        <f>IF(OR(J356="",H356=""),"",IFERROR(INDEX(LAYOUT!$D$2:$D$34,MATCH(J356&amp;"|"&amp;H356,LAYOUT!$E$2:$E$34,0)),"zona tidak ada di layout"))</f>
        <v/>
      </c>
      <c r="L356" s="12">
        <f>IF(OR(G356="",A356=""),"",COUNTIFS($G$2:$G$500,G356,$H$2:$H$500,H356,$A$2:$A$500,"&lt;&gt;"))</f>
        <v/>
      </c>
      <c r="M356" s="12">
        <f>IF(AND(A356="",G356=""),"",IF(G356="","Belum ditempatkan",IF(J356="","CEK ID FIXTURE tidak ada di DAFTAR_FIXTURE",IF(H356="","CEK ZONA NO kosong",IF(K356="zona tidak ada di layout","CEK ZONA NO di luar layout",IF(I356&lt;&gt;K356,"CEK JENIS ZONA",IF(A356="","Zona STOCK",IF(B356="","CEK SKU DESCRIPTION kosong","OK"))))))))</f>
        <v/>
      </c>
    </row>
    <row r="357">
      <c r="A357" s="10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2">
        <f>IF(G357="","",IFERROR(INDEX(DAFTAR_FIXTURE!$B$2:$B$51,MATCH(G357,DAFTAR_FIXTURE!$A$2:$A$51,0)),""))</f>
        <v/>
      </c>
      <c r="K357" s="12">
        <f>IF(OR(J357="",H357=""),"",IFERROR(INDEX(LAYOUT!$D$2:$D$34,MATCH(J357&amp;"|"&amp;H357,LAYOUT!$E$2:$E$34,0)),"zona tidak ada di layout"))</f>
        <v/>
      </c>
      <c r="L357" s="12">
        <f>IF(OR(G357="",A357=""),"",COUNTIFS($G$2:$G$500,G357,$H$2:$H$500,H357,$A$2:$A$500,"&lt;&gt;"))</f>
        <v/>
      </c>
      <c r="M357" s="12">
        <f>IF(AND(A357="",G357=""),"",IF(G357="","Belum ditempatkan",IF(J357="","CEK ID FIXTURE tidak ada di DAFTAR_FIXTURE",IF(H357="","CEK ZONA NO kosong",IF(K357="zona tidak ada di layout","CEK ZONA NO di luar layout",IF(I357&lt;&gt;K357,"CEK JENIS ZONA",IF(A357="","Zona STOCK",IF(B357="","CEK SKU DESCRIPTION kosong","OK"))))))))</f>
        <v/>
      </c>
    </row>
    <row r="358">
      <c r="A358" s="10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2">
        <f>IF(G358="","",IFERROR(INDEX(DAFTAR_FIXTURE!$B$2:$B$51,MATCH(G358,DAFTAR_FIXTURE!$A$2:$A$51,0)),""))</f>
        <v/>
      </c>
      <c r="K358" s="12">
        <f>IF(OR(J358="",H358=""),"",IFERROR(INDEX(LAYOUT!$D$2:$D$34,MATCH(J358&amp;"|"&amp;H358,LAYOUT!$E$2:$E$34,0)),"zona tidak ada di layout"))</f>
        <v/>
      </c>
      <c r="L358" s="12">
        <f>IF(OR(G358="",A358=""),"",COUNTIFS($G$2:$G$500,G358,$H$2:$H$500,H358,$A$2:$A$500,"&lt;&gt;"))</f>
        <v/>
      </c>
      <c r="M358" s="12">
        <f>IF(AND(A358="",G358=""),"",IF(G358="","Belum ditempatkan",IF(J358="","CEK ID FIXTURE tidak ada di DAFTAR_FIXTURE",IF(H358="","CEK ZONA NO kosong",IF(K358="zona tidak ada di layout","CEK ZONA NO di luar layout",IF(I358&lt;&gt;K358,"CEK JENIS ZONA",IF(A358="","Zona STOCK",IF(B358="","CEK SKU DESCRIPTION kosong","OK"))))))))</f>
        <v/>
      </c>
    </row>
    <row r="359">
      <c r="A359" s="10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2">
        <f>IF(G359="","",IFERROR(INDEX(DAFTAR_FIXTURE!$B$2:$B$51,MATCH(G359,DAFTAR_FIXTURE!$A$2:$A$51,0)),""))</f>
        <v/>
      </c>
      <c r="K359" s="12">
        <f>IF(OR(J359="",H359=""),"",IFERROR(INDEX(LAYOUT!$D$2:$D$34,MATCH(J359&amp;"|"&amp;H359,LAYOUT!$E$2:$E$34,0)),"zona tidak ada di layout"))</f>
        <v/>
      </c>
      <c r="L359" s="12">
        <f>IF(OR(G359="",A359=""),"",COUNTIFS($G$2:$G$500,G359,$H$2:$H$500,H359,$A$2:$A$500,"&lt;&gt;"))</f>
        <v/>
      </c>
      <c r="M359" s="12">
        <f>IF(AND(A359="",G359=""),"",IF(G359="","Belum ditempatkan",IF(J359="","CEK ID FIXTURE tidak ada di DAFTAR_FIXTURE",IF(H359="","CEK ZONA NO kosong",IF(K359="zona tidak ada di layout","CEK ZONA NO di luar layout",IF(I359&lt;&gt;K359,"CEK JENIS ZONA",IF(A359="","Zona STOCK",IF(B359="","CEK SKU DESCRIPTION kosong","OK"))))))))</f>
        <v/>
      </c>
    </row>
    <row r="360">
      <c r="A360" s="10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2">
        <f>IF(G360="","",IFERROR(INDEX(DAFTAR_FIXTURE!$B$2:$B$51,MATCH(G360,DAFTAR_FIXTURE!$A$2:$A$51,0)),""))</f>
        <v/>
      </c>
      <c r="K360" s="12">
        <f>IF(OR(J360="",H360=""),"",IFERROR(INDEX(LAYOUT!$D$2:$D$34,MATCH(J360&amp;"|"&amp;H360,LAYOUT!$E$2:$E$34,0)),"zona tidak ada di layout"))</f>
        <v/>
      </c>
      <c r="L360" s="12">
        <f>IF(OR(G360="",A360=""),"",COUNTIFS($G$2:$G$500,G360,$H$2:$H$500,H360,$A$2:$A$500,"&lt;&gt;"))</f>
        <v/>
      </c>
      <c r="M360" s="12">
        <f>IF(AND(A360="",G360=""),"",IF(G360="","Belum ditempatkan",IF(J360="","CEK ID FIXTURE tidak ada di DAFTAR_FIXTURE",IF(H360="","CEK ZONA NO kosong",IF(K360="zona tidak ada di layout","CEK ZONA NO di luar layout",IF(I360&lt;&gt;K360,"CEK JENIS ZONA",IF(A360="","Zona STOCK",IF(B360="","CEK SKU DESCRIPTION kosong","OK"))))))))</f>
        <v/>
      </c>
    </row>
    <row r="361">
      <c r="A361" s="10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2">
        <f>IF(G361="","",IFERROR(INDEX(DAFTAR_FIXTURE!$B$2:$B$51,MATCH(G361,DAFTAR_FIXTURE!$A$2:$A$51,0)),""))</f>
        <v/>
      </c>
      <c r="K361" s="12">
        <f>IF(OR(J361="",H361=""),"",IFERROR(INDEX(LAYOUT!$D$2:$D$34,MATCH(J361&amp;"|"&amp;H361,LAYOUT!$E$2:$E$34,0)),"zona tidak ada di layout"))</f>
        <v/>
      </c>
      <c r="L361" s="12">
        <f>IF(OR(G361="",A361=""),"",COUNTIFS($G$2:$G$500,G361,$H$2:$H$500,H361,$A$2:$A$500,"&lt;&gt;"))</f>
        <v/>
      </c>
      <c r="M361" s="12">
        <f>IF(AND(A361="",G361=""),"",IF(G361="","Belum ditempatkan",IF(J361="","CEK ID FIXTURE tidak ada di DAFTAR_FIXTURE",IF(H361="","CEK ZONA NO kosong",IF(K361="zona tidak ada di layout","CEK ZONA NO di luar layout",IF(I361&lt;&gt;K361,"CEK JENIS ZONA",IF(A361="","Zona STOCK",IF(B361="","CEK SKU DESCRIPTION kosong","OK"))))))))</f>
        <v/>
      </c>
    </row>
    <row r="362">
      <c r="A362" s="10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2">
        <f>IF(G362="","",IFERROR(INDEX(DAFTAR_FIXTURE!$B$2:$B$51,MATCH(G362,DAFTAR_FIXTURE!$A$2:$A$51,0)),""))</f>
        <v/>
      </c>
      <c r="K362" s="12">
        <f>IF(OR(J362="",H362=""),"",IFERROR(INDEX(LAYOUT!$D$2:$D$34,MATCH(J362&amp;"|"&amp;H362,LAYOUT!$E$2:$E$34,0)),"zona tidak ada di layout"))</f>
        <v/>
      </c>
      <c r="L362" s="12">
        <f>IF(OR(G362="",A362=""),"",COUNTIFS($G$2:$G$500,G362,$H$2:$H$500,H362,$A$2:$A$500,"&lt;&gt;"))</f>
        <v/>
      </c>
      <c r="M362" s="12">
        <f>IF(AND(A362="",G362=""),"",IF(G362="","Belum ditempatkan",IF(J362="","CEK ID FIXTURE tidak ada di DAFTAR_FIXTURE",IF(H362="","CEK ZONA NO kosong",IF(K362="zona tidak ada di layout","CEK ZONA NO di luar layout",IF(I362&lt;&gt;K362,"CEK JENIS ZONA",IF(A362="","Zona STOCK",IF(B362="","CEK SKU DESCRIPTION kosong","OK"))))))))</f>
        <v/>
      </c>
    </row>
    <row r="363">
      <c r="A363" s="10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2">
        <f>IF(G363="","",IFERROR(INDEX(DAFTAR_FIXTURE!$B$2:$B$51,MATCH(G363,DAFTAR_FIXTURE!$A$2:$A$51,0)),""))</f>
        <v/>
      </c>
      <c r="K363" s="12">
        <f>IF(OR(J363="",H363=""),"",IFERROR(INDEX(LAYOUT!$D$2:$D$34,MATCH(J363&amp;"|"&amp;H363,LAYOUT!$E$2:$E$34,0)),"zona tidak ada di layout"))</f>
        <v/>
      </c>
      <c r="L363" s="12">
        <f>IF(OR(G363="",A363=""),"",COUNTIFS($G$2:$G$500,G363,$H$2:$H$500,H363,$A$2:$A$500,"&lt;&gt;"))</f>
        <v/>
      </c>
      <c r="M363" s="12">
        <f>IF(AND(A363="",G363=""),"",IF(G363="","Belum ditempatkan",IF(J363="","CEK ID FIXTURE tidak ada di DAFTAR_FIXTURE",IF(H363="","CEK ZONA NO kosong",IF(K363="zona tidak ada di layout","CEK ZONA NO di luar layout",IF(I363&lt;&gt;K363,"CEK JENIS ZONA",IF(A363="","Zona STOCK",IF(B363="","CEK SKU DESCRIPTION kosong","OK"))))))))</f>
        <v/>
      </c>
    </row>
    <row r="364">
      <c r="A364" s="10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2">
        <f>IF(G364="","",IFERROR(INDEX(DAFTAR_FIXTURE!$B$2:$B$51,MATCH(G364,DAFTAR_FIXTURE!$A$2:$A$51,0)),""))</f>
        <v/>
      </c>
      <c r="K364" s="12">
        <f>IF(OR(J364="",H364=""),"",IFERROR(INDEX(LAYOUT!$D$2:$D$34,MATCH(J364&amp;"|"&amp;H364,LAYOUT!$E$2:$E$34,0)),"zona tidak ada di layout"))</f>
        <v/>
      </c>
      <c r="L364" s="12">
        <f>IF(OR(G364="",A364=""),"",COUNTIFS($G$2:$G$500,G364,$H$2:$H$500,H364,$A$2:$A$500,"&lt;&gt;"))</f>
        <v/>
      </c>
      <c r="M364" s="12">
        <f>IF(AND(A364="",G364=""),"",IF(G364="","Belum ditempatkan",IF(J364="","CEK ID FIXTURE tidak ada di DAFTAR_FIXTURE",IF(H364="","CEK ZONA NO kosong",IF(K364="zona tidak ada di layout","CEK ZONA NO di luar layout",IF(I364&lt;&gt;K364,"CEK JENIS ZONA",IF(A364="","Zona STOCK",IF(B364="","CEK SKU DESCRIPTION kosong","OK"))))))))</f>
        <v/>
      </c>
    </row>
    <row r="365">
      <c r="A365" s="10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2">
        <f>IF(G365="","",IFERROR(INDEX(DAFTAR_FIXTURE!$B$2:$B$51,MATCH(G365,DAFTAR_FIXTURE!$A$2:$A$51,0)),""))</f>
        <v/>
      </c>
      <c r="K365" s="12">
        <f>IF(OR(J365="",H365=""),"",IFERROR(INDEX(LAYOUT!$D$2:$D$34,MATCH(J365&amp;"|"&amp;H365,LAYOUT!$E$2:$E$34,0)),"zona tidak ada di layout"))</f>
        <v/>
      </c>
      <c r="L365" s="12">
        <f>IF(OR(G365="",A365=""),"",COUNTIFS($G$2:$G$500,G365,$H$2:$H$500,H365,$A$2:$A$500,"&lt;&gt;"))</f>
        <v/>
      </c>
      <c r="M365" s="12">
        <f>IF(AND(A365="",G365=""),"",IF(G365="","Belum ditempatkan",IF(J365="","CEK ID FIXTURE tidak ada di DAFTAR_FIXTURE",IF(H365="","CEK ZONA NO kosong",IF(K365="zona tidak ada di layout","CEK ZONA NO di luar layout",IF(I365&lt;&gt;K365,"CEK JENIS ZONA",IF(A365="","Zona STOCK",IF(B365="","CEK SKU DESCRIPTION kosong","OK"))))))))</f>
        <v/>
      </c>
    </row>
    <row r="366">
      <c r="A366" s="10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2">
        <f>IF(G366="","",IFERROR(INDEX(DAFTAR_FIXTURE!$B$2:$B$51,MATCH(G366,DAFTAR_FIXTURE!$A$2:$A$51,0)),""))</f>
        <v/>
      </c>
      <c r="K366" s="12">
        <f>IF(OR(J366="",H366=""),"",IFERROR(INDEX(LAYOUT!$D$2:$D$34,MATCH(J366&amp;"|"&amp;H366,LAYOUT!$E$2:$E$34,0)),"zona tidak ada di layout"))</f>
        <v/>
      </c>
      <c r="L366" s="12">
        <f>IF(OR(G366="",A366=""),"",COUNTIFS($G$2:$G$500,G366,$H$2:$H$500,H366,$A$2:$A$500,"&lt;&gt;"))</f>
        <v/>
      </c>
      <c r="M366" s="12">
        <f>IF(AND(A366="",G366=""),"",IF(G366="","Belum ditempatkan",IF(J366="","CEK ID FIXTURE tidak ada di DAFTAR_FIXTURE",IF(H366="","CEK ZONA NO kosong",IF(K366="zona tidak ada di layout","CEK ZONA NO di luar layout",IF(I366&lt;&gt;K366,"CEK JENIS ZONA",IF(A366="","Zona STOCK",IF(B366="","CEK SKU DESCRIPTION kosong","OK"))))))))</f>
        <v/>
      </c>
    </row>
    <row r="367">
      <c r="A367" s="10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2">
        <f>IF(G367="","",IFERROR(INDEX(DAFTAR_FIXTURE!$B$2:$B$51,MATCH(G367,DAFTAR_FIXTURE!$A$2:$A$51,0)),""))</f>
        <v/>
      </c>
      <c r="K367" s="12">
        <f>IF(OR(J367="",H367=""),"",IFERROR(INDEX(LAYOUT!$D$2:$D$34,MATCH(J367&amp;"|"&amp;H367,LAYOUT!$E$2:$E$34,0)),"zona tidak ada di layout"))</f>
        <v/>
      </c>
      <c r="L367" s="12">
        <f>IF(OR(G367="",A367=""),"",COUNTIFS($G$2:$G$500,G367,$H$2:$H$500,H367,$A$2:$A$500,"&lt;&gt;"))</f>
        <v/>
      </c>
      <c r="M367" s="12">
        <f>IF(AND(A367="",G367=""),"",IF(G367="","Belum ditempatkan",IF(J367="","CEK ID FIXTURE tidak ada di DAFTAR_FIXTURE",IF(H367="","CEK ZONA NO kosong",IF(K367="zona tidak ada di layout","CEK ZONA NO di luar layout",IF(I367&lt;&gt;K367,"CEK JENIS ZONA",IF(A367="","Zona STOCK",IF(B367="","CEK SKU DESCRIPTION kosong","OK"))))))))</f>
        <v/>
      </c>
    </row>
    <row r="368">
      <c r="A368" s="10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2">
        <f>IF(G368="","",IFERROR(INDEX(DAFTAR_FIXTURE!$B$2:$B$51,MATCH(G368,DAFTAR_FIXTURE!$A$2:$A$51,0)),""))</f>
        <v/>
      </c>
      <c r="K368" s="12">
        <f>IF(OR(J368="",H368=""),"",IFERROR(INDEX(LAYOUT!$D$2:$D$34,MATCH(J368&amp;"|"&amp;H368,LAYOUT!$E$2:$E$34,0)),"zona tidak ada di layout"))</f>
        <v/>
      </c>
      <c r="L368" s="12">
        <f>IF(OR(G368="",A368=""),"",COUNTIFS($G$2:$G$500,G368,$H$2:$H$500,H368,$A$2:$A$500,"&lt;&gt;"))</f>
        <v/>
      </c>
      <c r="M368" s="12">
        <f>IF(AND(A368="",G368=""),"",IF(G368="","Belum ditempatkan",IF(J368="","CEK ID FIXTURE tidak ada di DAFTAR_FIXTURE",IF(H368="","CEK ZONA NO kosong",IF(K368="zona tidak ada di layout","CEK ZONA NO di luar layout",IF(I368&lt;&gt;K368,"CEK JENIS ZONA",IF(A368="","Zona STOCK",IF(B368="","CEK SKU DESCRIPTION kosong","OK"))))))))</f>
        <v/>
      </c>
    </row>
    <row r="369">
      <c r="A369" s="10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2">
        <f>IF(G369="","",IFERROR(INDEX(DAFTAR_FIXTURE!$B$2:$B$51,MATCH(G369,DAFTAR_FIXTURE!$A$2:$A$51,0)),""))</f>
        <v/>
      </c>
      <c r="K369" s="12">
        <f>IF(OR(J369="",H369=""),"",IFERROR(INDEX(LAYOUT!$D$2:$D$34,MATCH(J369&amp;"|"&amp;H369,LAYOUT!$E$2:$E$34,0)),"zona tidak ada di layout"))</f>
        <v/>
      </c>
      <c r="L369" s="12">
        <f>IF(OR(G369="",A369=""),"",COUNTIFS($G$2:$G$500,G369,$H$2:$H$500,H369,$A$2:$A$500,"&lt;&gt;"))</f>
        <v/>
      </c>
      <c r="M369" s="12">
        <f>IF(AND(A369="",G369=""),"",IF(G369="","Belum ditempatkan",IF(J369="","CEK ID FIXTURE tidak ada di DAFTAR_FIXTURE",IF(H369="","CEK ZONA NO kosong",IF(K369="zona tidak ada di layout","CEK ZONA NO di luar layout",IF(I369&lt;&gt;K369,"CEK JENIS ZONA",IF(A369="","Zona STOCK",IF(B369="","CEK SKU DESCRIPTION kosong","OK"))))))))</f>
        <v/>
      </c>
    </row>
    <row r="370">
      <c r="A370" s="10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2">
        <f>IF(G370="","",IFERROR(INDEX(DAFTAR_FIXTURE!$B$2:$B$51,MATCH(G370,DAFTAR_FIXTURE!$A$2:$A$51,0)),""))</f>
        <v/>
      </c>
      <c r="K370" s="12">
        <f>IF(OR(J370="",H370=""),"",IFERROR(INDEX(LAYOUT!$D$2:$D$34,MATCH(J370&amp;"|"&amp;H370,LAYOUT!$E$2:$E$34,0)),"zona tidak ada di layout"))</f>
        <v/>
      </c>
      <c r="L370" s="12">
        <f>IF(OR(G370="",A370=""),"",COUNTIFS($G$2:$G$500,G370,$H$2:$H$500,H370,$A$2:$A$500,"&lt;&gt;"))</f>
        <v/>
      </c>
      <c r="M370" s="12">
        <f>IF(AND(A370="",G370=""),"",IF(G370="","Belum ditempatkan",IF(J370="","CEK ID FIXTURE tidak ada di DAFTAR_FIXTURE",IF(H370="","CEK ZONA NO kosong",IF(K370="zona tidak ada di layout","CEK ZONA NO di luar layout",IF(I370&lt;&gt;K370,"CEK JENIS ZONA",IF(A370="","Zona STOCK",IF(B370="","CEK SKU DESCRIPTION kosong","OK"))))))))</f>
        <v/>
      </c>
    </row>
    <row r="371">
      <c r="A371" s="10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2">
        <f>IF(G371="","",IFERROR(INDEX(DAFTAR_FIXTURE!$B$2:$B$51,MATCH(G371,DAFTAR_FIXTURE!$A$2:$A$51,0)),""))</f>
        <v/>
      </c>
      <c r="K371" s="12">
        <f>IF(OR(J371="",H371=""),"",IFERROR(INDEX(LAYOUT!$D$2:$D$34,MATCH(J371&amp;"|"&amp;H371,LAYOUT!$E$2:$E$34,0)),"zona tidak ada di layout"))</f>
        <v/>
      </c>
      <c r="L371" s="12">
        <f>IF(OR(G371="",A371=""),"",COUNTIFS($G$2:$G$500,G371,$H$2:$H$500,H371,$A$2:$A$500,"&lt;&gt;"))</f>
        <v/>
      </c>
      <c r="M371" s="12">
        <f>IF(AND(A371="",G371=""),"",IF(G371="","Belum ditempatkan",IF(J371="","CEK ID FIXTURE tidak ada di DAFTAR_FIXTURE",IF(H371="","CEK ZONA NO kosong",IF(K371="zona tidak ada di layout","CEK ZONA NO di luar layout",IF(I371&lt;&gt;K371,"CEK JENIS ZONA",IF(A371="","Zona STOCK",IF(B371="","CEK SKU DESCRIPTION kosong","OK"))))))))</f>
        <v/>
      </c>
    </row>
    <row r="372">
      <c r="A372" s="10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2">
        <f>IF(G372="","",IFERROR(INDEX(DAFTAR_FIXTURE!$B$2:$B$51,MATCH(G372,DAFTAR_FIXTURE!$A$2:$A$51,0)),""))</f>
        <v/>
      </c>
      <c r="K372" s="12">
        <f>IF(OR(J372="",H372=""),"",IFERROR(INDEX(LAYOUT!$D$2:$D$34,MATCH(J372&amp;"|"&amp;H372,LAYOUT!$E$2:$E$34,0)),"zona tidak ada di layout"))</f>
        <v/>
      </c>
      <c r="L372" s="12">
        <f>IF(OR(G372="",A372=""),"",COUNTIFS($G$2:$G$500,G372,$H$2:$H$500,H372,$A$2:$A$500,"&lt;&gt;"))</f>
        <v/>
      </c>
      <c r="M372" s="12">
        <f>IF(AND(A372="",G372=""),"",IF(G372="","Belum ditempatkan",IF(J372="","CEK ID FIXTURE tidak ada di DAFTAR_FIXTURE",IF(H372="","CEK ZONA NO kosong",IF(K372="zona tidak ada di layout","CEK ZONA NO di luar layout",IF(I372&lt;&gt;K372,"CEK JENIS ZONA",IF(A372="","Zona STOCK",IF(B372="","CEK SKU DESCRIPTION kosong","OK"))))))))</f>
        <v/>
      </c>
    </row>
    <row r="373">
      <c r="A373" s="10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2">
        <f>IF(G373="","",IFERROR(INDEX(DAFTAR_FIXTURE!$B$2:$B$51,MATCH(G373,DAFTAR_FIXTURE!$A$2:$A$51,0)),""))</f>
        <v/>
      </c>
      <c r="K373" s="12">
        <f>IF(OR(J373="",H373=""),"",IFERROR(INDEX(LAYOUT!$D$2:$D$34,MATCH(J373&amp;"|"&amp;H373,LAYOUT!$E$2:$E$34,0)),"zona tidak ada di layout"))</f>
        <v/>
      </c>
      <c r="L373" s="12">
        <f>IF(OR(G373="",A373=""),"",COUNTIFS($G$2:$G$500,G373,$H$2:$H$500,H373,$A$2:$A$500,"&lt;&gt;"))</f>
        <v/>
      </c>
      <c r="M373" s="12">
        <f>IF(AND(A373="",G373=""),"",IF(G373="","Belum ditempatkan",IF(J373="","CEK ID FIXTURE tidak ada di DAFTAR_FIXTURE",IF(H373="","CEK ZONA NO kosong",IF(K373="zona tidak ada di layout","CEK ZONA NO di luar layout",IF(I373&lt;&gt;K373,"CEK JENIS ZONA",IF(A373="","Zona STOCK",IF(B373="","CEK SKU DESCRIPTION kosong","OK"))))))))</f>
        <v/>
      </c>
    </row>
    <row r="374">
      <c r="A374" s="10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2">
        <f>IF(G374="","",IFERROR(INDEX(DAFTAR_FIXTURE!$B$2:$B$51,MATCH(G374,DAFTAR_FIXTURE!$A$2:$A$51,0)),""))</f>
        <v/>
      </c>
      <c r="K374" s="12">
        <f>IF(OR(J374="",H374=""),"",IFERROR(INDEX(LAYOUT!$D$2:$D$34,MATCH(J374&amp;"|"&amp;H374,LAYOUT!$E$2:$E$34,0)),"zona tidak ada di layout"))</f>
        <v/>
      </c>
      <c r="L374" s="12">
        <f>IF(OR(G374="",A374=""),"",COUNTIFS($G$2:$G$500,G374,$H$2:$H$500,H374,$A$2:$A$500,"&lt;&gt;"))</f>
        <v/>
      </c>
      <c r="M374" s="12">
        <f>IF(AND(A374="",G374=""),"",IF(G374="","Belum ditempatkan",IF(J374="","CEK ID FIXTURE tidak ada di DAFTAR_FIXTURE",IF(H374="","CEK ZONA NO kosong",IF(K374="zona tidak ada di layout","CEK ZONA NO di luar layout",IF(I374&lt;&gt;K374,"CEK JENIS ZONA",IF(A374="","Zona STOCK",IF(B374="","CEK SKU DESCRIPTION kosong","OK"))))))))</f>
        <v/>
      </c>
    </row>
    <row r="375">
      <c r="A375" s="10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2">
        <f>IF(G375="","",IFERROR(INDEX(DAFTAR_FIXTURE!$B$2:$B$51,MATCH(G375,DAFTAR_FIXTURE!$A$2:$A$51,0)),""))</f>
        <v/>
      </c>
      <c r="K375" s="12">
        <f>IF(OR(J375="",H375=""),"",IFERROR(INDEX(LAYOUT!$D$2:$D$34,MATCH(J375&amp;"|"&amp;H375,LAYOUT!$E$2:$E$34,0)),"zona tidak ada di layout"))</f>
        <v/>
      </c>
      <c r="L375" s="12">
        <f>IF(OR(G375="",A375=""),"",COUNTIFS($G$2:$G$500,G375,$H$2:$H$500,H375,$A$2:$A$500,"&lt;&gt;"))</f>
        <v/>
      </c>
      <c r="M375" s="12">
        <f>IF(AND(A375="",G375=""),"",IF(G375="","Belum ditempatkan",IF(J375="","CEK ID FIXTURE tidak ada di DAFTAR_FIXTURE",IF(H375="","CEK ZONA NO kosong",IF(K375="zona tidak ada di layout","CEK ZONA NO di luar layout",IF(I375&lt;&gt;K375,"CEK JENIS ZONA",IF(A375="","Zona STOCK",IF(B375="","CEK SKU DESCRIPTION kosong","OK"))))))))</f>
        <v/>
      </c>
    </row>
    <row r="376">
      <c r="A376" s="10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2">
        <f>IF(G376="","",IFERROR(INDEX(DAFTAR_FIXTURE!$B$2:$B$51,MATCH(G376,DAFTAR_FIXTURE!$A$2:$A$51,0)),""))</f>
        <v/>
      </c>
      <c r="K376" s="12">
        <f>IF(OR(J376="",H376=""),"",IFERROR(INDEX(LAYOUT!$D$2:$D$34,MATCH(J376&amp;"|"&amp;H376,LAYOUT!$E$2:$E$34,0)),"zona tidak ada di layout"))</f>
        <v/>
      </c>
      <c r="L376" s="12">
        <f>IF(OR(G376="",A376=""),"",COUNTIFS($G$2:$G$500,G376,$H$2:$H$500,H376,$A$2:$A$500,"&lt;&gt;"))</f>
        <v/>
      </c>
      <c r="M376" s="12">
        <f>IF(AND(A376="",G376=""),"",IF(G376="","Belum ditempatkan",IF(J376="","CEK ID FIXTURE tidak ada di DAFTAR_FIXTURE",IF(H376="","CEK ZONA NO kosong",IF(K376="zona tidak ada di layout","CEK ZONA NO di luar layout",IF(I376&lt;&gt;K376,"CEK JENIS ZONA",IF(A376="","Zona STOCK",IF(B376="","CEK SKU DESCRIPTION kosong","OK"))))))))</f>
        <v/>
      </c>
    </row>
    <row r="377">
      <c r="A377" s="10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2">
        <f>IF(G377="","",IFERROR(INDEX(DAFTAR_FIXTURE!$B$2:$B$51,MATCH(G377,DAFTAR_FIXTURE!$A$2:$A$51,0)),""))</f>
        <v/>
      </c>
      <c r="K377" s="12">
        <f>IF(OR(J377="",H377=""),"",IFERROR(INDEX(LAYOUT!$D$2:$D$34,MATCH(J377&amp;"|"&amp;H377,LAYOUT!$E$2:$E$34,0)),"zona tidak ada di layout"))</f>
        <v/>
      </c>
      <c r="L377" s="12">
        <f>IF(OR(G377="",A377=""),"",COUNTIFS($G$2:$G$500,G377,$H$2:$H$500,H377,$A$2:$A$500,"&lt;&gt;"))</f>
        <v/>
      </c>
      <c r="M377" s="12">
        <f>IF(AND(A377="",G377=""),"",IF(G377="","Belum ditempatkan",IF(J377="","CEK ID FIXTURE tidak ada di DAFTAR_FIXTURE",IF(H377="","CEK ZONA NO kosong",IF(K377="zona tidak ada di layout","CEK ZONA NO di luar layout",IF(I377&lt;&gt;K377,"CEK JENIS ZONA",IF(A377="","Zona STOCK",IF(B377="","CEK SKU DESCRIPTION kosong","OK"))))))))</f>
        <v/>
      </c>
    </row>
    <row r="378">
      <c r="A378" s="10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2">
        <f>IF(G378="","",IFERROR(INDEX(DAFTAR_FIXTURE!$B$2:$B$51,MATCH(G378,DAFTAR_FIXTURE!$A$2:$A$51,0)),""))</f>
        <v/>
      </c>
      <c r="K378" s="12">
        <f>IF(OR(J378="",H378=""),"",IFERROR(INDEX(LAYOUT!$D$2:$D$34,MATCH(J378&amp;"|"&amp;H378,LAYOUT!$E$2:$E$34,0)),"zona tidak ada di layout"))</f>
        <v/>
      </c>
      <c r="L378" s="12">
        <f>IF(OR(G378="",A378=""),"",COUNTIFS($G$2:$G$500,G378,$H$2:$H$500,H378,$A$2:$A$500,"&lt;&gt;"))</f>
        <v/>
      </c>
      <c r="M378" s="12">
        <f>IF(AND(A378="",G378=""),"",IF(G378="","Belum ditempatkan",IF(J378="","CEK ID FIXTURE tidak ada di DAFTAR_FIXTURE",IF(H378="","CEK ZONA NO kosong",IF(K378="zona tidak ada di layout","CEK ZONA NO di luar layout",IF(I378&lt;&gt;K378,"CEK JENIS ZONA",IF(A378="","Zona STOCK",IF(B378="","CEK SKU DESCRIPTION kosong","OK"))))))))</f>
        <v/>
      </c>
    </row>
    <row r="379">
      <c r="A379" s="10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2">
        <f>IF(G379="","",IFERROR(INDEX(DAFTAR_FIXTURE!$B$2:$B$51,MATCH(G379,DAFTAR_FIXTURE!$A$2:$A$51,0)),""))</f>
        <v/>
      </c>
      <c r="K379" s="12">
        <f>IF(OR(J379="",H379=""),"",IFERROR(INDEX(LAYOUT!$D$2:$D$34,MATCH(J379&amp;"|"&amp;H379,LAYOUT!$E$2:$E$34,0)),"zona tidak ada di layout"))</f>
        <v/>
      </c>
      <c r="L379" s="12">
        <f>IF(OR(G379="",A379=""),"",COUNTIFS($G$2:$G$500,G379,$H$2:$H$500,H379,$A$2:$A$500,"&lt;&gt;"))</f>
        <v/>
      </c>
      <c r="M379" s="12">
        <f>IF(AND(A379="",G379=""),"",IF(G379="","Belum ditempatkan",IF(J379="","CEK ID FIXTURE tidak ada di DAFTAR_FIXTURE",IF(H379="","CEK ZONA NO kosong",IF(K379="zona tidak ada di layout","CEK ZONA NO di luar layout",IF(I379&lt;&gt;K379,"CEK JENIS ZONA",IF(A379="","Zona STOCK",IF(B379="","CEK SKU DESCRIPTION kosong","OK"))))))))</f>
        <v/>
      </c>
    </row>
    <row r="380">
      <c r="A380" s="10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2">
        <f>IF(G380="","",IFERROR(INDEX(DAFTAR_FIXTURE!$B$2:$B$51,MATCH(G380,DAFTAR_FIXTURE!$A$2:$A$51,0)),""))</f>
        <v/>
      </c>
      <c r="K380" s="12">
        <f>IF(OR(J380="",H380=""),"",IFERROR(INDEX(LAYOUT!$D$2:$D$34,MATCH(J380&amp;"|"&amp;H380,LAYOUT!$E$2:$E$34,0)),"zona tidak ada di layout"))</f>
        <v/>
      </c>
      <c r="L380" s="12">
        <f>IF(OR(G380="",A380=""),"",COUNTIFS($G$2:$G$500,G380,$H$2:$H$500,H380,$A$2:$A$500,"&lt;&gt;"))</f>
        <v/>
      </c>
      <c r="M380" s="12">
        <f>IF(AND(A380="",G380=""),"",IF(G380="","Belum ditempatkan",IF(J380="","CEK ID FIXTURE tidak ada di DAFTAR_FIXTURE",IF(H380="","CEK ZONA NO kosong",IF(K380="zona tidak ada di layout","CEK ZONA NO di luar layout",IF(I380&lt;&gt;K380,"CEK JENIS ZONA",IF(A380="","Zona STOCK",IF(B380="","CEK SKU DESCRIPTION kosong","OK"))))))))</f>
        <v/>
      </c>
    </row>
    <row r="381">
      <c r="A381" s="10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2">
        <f>IF(G381="","",IFERROR(INDEX(DAFTAR_FIXTURE!$B$2:$B$51,MATCH(G381,DAFTAR_FIXTURE!$A$2:$A$51,0)),""))</f>
        <v/>
      </c>
      <c r="K381" s="12">
        <f>IF(OR(J381="",H381=""),"",IFERROR(INDEX(LAYOUT!$D$2:$D$34,MATCH(J381&amp;"|"&amp;H381,LAYOUT!$E$2:$E$34,0)),"zona tidak ada di layout"))</f>
        <v/>
      </c>
      <c r="L381" s="12">
        <f>IF(OR(G381="",A381=""),"",COUNTIFS($G$2:$G$500,G381,$H$2:$H$500,H381,$A$2:$A$500,"&lt;&gt;"))</f>
        <v/>
      </c>
      <c r="M381" s="12">
        <f>IF(AND(A381="",G381=""),"",IF(G381="","Belum ditempatkan",IF(J381="","CEK ID FIXTURE tidak ada di DAFTAR_FIXTURE",IF(H381="","CEK ZONA NO kosong",IF(K381="zona tidak ada di layout","CEK ZONA NO di luar layout",IF(I381&lt;&gt;K381,"CEK JENIS ZONA",IF(A381="","Zona STOCK",IF(B381="","CEK SKU DESCRIPTION kosong","OK"))))))))</f>
        <v/>
      </c>
    </row>
    <row r="382">
      <c r="A382" s="10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2">
        <f>IF(G382="","",IFERROR(INDEX(DAFTAR_FIXTURE!$B$2:$B$51,MATCH(G382,DAFTAR_FIXTURE!$A$2:$A$51,0)),""))</f>
        <v/>
      </c>
      <c r="K382" s="12">
        <f>IF(OR(J382="",H382=""),"",IFERROR(INDEX(LAYOUT!$D$2:$D$34,MATCH(J382&amp;"|"&amp;H382,LAYOUT!$E$2:$E$34,0)),"zona tidak ada di layout"))</f>
        <v/>
      </c>
      <c r="L382" s="12">
        <f>IF(OR(G382="",A382=""),"",COUNTIFS($G$2:$G$500,G382,$H$2:$H$500,H382,$A$2:$A$500,"&lt;&gt;"))</f>
        <v/>
      </c>
      <c r="M382" s="12">
        <f>IF(AND(A382="",G382=""),"",IF(G382="","Belum ditempatkan",IF(J382="","CEK ID FIXTURE tidak ada di DAFTAR_FIXTURE",IF(H382="","CEK ZONA NO kosong",IF(K382="zona tidak ada di layout","CEK ZONA NO di luar layout",IF(I382&lt;&gt;K382,"CEK JENIS ZONA",IF(A382="","Zona STOCK",IF(B382="","CEK SKU DESCRIPTION kosong","OK"))))))))</f>
        <v/>
      </c>
    </row>
    <row r="383">
      <c r="A383" s="10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2">
        <f>IF(G383="","",IFERROR(INDEX(DAFTAR_FIXTURE!$B$2:$B$51,MATCH(G383,DAFTAR_FIXTURE!$A$2:$A$51,0)),""))</f>
        <v/>
      </c>
      <c r="K383" s="12">
        <f>IF(OR(J383="",H383=""),"",IFERROR(INDEX(LAYOUT!$D$2:$D$34,MATCH(J383&amp;"|"&amp;H383,LAYOUT!$E$2:$E$34,0)),"zona tidak ada di layout"))</f>
        <v/>
      </c>
      <c r="L383" s="12">
        <f>IF(OR(G383="",A383=""),"",COUNTIFS($G$2:$G$500,G383,$H$2:$H$500,H383,$A$2:$A$500,"&lt;&gt;"))</f>
        <v/>
      </c>
      <c r="M383" s="12">
        <f>IF(AND(A383="",G383=""),"",IF(G383="","Belum ditempatkan",IF(J383="","CEK ID FIXTURE tidak ada di DAFTAR_FIXTURE",IF(H383="","CEK ZONA NO kosong",IF(K383="zona tidak ada di layout","CEK ZONA NO di luar layout",IF(I383&lt;&gt;K383,"CEK JENIS ZONA",IF(A383="","Zona STOCK",IF(B383="","CEK SKU DESCRIPTION kosong","OK"))))))))</f>
        <v/>
      </c>
    </row>
    <row r="384">
      <c r="A384" s="10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2">
        <f>IF(G384="","",IFERROR(INDEX(DAFTAR_FIXTURE!$B$2:$B$51,MATCH(G384,DAFTAR_FIXTURE!$A$2:$A$51,0)),""))</f>
        <v/>
      </c>
      <c r="K384" s="12">
        <f>IF(OR(J384="",H384=""),"",IFERROR(INDEX(LAYOUT!$D$2:$D$34,MATCH(J384&amp;"|"&amp;H384,LAYOUT!$E$2:$E$34,0)),"zona tidak ada di layout"))</f>
        <v/>
      </c>
      <c r="L384" s="12">
        <f>IF(OR(G384="",A384=""),"",COUNTIFS($G$2:$G$500,G384,$H$2:$H$500,H384,$A$2:$A$500,"&lt;&gt;"))</f>
        <v/>
      </c>
      <c r="M384" s="12">
        <f>IF(AND(A384="",G384=""),"",IF(G384="","Belum ditempatkan",IF(J384="","CEK ID FIXTURE tidak ada di DAFTAR_FIXTURE",IF(H384="","CEK ZONA NO kosong",IF(K384="zona tidak ada di layout","CEK ZONA NO di luar layout",IF(I384&lt;&gt;K384,"CEK JENIS ZONA",IF(A384="","Zona STOCK",IF(B384="","CEK SKU DESCRIPTION kosong","OK"))))))))</f>
        <v/>
      </c>
    </row>
    <row r="385">
      <c r="A385" s="10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2">
        <f>IF(G385="","",IFERROR(INDEX(DAFTAR_FIXTURE!$B$2:$B$51,MATCH(G385,DAFTAR_FIXTURE!$A$2:$A$51,0)),""))</f>
        <v/>
      </c>
      <c r="K385" s="12">
        <f>IF(OR(J385="",H385=""),"",IFERROR(INDEX(LAYOUT!$D$2:$D$34,MATCH(J385&amp;"|"&amp;H385,LAYOUT!$E$2:$E$34,0)),"zona tidak ada di layout"))</f>
        <v/>
      </c>
      <c r="L385" s="12">
        <f>IF(OR(G385="",A385=""),"",COUNTIFS($G$2:$G$500,G385,$H$2:$H$500,H385,$A$2:$A$500,"&lt;&gt;"))</f>
        <v/>
      </c>
      <c r="M385" s="12">
        <f>IF(AND(A385="",G385=""),"",IF(G385="","Belum ditempatkan",IF(J385="","CEK ID FIXTURE tidak ada di DAFTAR_FIXTURE",IF(H385="","CEK ZONA NO kosong",IF(K385="zona tidak ada di layout","CEK ZONA NO di luar layout",IF(I385&lt;&gt;K385,"CEK JENIS ZONA",IF(A385="","Zona STOCK",IF(B385="","CEK SKU DESCRIPTION kosong","OK"))))))))</f>
        <v/>
      </c>
    </row>
    <row r="386">
      <c r="A386" s="10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2">
        <f>IF(G386="","",IFERROR(INDEX(DAFTAR_FIXTURE!$B$2:$B$51,MATCH(G386,DAFTAR_FIXTURE!$A$2:$A$51,0)),""))</f>
        <v/>
      </c>
      <c r="K386" s="12">
        <f>IF(OR(J386="",H386=""),"",IFERROR(INDEX(LAYOUT!$D$2:$D$34,MATCH(J386&amp;"|"&amp;H386,LAYOUT!$E$2:$E$34,0)),"zona tidak ada di layout"))</f>
        <v/>
      </c>
      <c r="L386" s="12">
        <f>IF(OR(G386="",A386=""),"",COUNTIFS($G$2:$G$500,G386,$H$2:$H$500,H386,$A$2:$A$500,"&lt;&gt;"))</f>
        <v/>
      </c>
      <c r="M386" s="12">
        <f>IF(AND(A386="",G386=""),"",IF(G386="","Belum ditempatkan",IF(J386="","CEK ID FIXTURE tidak ada di DAFTAR_FIXTURE",IF(H386="","CEK ZONA NO kosong",IF(K386="zona tidak ada di layout","CEK ZONA NO di luar layout",IF(I386&lt;&gt;K386,"CEK JENIS ZONA",IF(A386="","Zona STOCK",IF(B386="","CEK SKU DESCRIPTION kosong","OK"))))))))</f>
        <v/>
      </c>
    </row>
    <row r="387">
      <c r="A387" s="10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2">
        <f>IF(G387="","",IFERROR(INDEX(DAFTAR_FIXTURE!$B$2:$B$51,MATCH(G387,DAFTAR_FIXTURE!$A$2:$A$51,0)),""))</f>
        <v/>
      </c>
      <c r="K387" s="12">
        <f>IF(OR(J387="",H387=""),"",IFERROR(INDEX(LAYOUT!$D$2:$D$34,MATCH(J387&amp;"|"&amp;H387,LAYOUT!$E$2:$E$34,0)),"zona tidak ada di layout"))</f>
        <v/>
      </c>
      <c r="L387" s="12">
        <f>IF(OR(G387="",A387=""),"",COUNTIFS($G$2:$G$500,G387,$H$2:$H$500,H387,$A$2:$A$500,"&lt;&gt;"))</f>
        <v/>
      </c>
      <c r="M387" s="12">
        <f>IF(AND(A387="",G387=""),"",IF(G387="","Belum ditempatkan",IF(J387="","CEK ID FIXTURE tidak ada di DAFTAR_FIXTURE",IF(H387="","CEK ZONA NO kosong",IF(K387="zona tidak ada di layout","CEK ZONA NO di luar layout",IF(I387&lt;&gt;K387,"CEK JENIS ZONA",IF(A387="","Zona STOCK",IF(B387="","CEK SKU DESCRIPTION kosong","OK"))))))))</f>
        <v/>
      </c>
    </row>
    <row r="388">
      <c r="A388" s="10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2">
        <f>IF(G388="","",IFERROR(INDEX(DAFTAR_FIXTURE!$B$2:$B$51,MATCH(G388,DAFTAR_FIXTURE!$A$2:$A$51,0)),""))</f>
        <v/>
      </c>
      <c r="K388" s="12">
        <f>IF(OR(J388="",H388=""),"",IFERROR(INDEX(LAYOUT!$D$2:$D$34,MATCH(J388&amp;"|"&amp;H388,LAYOUT!$E$2:$E$34,0)),"zona tidak ada di layout"))</f>
        <v/>
      </c>
      <c r="L388" s="12">
        <f>IF(OR(G388="",A388=""),"",COUNTIFS($G$2:$G$500,G388,$H$2:$H$500,H388,$A$2:$A$500,"&lt;&gt;"))</f>
        <v/>
      </c>
      <c r="M388" s="12">
        <f>IF(AND(A388="",G388=""),"",IF(G388="","Belum ditempatkan",IF(J388="","CEK ID FIXTURE tidak ada di DAFTAR_FIXTURE",IF(H388="","CEK ZONA NO kosong",IF(K388="zona tidak ada di layout","CEK ZONA NO di luar layout",IF(I388&lt;&gt;K388,"CEK JENIS ZONA",IF(A388="","Zona STOCK",IF(B388="","CEK SKU DESCRIPTION kosong","OK"))))))))</f>
        <v/>
      </c>
    </row>
    <row r="389">
      <c r="A389" s="10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2">
        <f>IF(G389="","",IFERROR(INDEX(DAFTAR_FIXTURE!$B$2:$B$51,MATCH(G389,DAFTAR_FIXTURE!$A$2:$A$51,0)),""))</f>
        <v/>
      </c>
      <c r="K389" s="12">
        <f>IF(OR(J389="",H389=""),"",IFERROR(INDEX(LAYOUT!$D$2:$D$34,MATCH(J389&amp;"|"&amp;H389,LAYOUT!$E$2:$E$34,0)),"zona tidak ada di layout"))</f>
        <v/>
      </c>
      <c r="L389" s="12">
        <f>IF(OR(G389="",A389=""),"",COUNTIFS($G$2:$G$500,G389,$H$2:$H$500,H389,$A$2:$A$500,"&lt;&gt;"))</f>
        <v/>
      </c>
      <c r="M389" s="12">
        <f>IF(AND(A389="",G389=""),"",IF(G389="","Belum ditempatkan",IF(J389="","CEK ID FIXTURE tidak ada di DAFTAR_FIXTURE",IF(H389="","CEK ZONA NO kosong",IF(K389="zona tidak ada di layout","CEK ZONA NO di luar layout",IF(I389&lt;&gt;K389,"CEK JENIS ZONA",IF(A389="","Zona STOCK",IF(B389="","CEK SKU DESCRIPTION kosong","OK"))))))))</f>
        <v/>
      </c>
    </row>
    <row r="390">
      <c r="A390" s="10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2">
        <f>IF(G390="","",IFERROR(INDEX(DAFTAR_FIXTURE!$B$2:$B$51,MATCH(G390,DAFTAR_FIXTURE!$A$2:$A$51,0)),""))</f>
        <v/>
      </c>
      <c r="K390" s="12">
        <f>IF(OR(J390="",H390=""),"",IFERROR(INDEX(LAYOUT!$D$2:$D$34,MATCH(J390&amp;"|"&amp;H390,LAYOUT!$E$2:$E$34,0)),"zona tidak ada di layout"))</f>
        <v/>
      </c>
      <c r="L390" s="12">
        <f>IF(OR(G390="",A390=""),"",COUNTIFS($G$2:$G$500,G390,$H$2:$H$500,H390,$A$2:$A$500,"&lt;&gt;"))</f>
        <v/>
      </c>
      <c r="M390" s="12">
        <f>IF(AND(A390="",G390=""),"",IF(G390="","Belum ditempatkan",IF(J390="","CEK ID FIXTURE tidak ada di DAFTAR_FIXTURE",IF(H390="","CEK ZONA NO kosong",IF(K390="zona tidak ada di layout","CEK ZONA NO di luar layout",IF(I390&lt;&gt;K390,"CEK JENIS ZONA",IF(A390="","Zona STOCK",IF(B390="","CEK SKU DESCRIPTION kosong","OK"))))))))</f>
        <v/>
      </c>
    </row>
    <row r="391">
      <c r="A391" s="10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2">
        <f>IF(G391="","",IFERROR(INDEX(DAFTAR_FIXTURE!$B$2:$B$51,MATCH(G391,DAFTAR_FIXTURE!$A$2:$A$51,0)),""))</f>
        <v/>
      </c>
      <c r="K391" s="12">
        <f>IF(OR(J391="",H391=""),"",IFERROR(INDEX(LAYOUT!$D$2:$D$34,MATCH(J391&amp;"|"&amp;H391,LAYOUT!$E$2:$E$34,0)),"zona tidak ada di layout"))</f>
        <v/>
      </c>
      <c r="L391" s="12">
        <f>IF(OR(G391="",A391=""),"",COUNTIFS($G$2:$G$500,G391,$H$2:$H$500,H391,$A$2:$A$500,"&lt;&gt;"))</f>
        <v/>
      </c>
      <c r="M391" s="12">
        <f>IF(AND(A391="",G391=""),"",IF(G391="","Belum ditempatkan",IF(J391="","CEK ID FIXTURE tidak ada di DAFTAR_FIXTURE",IF(H391="","CEK ZONA NO kosong",IF(K391="zona tidak ada di layout","CEK ZONA NO di luar layout",IF(I391&lt;&gt;K391,"CEK JENIS ZONA",IF(A391="","Zona STOCK",IF(B391="","CEK SKU DESCRIPTION kosong","OK"))))))))</f>
        <v/>
      </c>
    </row>
    <row r="392">
      <c r="A392" s="10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2">
        <f>IF(G392="","",IFERROR(INDEX(DAFTAR_FIXTURE!$B$2:$B$51,MATCH(G392,DAFTAR_FIXTURE!$A$2:$A$51,0)),""))</f>
        <v/>
      </c>
      <c r="K392" s="12">
        <f>IF(OR(J392="",H392=""),"",IFERROR(INDEX(LAYOUT!$D$2:$D$34,MATCH(J392&amp;"|"&amp;H392,LAYOUT!$E$2:$E$34,0)),"zona tidak ada di layout"))</f>
        <v/>
      </c>
      <c r="L392" s="12">
        <f>IF(OR(G392="",A392=""),"",COUNTIFS($G$2:$G$500,G392,$H$2:$H$500,H392,$A$2:$A$500,"&lt;&gt;"))</f>
        <v/>
      </c>
      <c r="M392" s="12">
        <f>IF(AND(A392="",G392=""),"",IF(G392="","Belum ditempatkan",IF(J392="","CEK ID FIXTURE tidak ada di DAFTAR_FIXTURE",IF(H392="","CEK ZONA NO kosong",IF(K392="zona tidak ada di layout","CEK ZONA NO di luar layout",IF(I392&lt;&gt;K392,"CEK JENIS ZONA",IF(A392="","Zona STOCK",IF(B392="","CEK SKU DESCRIPTION kosong","OK"))))))))</f>
        <v/>
      </c>
    </row>
    <row r="393">
      <c r="A393" s="10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2">
        <f>IF(G393="","",IFERROR(INDEX(DAFTAR_FIXTURE!$B$2:$B$51,MATCH(G393,DAFTAR_FIXTURE!$A$2:$A$51,0)),""))</f>
        <v/>
      </c>
      <c r="K393" s="12">
        <f>IF(OR(J393="",H393=""),"",IFERROR(INDEX(LAYOUT!$D$2:$D$34,MATCH(J393&amp;"|"&amp;H393,LAYOUT!$E$2:$E$34,0)),"zona tidak ada di layout"))</f>
        <v/>
      </c>
      <c r="L393" s="12">
        <f>IF(OR(G393="",A393=""),"",COUNTIFS($G$2:$G$500,G393,$H$2:$H$500,H393,$A$2:$A$500,"&lt;&gt;"))</f>
        <v/>
      </c>
      <c r="M393" s="12">
        <f>IF(AND(A393="",G393=""),"",IF(G393="","Belum ditempatkan",IF(J393="","CEK ID FIXTURE tidak ada di DAFTAR_FIXTURE",IF(H393="","CEK ZONA NO kosong",IF(K393="zona tidak ada di layout","CEK ZONA NO di luar layout",IF(I393&lt;&gt;K393,"CEK JENIS ZONA",IF(A393="","Zona STOCK",IF(B393="","CEK SKU DESCRIPTION kosong","OK"))))))))</f>
        <v/>
      </c>
    </row>
    <row r="394">
      <c r="A394" s="10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2">
        <f>IF(G394="","",IFERROR(INDEX(DAFTAR_FIXTURE!$B$2:$B$51,MATCH(G394,DAFTAR_FIXTURE!$A$2:$A$51,0)),""))</f>
        <v/>
      </c>
      <c r="K394" s="12">
        <f>IF(OR(J394="",H394=""),"",IFERROR(INDEX(LAYOUT!$D$2:$D$34,MATCH(J394&amp;"|"&amp;H394,LAYOUT!$E$2:$E$34,0)),"zona tidak ada di layout"))</f>
        <v/>
      </c>
      <c r="L394" s="12">
        <f>IF(OR(G394="",A394=""),"",COUNTIFS($G$2:$G$500,G394,$H$2:$H$500,H394,$A$2:$A$500,"&lt;&gt;"))</f>
        <v/>
      </c>
      <c r="M394" s="12">
        <f>IF(AND(A394="",G394=""),"",IF(G394="","Belum ditempatkan",IF(J394="","CEK ID FIXTURE tidak ada di DAFTAR_FIXTURE",IF(H394="","CEK ZONA NO kosong",IF(K394="zona tidak ada di layout","CEK ZONA NO di luar layout",IF(I394&lt;&gt;K394,"CEK JENIS ZONA",IF(A394="","Zona STOCK",IF(B394="","CEK SKU DESCRIPTION kosong","OK"))))))))</f>
        <v/>
      </c>
    </row>
    <row r="395">
      <c r="A395" s="10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2">
        <f>IF(G395="","",IFERROR(INDEX(DAFTAR_FIXTURE!$B$2:$B$51,MATCH(G395,DAFTAR_FIXTURE!$A$2:$A$51,0)),""))</f>
        <v/>
      </c>
      <c r="K395" s="12">
        <f>IF(OR(J395="",H395=""),"",IFERROR(INDEX(LAYOUT!$D$2:$D$34,MATCH(J395&amp;"|"&amp;H395,LAYOUT!$E$2:$E$34,0)),"zona tidak ada di layout"))</f>
        <v/>
      </c>
      <c r="L395" s="12">
        <f>IF(OR(G395="",A395=""),"",COUNTIFS($G$2:$G$500,G395,$H$2:$H$500,H395,$A$2:$A$500,"&lt;&gt;"))</f>
        <v/>
      </c>
      <c r="M395" s="12">
        <f>IF(AND(A395="",G395=""),"",IF(G395="","Belum ditempatkan",IF(J395="","CEK ID FIXTURE tidak ada di DAFTAR_FIXTURE",IF(H395="","CEK ZONA NO kosong",IF(K395="zona tidak ada di layout","CEK ZONA NO di luar layout",IF(I395&lt;&gt;K395,"CEK JENIS ZONA",IF(A395="","Zona STOCK",IF(B395="","CEK SKU DESCRIPTION kosong","OK"))))))))</f>
        <v/>
      </c>
    </row>
    <row r="396">
      <c r="A396" s="10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2">
        <f>IF(G396="","",IFERROR(INDEX(DAFTAR_FIXTURE!$B$2:$B$51,MATCH(G396,DAFTAR_FIXTURE!$A$2:$A$51,0)),""))</f>
        <v/>
      </c>
      <c r="K396" s="12">
        <f>IF(OR(J396="",H396=""),"",IFERROR(INDEX(LAYOUT!$D$2:$D$34,MATCH(J396&amp;"|"&amp;H396,LAYOUT!$E$2:$E$34,0)),"zona tidak ada di layout"))</f>
        <v/>
      </c>
      <c r="L396" s="12">
        <f>IF(OR(G396="",A396=""),"",COUNTIFS($G$2:$G$500,G396,$H$2:$H$500,H396,$A$2:$A$500,"&lt;&gt;"))</f>
        <v/>
      </c>
      <c r="M396" s="12">
        <f>IF(AND(A396="",G396=""),"",IF(G396="","Belum ditempatkan",IF(J396="","CEK ID FIXTURE tidak ada di DAFTAR_FIXTURE",IF(H396="","CEK ZONA NO kosong",IF(K396="zona tidak ada di layout","CEK ZONA NO di luar layout",IF(I396&lt;&gt;K396,"CEK JENIS ZONA",IF(A396="","Zona STOCK",IF(B396="","CEK SKU DESCRIPTION kosong","OK"))))))))</f>
        <v/>
      </c>
    </row>
    <row r="397">
      <c r="A397" s="10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2">
        <f>IF(G397="","",IFERROR(INDEX(DAFTAR_FIXTURE!$B$2:$B$51,MATCH(G397,DAFTAR_FIXTURE!$A$2:$A$51,0)),""))</f>
        <v/>
      </c>
      <c r="K397" s="12">
        <f>IF(OR(J397="",H397=""),"",IFERROR(INDEX(LAYOUT!$D$2:$D$34,MATCH(J397&amp;"|"&amp;H397,LAYOUT!$E$2:$E$34,0)),"zona tidak ada di layout"))</f>
        <v/>
      </c>
      <c r="L397" s="12">
        <f>IF(OR(G397="",A397=""),"",COUNTIFS($G$2:$G$500,G397,$H$2:$H$500,H397,$A$2:$A$500,"&lt;&gt;"))</f>
        <v/>
      </c>
      <c r="M397" s="12">
        <f>IF(AND(A397="",G397=""),"",IF(G397="","Belum ditempatkan",IF(J397="","CEK ID FIXTURE tidak ada di DAFTAR_FIXTURE",IF(H397="","CEK ZONA NO kosong",IF(K397="zona tidak ada di layout","CEK ZONA NO di luar layout",IF(I397&lt;&gt;K397,"CEK JENIS ZONA",IF(A397="","Zona STOCK",IF(B397="","CEK SKU DESCRIPTION kosong","OK"))))))))</f>
        <v/>
      </c>
    </row>
    <row r="398">
      <c r="A398" s="10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2">
        <f>IF(G398="","",IFERROR(INDEX(DAFTAR_FIXTURE!$B$2:$B$51,MATCH(G398,DAFTAR_FIXTURE!$A$2:$A$51,0)),""))</f>
        <v/>
      </c>
      <c r="K398" s="12">
        <f>IF(OR(J398="",H398=""),"",IFERROR(INDEX(LAYOUT!$D$2:$D$34,MATCH(J398&amp;"|"&amp;H398,LAYOUT!$E$2:$E$34,0)),"zona tidak ada di layout"))</f>
        <v/>
      </c>
      <c r="L398" s="12">
        <f>IF(OR(G398="",A398=""),"",COUNTIFS($G$2:$G$500,G398,$H$2:$H$500,H398,$A$2:$A$500,"&lt;&gt;"))</f>
        <v/>
      </c>
      <c r="M398" s="12">
        <f>IF(AND(A398="",G398=""),"",IF(G398="","Belum ditempatkan",IF(J398="","CEK ID FIXTURE tidak ada di DAFTAR_FIXTURE",IF(H398="","CEK ZONA NO kosong",IF(K398="zona tidak ada di layout","CEK ZONA NO di luar layout",IF(I398&lt;&gt;K398,"CEK JENIS ZONA",IF(A398="","Zona STOCK",IF(B398="","CEK SKU DESCRIPTION kosong","OK"))))))))</f>
        <v/>
      </c>
    </row>
    <row r="399">
      <c r="A399" s="10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2">
        <f>IF(G399="","",IFERROR(INDEX(DAFTAR_FIXTURE!$B$2:$B$51,MATCH(G399,DAFTAR_FIXTURE!$A$2:$A$51,0)),""))</f>
        <v/>
      </c>
      <c r="K399" s="12">
        <f>IF(OR(J399="",H399=""),"",IFERROR(INDEX(LAYOUT!$D$2:$D$34,MATCH(J399&amp;"|"&amp;H399,LAYOUT!$E$2:$E$34,0)),"zona tidak ada di layout"))</f>
        <v/>
      </c>
      <c r="L399" s="12">
        <f>IF(OR(G399="",A399=""),"",COUNTIFS($G$2:$G$500,G399,$H$2:$H$500,H399,$A$2:$A$500,"&lt;&gt;"))</f>
        <v/>
      </c>
      <c r="M399" s="12">
        <f>IF(AND(A399="",G399=""),"",IF(G399="","Belum ditempatkan",IF(J399="","CEK ID FIXTURE tidak ada di DAFTAR_FIXTURE",IF(H399="","CEK ZONA NO kosong",IF(K399="zona tidak ada di layout","CEK ZONA NO di luar layout",IF(I399&lt;&gt;K399,"CEK JENIS ZONA",IF(A399="","Zona STOCK",IF(B399="","CEK SKU DESCRIPTION kosong","OK"))))))))</f>
        <v/>
      </c>
    </row>
    <row r="400">
      <c r="A400" s="10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2">
        <f>IF(G400="","",IFERROR(INDEX(DAFTAR_FIXTURE!$B$2:$B$51,MATCH(G400,DAFTAR_FIXTURE!$A$2:$A$51,0)),""))</f>
        <v/>
      </c>
      <c r="K400" s="12">
        <f>IF(OR(J400="",H400=""),"",IFERROR(INDEX(LAYOUT!$D$2:$D$34,MATCH(J400&amp;"|"&amp;H400,LAYOUT!$E$2:$E$34,0)),"zona tidak ada di layout"))</f>
        <v/>
      </c>
      <c r="L400" s="12">
        <f>IF(OR(G400="",A400=""),"",COUNTIFS($G$2:$G$500,G400,$H$2:$H$500,H400,$A$2:$A$500,"&lt;&gt;"))</f>
        <v/>
      </c>
      <c r="M400" s="12">
        <f>IF(AND(A400="",G400=""),"",IF(G400="","Belum ditempatkan",IF(J400="","CEK ID FIXTURE tidak ada di DAFTAR_FIXTURE",IF(H400="","CEK ZONA NO kosong",IF(K400="zona tidak ada di layout","CEK ZONA NO di luar layout",IF(I400&lt;&gt;K400,"CEK JENIS ZONA",IF(A400="","Zona STOCK",IF(B400="","CEK SKU DESCRIPTION kosong","OK"))))))))</f>
        <v/>
      </c>
    </row>
    <row r="401">
      <c r="A401" s="10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2">
        <f>IF(G401="","",IFERROR(INDEX(DAFTAR_FIXTURE!$B$2:$B$51,MATCH(G401,DAFTAR_FIXTURE!$A$2:$A$51,0)),""))</f>
        <v/>
      </c>
      <c r="K401" s="12">
        <f>IF(OR(J401="",H401=""),"",IFERROR(INDEX(LAYOUT!$D$2:$D$34,MATCH(J401&amp;"|"&amp;H401,LAYOUT!$E$2:$E$34,0)),"zona tidak ada di layout"))</f>
        <v/>
      </c>
      <c r="L401" s="12">
        <f>IF(OR(G401="",A401=""),"",COUNTIFS($G$2:$G$500,G401,$H$2:$H$500,H401,$A$2:$A$500,"&lt;&gt;"))</f>
        <v/>
      </c>
      <c r="M401" s="12">
        <f>IF(AND(A401="",G401=""),"",IF(G401="","Belum ditempatkan",IF(J401="","CEK ID FIXTURE tidak ada di DAFTAR_FIXTURE",IF(H401="","CEK ZONA NO kosong",IF(K401="zona tidak ada di layout","CEK ZONA NO di luar layout",IF(I401&lt;&gt;K401,"CEK JENIS ZONA",IF(A401="","Zona STOCK",IF(B401="","CEK SKU DESCRIPTION kosong","OK"))))))))</f>
        <v/>
      </c>
    </row>
    <row r="402">
      <c r="A402" s="10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2">
        <f>IF(G402="","",IFERROR(INDEX(DAFTAR_FIXTURE!$B$2:$B$51,MATCH(G402,DAFTAR_FIXTURE!$A$2:$A$51,0)),""))</f>
        <v/>
      </c>
      <c r="K402" s="12">
        <f>IF(OR(J402="",H402=""),"",IFERROR(INDEX(LAYOUT!$D$2:$D$34,MATCH(J402&amp;"|"&amp;H402,LAYOUT!$E$2:$E$34,0)),"zona tidak ada di layout"))</f>
        <v/>
      </c>
      <c r="L402" s="12">
        <f>IF(OR(G402="",A402=""),"",COUNTIFS($G$2:$G$500,G402,$H$2:$H$500,H402,$A$2:$A$500,"&lt;&gt;"))</f>
        <v/>
      </c>
      <c r="M402" s="12">
        <f>IF(AND(A402="",G402=""),"",IF(G402="","Belum ditempatkan",IF(J402="","CEK ID FIXTURE tidak ada di DAFTAR_FIXTURE",IF(H402="","CEK ZONA NO kosong",IF(K402="zona tidak ada di layout","CEK ZONA NO di luar layout",IF(I402&lt;&gt;K402,"CEK JENIS ZONA",IF(A402="","Zona STOCK",IF(B402="","CEK SKU DESCRIPTION kosong","OK"))))))))</f>
        <v/>
      </c>
    </row>
    <row r="403">
      <c r="A403" s="10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2">
        <f>IF(G403="","",IFERROR(INDEX(DAFTAR_FIXTURE!$B$2:$B$51,MATCH(G403,DAFTAR_FIXTURE!$A$2:$A$51,0)),""))</f>
        <v/>
      </c>
      <c r="K403" s="12">
        <f>IF(OR(J403="",H403=""),"",IFERROR(INDEX(LAYOUT!$D$2:$D$34,MATCH(J403&amp;"|"&amp;H403,LAYOUT!$E$2:$E$34,0)),"zona tidak ada di layout"))</f>
        <v/>
      </c>
      <c r="L403" s="12">
        <f>IF(OR(G403="",A403=""),"",COUNTIFS($G$2:$G$500,G403,$H$2:$H$500,H403,$A$2:$A$500,"&lt;&gt;"))</f>
        <v/>
      </c>
      <c r="M403" s="12">
        <f>IF(AND(A403="",G403=""),"",IF(G403="","Belum ditempatkan",IF(J403="","CEK ID FIXTURE tidak ada di DAFTAR_FIXTURE",IF(H403="","CEK ZONA NO kosong",IF(K403="zona tidak ada di layout","CEK ZONA NO di luar layout",IF(I403&lt;&gt;K403,"CEK JENIS ZONA",IF(A403="","Zona STOCK",IF(B403="","CEK SKU DESCRIPTION kosong","OK"))))))))</f>
        <v/>
      </c>
    </row>
    <row r="404">
      <c r="A404" s="10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2">
        <f>IF(G404="","",IFERROR(INDEX(DAFTAR_FIXTURE!$B$2:$B$51,MATCH(G404,DAFTAR_FIXTURE!$A$2:$A$51,0)),""))</f>
        <v/>
      </c>
      <c r="K404" s="12">
        <f>IF(OR(J404="",H404=""),"",IFERROR(INDEX(LAYOUT!$D$2:$D$34,MATCH(J404&amp;"|"&amp;H404,LAYOUT!$E$2:$E$34,0)),"zona tidak ada di layout"))</f>
        <v/>
      </c>
      <c r="L404" s="12">
        <f>IF(OR(G404="",A404=""),"",COUNTIFS($G$2:$G$500,G404,$H$2:$H$500,H404,$A$2:$A$500,"&lt;&gt;"))</f>
        <v/>
      </c>
      <c r="M404" s="12">
        <f>IF(AND(A404="",G404=""),"",IF(G404="","Belum ditempatkan",IF(J404="","CEK ID FIXTURE tidak ada di DAFTAR_FIXTURE",IF(H404="","CEK ZONA NO kosong",IF(K404="zona tidak ada di layout","CEK ZONA NO di luar layout",IF(I404&lt;&gt;K404,"CEK JENIS ZONA",IF(A404="","Zona STOCK",IF(B404="","CEK SKU DESCRIPTION kosong","OK"))))))))</f>
        <v/>
      </c>
    </row>
    <row r="405">
      <c r="A405" s="10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2">
        <f>IF(G405="","",IFERROR(INDEX(DAFTAR_FIXTURE!$B$2:$B$51,MATCH(G405,DAFTAR_FIXTURE!$A$2:$A$51,0)),""))</f>
        <v/>
      </c>
      <c r="K405" s="12">
        <f>IF(OR(J405="",H405=""),"",IFERROR(INDEX(LAYOUT!$D$2:$D$34,MATCH(J405&amp;"|"&amp;H405,LAYOUT!$E$2:$E$34,0)),"zona tidak ada di layout"))</f>
        <v/>
      </c>
      <c r="L405" s="12">
        <f>IF(OR(G405="",A405=""),"",COUNTIFS($G$2:$G$500,G405,$H$2:$H$500,H405,$A$2:$A$500,"&lt;&gt;"))</f>
        <v/>
      </c>
      <c r="M405" s="12">
        <f>IF(AND(A405="",G405=""),"",IF(G405="","Belum ditempatkan",IF(J405="","CEK ID FIXTURE tidak ada di DAFTAR_FIXTURE",IF(H405="","CEK ZONA NO kosong",IF(K405="zona tidak ada di layout","CEK ZONA NO di luar layout",IF(I405&lt;&gt;K405,"CEK JENIS ZONA",IF(A405="","Zona STOCK",IF(B405="","CEK SKU DESCRIPTION kosong","OK"))))))))</f>
        <v/>
      </c>
    </row>
    <row r="406">
      <c r="A406" s="10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2">
        <f>IF(G406="","",IFERROR(INDEX(DAFTAR_FIXTURE!$B$2:$B$51,MATCH(G406,DAFTAR_FIXTURE!$A$2:$A$51,0)),""))</f>
        <v/>
      </c>
      <c r="K406" s="12">
        <f>IF(OR(J406="",H406=""),"",IFERROR(INDEX(LAYOUT!$D$2:$D$34,MATCH(J406&amp;"|"&amp;H406,LAYOUT!$E$2:$E$34,0)),"zona tidak ada di layout"))</f>
        <v/>
      </c>
      <c r="L406" s="12">
        <f>IF(OR(G406="",A406=""),"",COUNTIFS($G$2:$G$500,G406,$H$2:$H$500,H406,$A$2:$A$500,"&lt;&gt;"))</f>
        <v/>
      </c>
      <c r="M406" s="12">
        <f>IF(AND(A406="",G406=""),"",IF(G406="","Belum ditempatkan",IF(J406="","CEK ID FIXTURE tidak ada di DAFTAR_FIXTURE",IF(H406="","CEK ZONA NO kosong",IF(K406="zona tidak ada di layout","CEK ZONA NO di luar layout",IF(I406&lt;&gt;K406,"CEK JENIS ZONA",IF(A406="","Zona STOCK",IF(B406="","CEK SKU DESCRIPTION kosong","OK"))))))))</f>
        <v/>
      </c>
    </row>
    <row r="407">
      <c r="A407" s="10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2">
        <f>IF(G407="","",IFERROR(INDEX(DAFTAR_FIXTURE!$B$2:$B$51,MATCH(G407,DAFTAR_FIXTURE!$A$2:$A$51,0)),""))</f>
        <v/>
      </c>
      <c r="K407" s="12">
        <f>IF(OR(J407="",H407=""),"",IFERROR(INDEX(LAYOUT!$D$2:$D$34,MATCH(J407&amp;"|"&amp;H407,LAYOUT!$E$2:$E$34,0)),"zona tidak ada di layout"))</f>
        <v/>
      </c>
      <c r="L407" s="12">
        <f>IF(OR(G407="",A407=""),"",COUNTIFS($G$2:$G$500,G407,$H$2:$H$500,H407,$A$2:$A$500,"&lt;&gt;"))</f>
        <v/>
      </c>
      <c r="M407" s="12">
        <f>IF(AND(A407="",G407=""),"",IF(G407="","Belum ditempatkan",IF(J407="","CEK ID FIXTURE tidak ada di DAFTAR_FIXTURE",IF(H407="","CEK ZONA NO kosong",IF(K407="zona tidak ada di layout","CEK ZONA NO di luar layout",IF(I407&lt;&gt;K407,"CEK JENIS ZONA",IF(A407="","Zona STOCK",IF(B407="","CEK SKU DESCRIPTION kosong","OK"))))))))</f>
        <v/>
      </c>
    </row>
    <row r="408">
      <c r="A408" s="10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2">
        <f>IF(G408="","",IFERROR(INDEX(DAFTAR_FIXTURE!$B$2:$B$51,MATCH(G408,DAFTAR_FIXTURE!$A$2:$A$51,0)),""))</f>
        <v/>
      </c>
      <c r="K408" s="12">
        <f>IF(OR(J408="",H408=""),"",IFERROR(INDEX(LAYOUT!$D$2:$D$34,MATCH(J408&amp;"|"&amp;H408,LAYOUT!$E$2:$E$34,0)),"zona tidak ada di layout"))</f>
        <v/>
      </c>
      <c r="L408" s="12">
        <f>IF(OR(G408="",A408=""),"",COUNTIFS($G$2:$G$500,G408,$H$2:$H$500,H408,$A$2:$A$500,"&lt;&gt;"))</f>
        <v/>
      </c>
      <c r="M408" s="12">
        <f>IF(AND(A408="",G408=""),"",IF(G408="","Belum ditempatkan",IF(J408="","CEK ID FIXTURE tidak ada di DAFTAR_FIXTURE",IF(H408="","CEK ZONA NO kosong",IF(K408="zona tidak ada di layout","CEK ZONA NO di luar layout",IF(I408&lt;&gt;K408,"CEK JENIS ZONA",IF(A408="","Zona STOCK",IF(B408="","CEK SKU DESCRIPTION kosong","OK"))))))))</f>
        <v/>
      </c>
    </row>
    <row r="409">
      <c r="A409" s="10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2">
        <f>IF(G409="","",IFERROR(INDEX(DAFTAR_FIXTURE!$B$2:$B$51,MATCH(G409,DAFTAR_FIXTURE!$A$2:$A$51,0)),""))</f>
        <v/>
      </c>
      <c r="K409" s="12">
        <f>IF(OR(J409="",H409=""),"",IFERROR(INDEX(LAYOUT!$D$2:$D$34,MATCH(J409&amp;"|"&amp;H409,LAYOUT!$E$2:$E$34,0)),"zona tidak ada di layout"))</f>
        <v/>
      </c>
      <c r="L409" s="12">
        <f>IF(OR(G409="",A409=""),"",COUNTIFS($G$2:$G$500,G409,$H$2:$H$500,H409,$A$2:$A$500,"&lt;&gt;"))</f>
        <v/>
      </c>
      <c r="M409" s="12">
        <f>IF(AND(A409="",G409=""),"",IF(G409="","Belum ditempatkan",IF(J409="","CEK ID FIXTURE tidak ada di DAFTAR_FIXTURE",IF(H409="","CEK ZONA NO kosong",IF(K409="zona tidak ada di layout","CEK ZONA NO di luar layout",IF(I409&lt;&gt;K409,"CEK JENIS ZONA",IF(A409="","Zona STOCK",IF(B409="","CEK SKU DESCRIPTION kosong","OK"))))))))</f>
        <v/>
      </c>
    </row>
    <row r="410">
      <c r="A410" s="10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2">
        <f>IF(G410="","",IFERROR(INDEX(DAFTAR_FIXTURE!$B$2:$B$51,MATCH(G410,DAFTAR_FIXTURE!$A$2:$A$51,0)),""))</f>
        <v/>
      </c>
      <c r="K410" s="12">
        <f>IF(OR(J410="",H410=""),"",IFERROR(INDEX(LAYOUT!$D$2:$D$34,MATCH(J410&amp;"|"&amp;H410,LAYOUT!$E$2:$E$34,0)),"zona tidak ada di layout"))</f>
        <v/>
      </c>
      <c r="L410" s="12">
        <f>IF(OR(G410="",A410=""),"",COUNTIFS($G$2:$G$500,G410,$H$2:$H$500,H410,$A$2:$A$500,"&lt;&gt;"))</f>
        <v/>
      </c>
      <c r="M410" s="12">
        <f>IF(AND(A410="",G410=""),"",IF(G410="","Belum ditempatkan",IF(J410="","CEK ID FIXTURE tidak ada di DAFTAR_FIXTURE",IF(H410="","CEK ZONA NO kosong",IF(K410="zona tidak ada di layout","CEK ZONA NO di luar layout",IF(I410&lt;&gt;K410,"CEK JENIS ZONA",IF(A410="","Zona STOCK",IF(B410="","CEK SKU DESCRIPTION kosong","OK"))))))))</f>
        <v/>
      </c>
    </row>
    <row r="411">
      <c r="A411" s="10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2">
        <f>IF(G411="","",IFERROR(INDEX(DAFTAR_FIXTURE!$B$2:$B$51,MATCH(G411,DAFTAR_FIXTURE!$A$2:$A$51,0)),""))</f>
        <v/>
      </c>
      <c r="K411" s="12">
        <f>IF(OR(J411="",H411=""),"",IFERROR(INDEX(LAYOUT!$D$2:$D$34,MATCH(J411&amp;"|"&amp;H411,LAYOUT!$E$2:$E$34,0)),"zona tidak ada di layout"))</f>
        <v/>
      </c>
      <c r="L411" s="12">
        <f>IF(OR(G411="",A411=""),"",COUNTIFS($G$2:$G$500,G411,$H$2:$H$500,H411,$A$2:$A$500,"&lt;&gt;"))</f>
        <v/>
      </c>
      <c r="M411" s="12">
        <f>IF(AND(A411="",G411=""),"",IF(G411="","Belum ditempatkan",IF(J411="","CEK ID FIXTURE tidak ada di DAFTAR_FIXTURE",IF(H411="","CEK ZONA NO kosong",IF(K411="zona tidak ada di layout","CEK ZONA NO di luar layout",IF(I411&lt;&gt;K411,"CEK JENIS ZONA",IF(A411="","Zona STOCK",IF(B411="","CEK SKU DESCRIPTION kosong","OK"))))))))</f>
        <v/>
      </c>
    </row>
    <row r="412">
      <c r="A412" s="10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2">
        <f>IF(G412="","",IFERROR(INDEX(DAFTAR_FIXTURE!$B$2:$B$51,MATCH(G412,DAFTAR_FIXTURE!$A$2:$A$51,0)),""))</f>
        <v/>
      </c>
      <c r="K412" s="12">
        <f>IF(OR(J412="",H412=""),"",IFERROR(INDEX(LAYOUT!$D$2:$D$34,MATCH(J412&amp;"|"&amp;H412,LAYOUT!$E$2:$E$34,0)),"zona tidak ada di layout"))</f>
        <v/>
      </c>
      <c r="L412" s="12">
        <f>IF(OR(G412="",A412=""),"",COUNTIFS($G$2:$G$500,G412,$H$2:$H$500,H412,$A$2:$A$500,"&lt;&gt;"))</f>
        <v/>
      </c>
      <c r="M412" s="12">
        <f>IF(AND(A412="",G412=""),"",IF(G412="","Belum ditempatkan",IF(J412="","CEK ID FIXTURE tidak ada di DAFTAR_FIXTURE",IF(H412="","CEK ZONA NO kosong",IF(K412="zona tidak ada di layout","CEK ZONA NO di luar layout",IF(I412&lt;&gt;K412,"CEK JENIS ZONA",IF(A412="","Zona STOCK",IF(B412="","CEK SKU DESCRIPTION kosong","OK"))))))))</f>
        <v/>
      </c>
    </row>
    <row r="413">
      <c r="A413" s="10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2">
        <f>IF(G413="","",IFERROR(INDEX(DAFTAR_FIXTURE!$B$2:$B$51,MATCH(G413,DAFTAR_FIXTURE!$A$2:$A$51,0)),""))</f>
        <v/>
      </c>
      <c r="K413" s="12">
        <f>IF(OR(J413="",H413=""),"",IFERROR(INDEX(LAYOUT!$D$2:$D$34,MATCH(J413&amp;"|"&amp;H413,LAYOUT!$E$2:$E$34,0)),"zona tidak ada di layout"))</f>
        <v/>
      </c>
      <c r="L413" s="12">
        <f>IF(OR(G413="",A413=""),"",COUNTIFS($G$2:$G$500,G413,$H$2:$H$500,H413,$A$2:$A$500,"&lt;&gt;"))</f>
        <v/>
      </c>
      <c r="M413" s="12">
        <f>IF(AND(A413="",G413=""),"",IF(G413="","Belum ditempatkan",IF(J413="","CEK ID FIXTURE tidak ada di DAFTAR_FIXTURE",IF(H413="","CEK ZONA NO kosong",IF(K413="zona tidak ada di layout","CEK ZONA NO di luar layout",IF(I413&lt;&gt;K413,"CEK JENIS ZONA",IF(A413="","Zona STOCK",IF(B413="","CEK SKU DESCRIPTION kosong","OK"))))))))</f>
        <v/>
      </c>
    </row>
    <row r="414">
      <c r="A414" s="10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2">
        <f>IF(G414="","",IFERROR(INDEX(DAFTAR_FIXTURE!$B$2:$B$51,MATCH(G414,DAFTAR_FIXTURE!$A$2:$A$51,0)),""))</f>
        <v/>
      </c>
      <c r="K414" s="12">
        <f>IF(OR(J414="",H414=""),"",IFERROR(INDEX(LAYOUT!$D$2:$D$34,MATCH(J414&amp;"|"&amp;H414,LAYOUT!$E$2:$E$34,0)),"zona tidak ada di layout"))</f>
        <v/>
      </c>
      <c r="L414" s="12">
        <f>IF(OR(G414="",A414=""),"",COUNTIFS($G$2:$G$500,G414,$H$2:$H$500,H414,$A$2:$A$500,"&lt;&gt;"))</f>
        <v/>
      </c>
      <c r="M414" s="12">
        <f>IF(AND(A414="",G414=""),"",IF(G414="","Belum ditempatkan",IF(J414="","CEK ID FIXTURE tidak ada di DAFTAR_FIXTURE",IF(H414="","CEK ZONA NO kosong",IF(K414="zona tidak ada di layout","CEK ZONA NO di luar layout",IF(I414&lt;&gt;K414,"CEK JENIS ZONA",IF(A414="","Zona STOCK",IF(B414="","CEK SKU DESCRIPTION kosong","OK"))))))))</f>
        <v/>
      </c>
    </row>
    <row r="415">
      <c r="A415" s="10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2">
        <f>IF(G415="","",IFERROR(INDEX(DAFTAR_FIXTURE!$B$2:$B$51,MATCH(G415,DAFTAR_FIXTURE!$A$2:$A$51,0)),""))</f>
        <v/>
      </c>
      <c r="K415" s="12">
        <f>IF(OR(J415="",H415=""),"",IFERROR(INDEX(LAYOUT!$D$2:$D$34,MATCH(J415&amp;"|"&amp;H415,LAYOUT!$E$2:$E$34,0)),"zona tidak ada di layout"))</f>
        <v/>
      </c>
      <c r="L415" s="12">
        <f>IF(OR(G415="",A415=""),"",COUNTIFS($G$2:$G$500,G415,$H$2:$H$500,H415,$A$2:$A$500,"&lt;&gt;"))</f>
        <v/>
      </c>
      <c r="M415" s="12">
        <f>IF(AND(A415="",G415=""),"",IF(G415="","Belum ditempatkan",IF(J415="","CEK ID FIXTURE tidak ada di DAFTAR_FIXTURE",IF(H415="","CEK ZONA NO kosong",IF(K415="zona tidak ada di layout","CEK ZONA NO di luar layout",IF(I415&lt;&gt;K415,"CEK JENIS ZONA",IF(A415="","Zona STOCK",IF(B415="","CEK SKU DESCRIPTION kosong","OK"))))))))</f>
        <v/>
      </c>
    </row>
    <row r="416">
      <c r="A416" s="10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2">
        <f>IF(G416="","",IFERROR(INDEX(DAFTAR_FIXTURE!$B$2:$B$51,MATCH(G416,DAFTAR_FIXTURE!$A$2:$A$51,0)),""))</f>
        <v/>
      </c>
      <c r="K416" s="12">
        <f>IF(OR(J416="",H416=""),"",IFERROR(INDEX(LAYOUT!$D$2:$D$34,MATCH(J416&amp;"|"&amp;H416,LAYOUT!$E$2:$E$34,0)),"zona tidak ada di layout"))</f>
        <v/>
      </c>
      <c r="L416" s="12">
        <f>IF(OR(G416="",A416=""),"",COUNTIFS($G$2:$G$500,G416,$H$2:$H$500,H416,$A$2:$A$500,"&lt;&gt;"))</f>
        <v/>
      </c>
      <c r="M416" s="12">
        <f>IF(AND(A416="",G416=""),"",IF(G416="","Belum ditempatkan",IF(J416="","CEK ID FIXTURE tidak ada di DAFTAR_FIXTURE",IF(H416="","CEK ZONA NO kosong",IF(K416="zona tidak ada di layout","CEK ZONA NO di luar layout",IF(I416&lt;&gt;K416,"CEK JENIS ZONA",IF(A416="","Zona STOCK",IF(B416="","CEK SKU DESCRIPTION kosong","OK"))))))))</f>
        <v/>
      </c>
    </row>
    <row r="417">
      <c r="A417" s="10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2">
        <f>IF(G417="","",IFERROR(INDEX(DAFTAR_FIXTURE!$B$2:$B$51,MATCH(G417,DAFTAR_FIXTURE!$A$2:$A$51,0)),""))</f>
        <v/>
      </c>
      <c r="K417" s="12">
        <f>IF(OR(J417="",H417=""),"",IFERROR(INDEX(LAYOUT!$D$2:$D$34,MATCH(J417&amp;"|"&amp;H417,LAYOUT!$E$2:$E$34,0)),"zona tidak ada di layout"))</f>
        <v/>
      </c>
      <c r="L417" s="12">
        <f>IF(OR(G417="",A417=""),"",COUNTIFS($G$2:$G$500,G417,$H$2:$H$500,H417,$A$2:$A$500,"&lt;&gt;"))</f>
        <v/>
      </c>
      <c r="M417" s="12">
        <f>IF(AND(A417="",G417=""),"",IF(G417="","Belum ditempatkan",IF(J417="","CEK ID FIXTURE tidak ada di DAFTAR_FIXTURE",IF(H417="","CEK ZONA NO kosong",IF(K417="zona tidak ada di layout","CEK ZONA NO di luar layout",IF(I417&lt;&gt;K417,"CEK JENIS ZONA",IF(A417="","Zona STOCK",IF(B417="","CEK SKU DESCRIPTION kosong","OK"))))))))</f>
        <v/>
      </c>
    </row>
    <row r="418">
      <c r="A418" s="10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2">
        <f>IF(G418="","",IFERROR(INDEX(DAFTAR_FIXTURE!$B$2:$B$51,MATCH(G418,DAFTAR_FIXTURE!$A$2:$A$51,0)),""))</f>
        <v/>
      </c>
      <c r="K418" s="12">
        <f>IF(OR(J418="",H418=""),"",IFERROR(INDEX(LAYOUT!$D$2:$D$34,MATCH(J418&amp;"|"&amp;H418,LAYOUT!$E$2:$E$34,0)),"zona tidak ada di layout"))</f>
        <v/>
      </c>
      <c r="L418" s="12">
        <f>IF(OR(G418="",A418=""),"",COUNTIFS($G$2:$G$500,G418,$H$2:$H$500,H418,$A$2:$A$500,"&lt;&gt;"))</f>
        <v/>
      </c>
      <c r="M418" s="12">
        <f>IF(AND(A418="",G418=""),"",IF(G418="","Belum ditempatkan",IF(J418="","CEK ID FIXTURE tidak ada di DAFTAR_FIXTURE",IF(H418="","CEK ZONA NO kosong",IF(K418="zona tidak ada di layout","CEK ZONA NO di luar layout",IF(I418&lt;&gt;K418,"CEK JENIS ZONA",IF(A418="","Zona STOCK",IF(B418="","CEK SKU DESCRIPTION kosong","OK"))))))))</f>
        <v/>
      </c>
    </row>
    <row r="419">
      <c r="A419" s="10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2">
        <f>IF(G419="","",IFERROR(INDEX(DAFTAR_FIXTURE!$B$2:$B$51,MATCH(G419,DAFTAR_FIXTURE!$A$2:$A$51,0)),""))</f>
        <v/>
      </c>
      <c r="K419" s="12">
        <f>IF(OR(J419="",H419=""),"",IFERROR(INDEX(LAYOUT!$D$2:$D$34,MATCH(J419&amp;"|"&amp;H419,LAYOUT!$E$2:$E$34,0)),"zona tidak ada di layout"))</f>
        <v/>
      </c>
      <c r="L419" s="12">
        <f>IF(OR(G419="",A419=""),"",COUNTIFS($G$2:$G$500,G419,$H$2:$H$500,H419,$A$2:$A$500,"&lt;&gt;"))</f>
        <v/>
      </c>
      <c r="M419" s="12">
        <f>IF(AND(A419="",G419=""),"",IF(G419="","Belum ditempatkan",IF(J419="","CEK ID FIXTURE tidak ada di DAFTAR_FIXTURE",IF(H419="","CEK ZONA NO kosong",IF(K419="zona tidak ada di layout","CEK ZONA NO di luar layout",IF(I419&lt;&gt;K419,"CEK JENIS ZONA",IF(A419="","Zona STOCK",IF(B419="","CEK SKU DESCRIPTION kosong","OK"))))))))</f>
        <v/>
      </c>
    </row>
    <row r="420">
      <c r="A420" s="10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2">
        <f>IF(G420="","",IFERROR(INDEX(DAFTAR_FIXTURE!$B$2:$B$51,MATCH(G420,DAFTAR_FIXTURE!$A$2:$A$51,0)),""))</f>
        <v/>
      </c>
      <c r="K420" s="12">
        <f>IF(OR(J420="",H420=""),"",IFERROR(INDEX(LAYOUT!$D$2:$D$34,MATCH(J420&amp;"|"&amp;H420,LAYOUT!$E$2:$E$34,0)),"zona tidak ada di layout"))</f>
        <v/>
      </c>
      <c r="L420" s="12">
        <f>IF(OR(G420="",A420=""),"",COUNTIFS($G$2:$G$500,G420,$H$2:$H$500,H420,$A$2:$A$500,"&lt;&gt;"))</f>
        <v/>
      </c>
      <c r="M420" s="12">
        <f>IF(AND(A420="",G420=""),"",IF(G420="","Belum ditempatkan",IF(J420="","CEK ID FIXTURE tidak ada di DAFTAR_FIXTURE",IF(H420="","CEK ZONA NO kosong",IF(K420="zona tidak ada di layout","CEK ZONA NO di luar layout",IF(I420&lt;&gt;K420,"CEK JENIS ZONA",IF(A420="","Zona STOCK",IF(B420="","CEK SKU DESCRIPTION kosong","OK"))))))))</f>
        <v/>
      </c>
    </row>
    <row r="421">
      <c r="A421" s="10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2">
        <f>IF(G421="","",IFERROR(INDEX(DAFTAR_FIXTURE!$B$2:$B$51,MATCH(G421,DAFTAR_FIXTURE!$A$2:$A$51,0)),""))</f>
        <v/>
      </c>
      <c r="K421" s="12">
        <f>IF(OR(J421="",H421=""),"",IFERROR(INDEX(LAYOUT!$D$2:$D$34,MATCH(J421&amp;"|"&amp;H421,LAYOUT!$E$2:$E$34,0)),"zona tidak ada di layout"))</f>
        <v/>
      </c>
      <c r="L421" s="12">
        <f>IF(OR(G421="",A421=""),"",COUNTIFS($G$2:$G$500,G421,$H$2:$H$500,H421,$A$2:$A$500,"&lt;&gt;"))</f>
        <v/>
      </c>
      <c r="M421" s="12">
        <f>IF(AND(A421="",G421=""),"",IF(G421="","Belum ditempatkan",IF(J421="","CEK ID FIXTURE tidak ada di DAFTAR_FIXTURE",IF(H421="","CEK ZONA NO kosong",IF(K421="zona tidak ada di layout","CEK ZONA NO di luar layout",IF(I421&lt;&gt;K421,"CEK JENIS ZONA",IF(A421="","Zona STOCK",IF(B421="","CEK SKU DESCRIPTION kosong","OK"))))))))</f>
        <v/>
      </c>
    </row>
    <row r="422">
      <c r="A422" s="10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2">
        <f>IF(G422="","",IFERROR(INDEX(DAFTAR_FIXTURE!$B$2:$B$51,MATCH(G422,DAFTAR_FIXTURE!$A$2:$A$51,0)),""))</f>
        <v/>
      </c>
      <c r="K422" s="12">
        <f>IF(OR(J422="",H422=""),"",IFERROR(INDEX(LAYOUT!$D$2:$D$34,MATCH(J422&amp;"|"&amp;H422,LAYOUT!$E$2:$E$34,0)),"zona tidak ada di layout"))</f>
        <v/>
      </c>
      <c r="L422" s="12">
        <f>IF(OR(G422="",A422=""),"",COUNTIFS($G$2:$G$500,G422,$H$2:$H$500,H422,$A$2:$A$500,"&lt;&gt;"))</f>
        <v/>
      </c>
      <c r="M422" s="12">
        <f>IF(AND(A422="",G422=""),"",IF(G422="","Belum ditempatkan",IF(J422="","CEK ID FIXTURE tidak ada di DAFTAR_FIXTURE",IF(H422="","CEK ZONA NO kosong",IF(K422="zona tidak ada di layout","CEK ZONA NO di luar layout",IF(I422&lt;&gt;K422,"CEK JENIS ZONA",IF(A422="","Zona STOCK",IF(B422="","CEK SKU DESCRIPTION kosong","OK"))))))))</f>
        <v/>
      </c>
    </row>
    <row r="423">
      <c r="A423" s="10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2">
        <f>IF(G423="","",IFERROR(INDEX(DAFTAR_FIXTURE!$B$2:$B$51,MATCH(G423,DAFTAR_FIXTURE!$A$2:$A$51,0)),""))</f>
        <v/>
      </c>
      <c r="K423" s="12">
        <f>IF(OR(J423="",H423=""),"",IFERROR(INDEX(LAYOUT!$D$2:$D$34,MATCH(J423&amp;"|"&amp;H423,LAYOUT!$E$2:$E$34,0)),"zona tidak ada di layout"))</f>
        <v/>
      </c>
      <c r="L423" s="12">
        <f>IF(OR(G423="",A423=""),"",COUNTIFS($G$2:$G$500,G423,$H$2:$H$500,H423,$A$2:$A$500,"&lt;&gt;"))</f>
        <v/>
      </c>
      <c r="M423" s="12">
        <f>IF(AND(A423="",G423=""),"",IF(G423="","Belum ditempatkan",IF(J423="","CEK ID FIXTURE tidak ada di DAFTAR_FIXTURE",IF(H423="","CEK ZONA NO kosong",IF(K423="zona tidak ada di layout","CEK ZONA NO di luar layout",IF(I423&lt;&gt;K423,"CEK JENIS ZONA",IF(A423="","Zona STOCK",IF(B423="","CEK SKU DESCRIPTION kosong","OK"))))))))</f>
        <v/>
      </c>
    </row>
    <row r="424">
      <c r="A424" s="10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2">
        <f>IF(G424="","",IFERROR(INDEX(DAFTAR_FIXTURE!$B$2:$B$51,MATCH(G424,DAFTAR_FIXTURE!$A$2:$A$51,0)),""))</f>
        <v/>
      </c>
      <c r="K424" s="12">
        <f>IF(OR(J424="",H424=""),"",IFERROR(INDEX(LAYOUT!$D$2:$D$34,MATCH(J424&amp;"|"&amp;H424,LAYOUT!$E$2:$E$34,0)),"zona tidak ada di layout"))</f>
        <v/>
      </c>
      <c r="L424" s="12">
        <f>IF(OR(G424="",A424=""),"",COUNTIFS($G$2:$G$500,G424,$H$2:$H$500,H424,$A$2:$A$500,"&lt;&gt;"))</f>
        <v/>
      </c>
      <c r="M424" s="12">
        <f>IF(AND(A424="",G424=""),"",IF(G424="","Belum ditempatkan",IF(J424="","CEK ID FIXTURE tidak ada di DAFTAR_FIXTURE",IF(H424="","CEK ZONA NO kosong",IF(K424="zona tidak ada di layout","CEK ZONA NO di luar layout",IF(I424&lt;&gt;K424,"CEK JENIS ZONA",IF(A424="","Zona STOCK",IF(B424="","CEK SKU DESCRIPTION kosong","OK"))))))))</f>
        <v/>
      </c>
    </row>
    <row r="425">
      <c r="A425" s="10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2">
        <f>IF(G425="","",IFERROR(INDEX(DAFTAR_FIXTURE!$B$2:$B$51,MATCH(G425,DAFTAR_FIXTURE!$A$2:$A$51,0)),""))</f>
        <v/>
      </c>
      <c r="K425" s="12">
        <f>IF(OR(J425="",H425=""),"",IFERROR(INDEX(LAYOUT!$D$2:$D$34,MATCH(J425&amp;"|"&amp;H425,LAYOUT!$E$2:$E$34,0)),"zona tidak ada di layout"))</f>
        <v/>
      </c>
      <c r="L425" s="12">
        <f>IF(OR(G425="",A425=""),"",COUNTIFS($G$2:$G$500,G425,$H$2:$H$500,H425,$A$2:$A$500,"&lt;&gt;"))</f>
        <v/>
      </c>
      <c r="M425" s="12">
        <f>IF(AND(A425="",G425=""),"",IF(G425="","Belum ditempatkan",IF(J425="","CEK ID FIXTURE tidak ada di DAFTAR_FIXTURE",IF(H425="","CEK ZONA NO kosong",IF(K425="zona tidak ada di layout","CEK ZONA NO di luar layout",IF(I425&lt;&gt;K425,"CEK JENIS ZONA",IF(A425="","Zona STOCK",IF(B425="","CEK SKU DESCRIPTION kosong","OK"))))))))</f>
        <v/>
      </c>
    </row>
    <row r="426">
      <c r="A426" s="10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2">
        <f>IF(G426="","",IFERROR(INDEX(DAFTAR_FIXTURE!$B$2:$B$51,MATCH(G426,DAFTAR_FIXTURE!$A$2:$A$51,0)),""))</f>
        <v/>
      </c>
      <c r="K426" s="12">
        <f>IF(OR(J426="",H426=""),"",IFERROR(INDEX(LAYOUT!$D$2:$D$34,MATCH(J426&amp;"|"&amp;H426,LAYOUT!$E$2:$E$34,0)),"zona tidak ada di layout"))</f>
        <v/>
      </c>
      <c r="L426" s="12">
        <f>IF(OR(G426="",A426=""),"",COUNTIFS($G$2:$G$500,G426,$H$2:$H$500,H426,$A$2:$A$500,"&lt;&gt;"))</f>
        <v/>
      </c>
      <c r="M426" s="12">
        <f>IF(AND(A426="",G426=""),"",IF(G426="","Belum ditempatkan",IF(J426="","CEK ID FIXTURE tidak ada di DAFTAR_FIXTURE",IF(H426="","CEK ZONA NO kosong",IF(K426="zona tidak ada di layout","CEK ZONA NO di luar layout",IF(I426&lt;&gt;K426,"CEK JENIS ZONA",IF(A426="","Zona STOCK",IF(B426="","CEK SKU DESCRIPTION kosong","OK"))))))))</f>
        <v/>
      </c>
    </row>
    <row r="427">
      <c r="A427" s="10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2">
        <f>IF(G427="","",IFERROR(INDEX(DAFTAR_FIXTURE!$B$2:$B$51,MATCH(G427,DAFTAR_FIXTURE!$A$2:$A$51,0)),""))</f>
        <v/>
      </c>
      <c r="K427" s="12">
        <f>IF(OR(J427="",H427=""),"",IFERROR(INDEX(LAYOUT!$D$2:$D$34,MATCH(J427&amp;"|"&amp;H427,LAYOUT!$E$2:$E$34,0)),"zona tidak ada di layout"))</f>
        <v/>
      </c>
      <c r="L427" s="12">
        <f>IF(OR(G427="",A427=""),"",COUNTIFS($G$2:$G$500,G427,$H$2:$H$500,H427,$A$2:$A$500,"&lt;&gt;"))</f>
        <v/>
      </c>
      <c r="M427" s="12">
        <f>IF(AND(A427="",G427=""),"",IF(G427="","Belum ditempatkan",IF(J427="","CEK ID FIXTURE tidak ada di DAFTAR_FIXTURE",IF(H427="","CEK ZONA NO kosong",IF(K427="zona tidak ada di layout","CEK ZONA NO di luar layout",IF(I427&lt;&gt;K427,"CEK JENIS ZONA",IF(A427="","Zona STOCK",IF(B427="","CEK SKU DESCRIPTION kosong","OK"))))))))</f>
        <v/>
      </c>
    </row>
    <row r="428">
      <c r="A428" s="10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2">
        <f>IF(G428="","",IFERROR(INDEX(DAFTAR_FIXTURE!$B$2:$B$51,MATCH(G428,DAFTAR_FIXTURE!$A$2:$A$51,0)),""))</f>
        <v/>
      </c>
      <c r="K428" s="12">
        <f>IF(OR(J428="",H428=""),"",IFERROR(INDEX(LAYOUT!$D$2:$D$34,MATCH(J428&amp;"|"&amp;H428,LAYOUT!$E$2:$E$34,0)),"zona tidak ada di layout"))</f>
        <v/>
      </c>
      <c r="L428" s="12">
        <f>IF(OR(G428="",A428=""),"",COUNTIFS($G$2:$G$500,G428,$H$2:$H$500,H428,$A$2:$A$500,"&lt;&gt;"))</f>
        <v/>
      </c>
      <c r="M428" s="12">
        <f>IF(AND(A428="",G428=""),"",IF(G428="","Belum ditempatkan",IF(J428="","CEK ID FIXTURE tidak ada di DAFTAR_FIXTURE",IF(H428="","CEK ZONA NO kosong",IF(K428="zona tidak ada di layout","CEK ZONA NO di luar layout",IF(I428&lt;&gt;K428,"CEK JENIS ZONA",IF(A428="","Zona STOCK",IF(B428="","CEK SKU DESCRIPTION kosong","OK"))))))))</f>
        <v/>
      </c>
    </row>
    <row r="429">
      <c r="A429" s="10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2">
        <f>IF(G429="","",IFERROR(INDEX(DAFTAR_FIXTURE!$B$2:$B$51,MATCH(G429,DAFTAR_FIXTURE!$A$2:$A$51,0)),""))</f>
        <v/>
      </c>
      <c r="K429" s="12">
        <f>IF(OR(J429="",H429=""),"",IFERROR(INDEX(LAYOUT!$D$2:$D$34,MATCH(J429&amp;"|"&amp;H429,LAYOUT!$E$2:$E$34,0)),"zona tidak ada di layout"))</f>
        <v/>
      </c>
      <c r="L429" s="12">
        <f>IF(OR(G429="",A429=""),"",COUNTIFS($G$2:$G$500,G429,$H$2:$H$500,H429,$A$2:$A$500,"&lt;&gt;"))</f>
        <v/>
      </c>
      <c r="M429" s="12">
        <f>IF(AND(A429="",G429=""),"",IF(G429="","Belum ditempatkan",IF(J429="","CEK ID FIXTURE tidak ada di DAFTAR_FIXTURE",IF(H429="","CEK ZONA NO kosong",IF(K429="zona tidak ada di layout","CEK ZONA NO di luar layout",IF(I429&lt;&gt;K429,"CEK JENIS ZONA",IF(A429="","Zona STOCK",IF(B429="","CEK SKU DESCRIPTION kosong","OK"))))))))</f>
        <v/>
      </c>
    </row>
    <row r="430">
      <c r="A430" s="10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2">
        <f>IF(G430="","",IFERROR(INDEX(DAFTAR_FIXTURE!$B$2:$B$51,MATCH(G430,DAFTAR_FIXTURE!$A$2:$A$51,0)),""))</f>
        <v/>
      </c>
      <c r="K430" s="12">
        <f>IF(OR(J430="",H430=""),"",IFERROR(INDEX(LAYOUT!$D$2:$D$34,MATCH(J430&amp;"|"&amp;H430,LAYOUT!$E$2:$E$34,0)),"zona tidak ada di layout"))</f>
        <v/>
      </c>
      <c r="L430" s="12">
        <f>IF(OR(G430="",A430=""),"",COUNTIFS($G$2:$G$500,G430,$H$2:$H$500,H430,$A$2:$A$500,"&lt;&gt;"))</f>
        <v/>
      </c>
      <c r="M430" s="12">
        <f>IF(AND(A430="",G430=""),"",IF(G430="","Belum ditempatkan",IF(J430="","CEK ID FIXTURE tidak ada di DAFTAR_FIXTURE",IF(H430="","CEK ZONA NO kosong",IF(K430="zona tidak ada di layout","CEK ZONA NO di luar layout",IF(I430&lt;&gt;K430,"CEK JENIS ZONA",IF(A430="","Zona STOCK",IF(B430="","CEK SKU DESCRIPTION kosong","OK"))))))))</f>
        <v/>
      </c>
    </row>
    <row r="431">
      <c r="A431" s="10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2">
        <f>IF(G431="","",IFERROR(INDEX(DAFTAR_FIXTURE!$B$2:$B$51,MATCH(G431,DAFTAR_FIXTURE!$A$2:$A$51,0)),""))</f>
        <v/>
      </c>
      <c r="K431" s="12">
        <f>IF(OR(J431="",H431=""),"",IFERROR(INDEX(LAYOUT!$D$2:$D$34,MATCH(J431&amp;"|"&amp;H431,LAYOUT!$E$2:$E$34,0)),"zona tidak ada di layout"))</f>
        <v/>
      </c>
      <c r="L431" s="12">
        <f>IF(OR(G431="",A431=""),"",COUNTIFS($G$2:$G$500,G431,$H$2:$H$500,H431,$A$2:$A$500,"&lt;&gt;"))</f>
        <v/>
      </c>
      <c r="M431" s="12">
        <f>IF(AND(A431="",G431=""),"",IF(G431="","Belum ditempatkan",IF(J431="","CEK ID FIXTURE tidak ada di DAFTAR_FIXTURE",IF(H431="","CEK ZONA NO kosong",IF(K431="zona tidak ada di layout","CEK ZONA NO di luar layout",IF(I431&lt;&gt;K431,"CEK JENIS ZONA",IF(A431="","Zona STOCK",IF(B431="","CEK SKU DESCRIPTION kosong","OK"))))))))</f>
        <v/>
      </c>
    </row>
    <row r="432">
      <c r="A432" s="10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2">
        <f>IF(G432="","",IFERROR(INDEX(DAFTAR_FIXTURE!$B$2:$B$51,MATCH(G432,DAFTAR_FIXTURE!$A$2:$A$51,0)),""))</f>
        <v/>
      </c>
      <c r="K432" s="12">
        <f>IF(OR(J432="",H432=""),"",IFERROR(INDEX(LAYOUT!$D$2:$D$34,MATCH(J432&amp;"|"&amp;H432,LAYOUT!$E$2:$E$34,0)),"zona tidak ada di layout"))</f>
        <v/>
      </c>
      <c r="L432" s="12">
        <f>IF(OR(G432="",A432=""),"",COUNTIFS($G$2:$G$500,G432,$H$2:$H$500,H432,$A$2:$A$500,"&lt;&gt;"))</f>
        <v/>
      </c>
      <c r="M432" s="12">
        <f>IF(AND(A432="",G432=""),"",IF(G432="","Belum ditempatkan",IF(J432="","CEK ID FIXTURE tidak ada di DAFTAR_FIXTURE",IF(H432="","CEK ZONA NO kosong",IF(K432="zona tidak ada di layout","CEK ZONA NO di luar layout",IF(I432&lt;&gt;K432,"CEK JENIS ZONA",IF(A432="","Zona STOCK",IF(B432="","CEK SKU DESCRIPTION kosong","OK"))))))))</f>
        <v/>
      </c>
    </row>
    <row r="433">
      <c r="A433" s="10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2">
        <f>IF(G433="","",IFERROR(INDEX(DAFTAR_FIXTURE!$B$2:$B$51,MATCH(G433,DAFTAR_FIXTURE!$A$2:$A$51,0)),""))</f>
        <v/>
      </c>
      <c r="K433" s="12">
        <f>IF(OR(J433="",H433=""),"",IFERROR(INDEX(LAYOUT!$D$2:$D$34,MATCH(J433&amp;"|"&amp;H433,LAYOUT!$E$2:$E$34,0)),"zona tidak ada di layout"))</f>
        <v/>
      </c>
      <c r="L433" s="12">
        <f>IF(OR(G433="",A433=""),"",COUNTIFS($G$2:$G$500,G433,$H$2:$H$500,H433,$A$2:$A$500,"&lt;&gt;"))</f>
        <v/>
      </c>
      <c r="M433" s="12">
        <f>IF(AND(A433="",G433=""),"",IF(G433="","Belum ditempatkan",IF(J433="","CEK ID FIXTURE tidak ada di DAFTAR_FIXTURE",IF(H433="","CEK ZONA NO kosong",IF(K433="zona tidak ada di layout","CEK ZONA NO di luar layout",IF(I433&lt;&gt;K433,"CEK JENIS ZONA",IF(A433="","Zona STOCK",IF(B433="","CEK SKU DESCRIPTION kosong","OK"))))))))</f>
        <v/>
      </c>
    </row>
    <row r="434">
      <c r="A434" s="10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2">
        <f>IF(G434="","",IFERROR(INDEX(DAFTAR_FIXTURE!$B$2:$B$51,MATCH(G434,DAFTAR_FIXTURE!$A$2:$A$51,0)),""))</f>
        <v/>
      </c>
      <c r="K434" s="12">
        <f>IF(OR(J434="",H434=""),"",IFERROR(INDEX(LAYOUT!$D$2:$D$34,MATCH(J434&amp;"|"&amp;H434,LAYOUT!$E$2:$E$34,0)),"zona tidak ada di layout"))</f>
        <v/>
      </c>
      <c r="L434" s="12">
        <f>IF(OR(G434="",A434=""),"",COUNTIFS($G$2:$G$500,G434,$H$2:$H$500,H434,$A$2:$A$500,"&lt;&gt;"))</f>
        <v/>
      </c>
      <c r="M434" s="12">
        <f>IF(AND(A434="",G434=""),"",IF(G434="","Belum ditempatkan",IF(J434="","CEK ID FIXTURE tidak ada di DAFTAR_FIXTURE",IF(H434="","CEK ZONA NO kosong",IF(K434="zona tidak ada di layout","CEK ZONA NO di luar layout",IF(I434&lt;&gt;K434,"CEK JENIS ZONA",IF(A434="","Zona STOCK",IF(B434="","CEK SKU DESCRIPTION kosong","OK"))))))))</f>
        <v/>
      </c>
    </row>
    <row r="435">
      <c r="A435" s="10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2">
        <f>IF(G435="","",IFERROR(INDEX(DAFTAR_FIXTURE!$B$2:$B$51,MATCH(G435,DAFTAR_FIXTURE!$A$2:$A$51,0)),""))</f>
        <v/>
      </c>
      <c r="K435" s="12">
        <f>IF(OR(J435="",H435=""),"",IFERROR(INDEX(LAYOUT!$D$2:$D$34,MATCH(J435&amp;"|"&amp;H435,LAYOUT!$E$2:$E$34,0)),"zona tidak ada di layout"))</f>
        <v/>
      </c>
      <c r="L435" s="12">
        <f>IF(OR(G435="",A435=""),"",COUNTIFS($G$2:$G$500,G435,$H$2:$H$500,H435,$A$2:$A$500,"&lt;&gt;"))</f>
        <v/>
      </c>
      <c r="M435" s="12">
        <f>IF(AND(A435="",G435=""),"",IF(G435="","Belum ditempatkan",IF(J435="","CEK ID FIXTURE tidak ada di DAFTAR_FIXTURE",IF(H435="","CEK ZONA NO kosong",IF(K435="zona tidak ada di layout","CEK ZONA NO di luar layout",IF(I435&lt;&gt;K435,"CEK JENIS ZONA",IF(A435="","Zona STOCK",IF(B435="","CEK SKU DESCRIPTION kosong","OK"))))))))</f>
        <v/>
      </c>
    </row>
    <row r="436">
      <c r="A436" s="10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2">
        <f>IF(G436="","",IFERROR(INDEX(DAFTAR_FIXTURE!$B$2:$B$51,MATCH(G436,DAFTAR_FIXTURE!$A$2:$A$51,0)),""))</f>
        <v/>
      </c>
      <c r="K436" s="12">
        <f>IF(OR(J436="",H436=""),"",IFERROR(INDEX(LAYOUT!$D$2:$D$34,MATCH(J436&amp;"|"&amp;H436,LAYOUT!$E$2:$E$34,0)),"zona tidak ada di layout"))</f>
        <v/>
      </c>
      <c r="L436" s="12">
        <f>IF(OR(G436="",A436=""),"",COUNTIFS($G$2:$G$500,G436,$H$2:$H$500,H436,$A$2:$A$500,"&lt;&gt;"))</f>
        <v/>
      </c>
      <c r="M436" s="12">
        <f>IF(AND(A436="",G436=""),"",IF(G436="","Belum ditempatkan",IF(J436="","CEK ID FIXTURE tidak ada di DAFTAR_FIXTURE",IF(H436="","CEK ZONA NO kosong",IF(K436="zona tidak ada di layout","CEK ZONA NO di luar layout",IF(I436&lt;&gt;K436,"CEK JENIS ZONA",IF(A436="","Zona STOCK",IF(B436="","CEK SKU DESCRIPTION kosong","OK"))))))))</f>
        <v/>
      </c>
    </row>
    <row r="437">
      <c r="A437" s="10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2">
        <f>IF(G437="","",IFERROR(INDEX(DAFTAR_FIXTURE!$B$2:$B$51,MATCH(G437,DAFTAR_FIXTURE!$A$2:$A$51,0)),""))</f>
        <v/>
      </c>
      <c r="K437" s="12">
        <f>IF(OR(J437="",H437=""),"",IFERROR(INDEX(LAYOUT!$D$2:$D$34,MATCH(J437&amp;"|"&amp;H437,LAYOUT!$E$2:$E$34,0)),"zona tidak ada di layout"))</f>
        <v/>
      </c>
      <c r="L437" s="12">
        <f>IF(OR(G437="",A437=""),"",COUNTIFS($G$2:$G$500,G437,$H$2:$H$500,H437,$A$2:$A$500,"&lt;&gt;"))</f>
        <v/>
      </c>
      <c r="M437" s="12">
        <f>IF(AND(A437="",G437=""),"",IF(G437="","Belum ditempatkan",IF(J437="","CEK ID FIXTURE tidak ada di DAFTAR_FIXTURE",IF(H437="","CEK ZONA NO kosong",IF(K437="zona tidak ada di layout","CEK ZONA NO di luar layout",IF(I437&lt;&gt;K437,"CEK JENIS ZONA",IF(A437="","Zona STOCK",IF(B437="","CEK SKU DESCRIPTION kosong","OK"))))))))</f>
        <v/>
      </c>
    </row>
    <row r="438">
      <c r="A438" s="10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2">
        <f>IF(G438="","",IFERROR(INDEX(DAFTAR_FIXTURE!$B$2:$B$51,MATCH(G438,DAFTAR_FIXTURE!$A$2:$A$51,0)),""))</f>
        <v/>
      </c>
      <c r="K438" s="12">
        <f>IF(OR(J438="",H438=""),"",IFERROR(INDEX(LAYOUT!$D$2:$D$34,MATCH(J438&amp;"|"&amp;H438,LAYOUT!$E$2:$E$34,0)),"zona tidak ada di layout"))</f>
        <v/>
      </c>
      <c r="L438" s="12">
        <f>IF(OR(G438="",A438=""),"",COUNTIFS($G$2:$G$500,G438,$H$2:$H$500,H438,$A$2:$A$500,"&lt;&gt;"))</f>
        <v/>
      </c>
      <c r="M438" s="12">
        <f>IF(AND(A438="",G438=""),"",IF(G438="","Belum ditempatkan",IF(J438="","CEK ID FIXTURE tidak ada di DAFTAR_FIXTURE",IF(H438="","CEK ZONA NO kosong",IF(K438="zona tidak ada di layout","CEK ZONA NO di luar layout",IF(I438&lt;&gt;K438,"CEK JENIS ZONA",IF(A438="","Zona STOCK",IF(B438="","CEK SKU DESCRIPTION kosong","OK"))))))))</f>
        <v/>
      </c>
    </row>
    <row r="439">
      <c r="A439" s="10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2">
        <f>IF(G439="","",IFERROR(INDEX(DAFTAR_FIXTURE!$B$2:$B$51,MATCH(G439,DAFTAR_FIXTURE!$A$2:$A$51,0)),""))</f>
        <v/>
      </c>
      <c r="K439" s="12">
        <f>IF(OR(J439="",H439=""),"",IFERROR(INDEX(LAYOUT!$D$2:$D$34,MATCH(J439&amp;"|"&amp;H439,LAYOUT!$E$2:$E$34,0)),"zona tidak ada di layout"))</f>
        <v/>
      </c>
      <c r="L439" s="12">
        <f>IF(OR(G439="",A439=""),"",COUNTIFS($G$2:$G$500,G439,$H$2:$H$500,H439,$A$2:$A$500,"&lt;&gt;"))</f>
        <v/>
      </c>
      <c r="M439" s="12">
        <f>IF(AND(A439="",G439=""),"",IF(G439="","Belum ditempatkan",IF(J439="","CEK ID FIXTURE tidak ada di DAFTAR_FIXTURE",IF(H439="","CEK ZONA NO kosong",IF(K439="zona tidak ada di layout","CEK ZONA NO di luar layout",IF(I439&lt;&gt;K439,"CEK JENIS ZONA",IF(A439="","Zona STOCK",IF(B439="","CEK SKU DESCRIPTION kosong","OK"))))))))</f>
        <v/>
      </c>
    </row>
    <row r="440">
      <c r="A440" s="10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2">
        <f>IF(G440="","",IFERROR(INDEX(DAFTAR_FIXTURE!$B$2:$B$51,MATCH(G440,DAFTAR_FIXTURE!$A$2:$A$51,0)),""))</f>
        <v/>
      </c>
      <c r="K440" s="12">
        <f>IF(OR(J440="",H440=""),"",IFERROR(INDEX(LAYOUT!$D$2:$D$34,MATCH(J440&amp;"|"&amp;H440,LAYOUT!$E$2:$E$34,0)),"zona tidak ada di layout"))</f>
        <v/>
      </c>
      <c r="L440" s="12">
        <f>IF(OR(G440="",A440=""),"",COUNTIFS($G$2:$G$500,G440,$H$2:$H$500,H440,$A$2:$A$500,"&lt;&gt;"))</f>
        <v/>
      </c>
      <c r="M440" s="12">
        <f>IF(AND(A440="",G440=""),"",IF(G440="","Belum ditempatkan",IF(J440="","CEK ID FIXTURE tidak ada di DAFTAR_FIXTURE",IF(H440="","CEK ZONA NO kosong",IF(K440="zona tidak ada di layout","CEK ZONA NO di luar layout",IF(I440&lt;&gt;K440,"CEK JENIS ZONA",IF(A440="","Zona STOCK",IF(B440="","CEK SKU DESCRIPTION kosong","OK"))))))))</f>
        <v/>
      </c>
    </row>
    <row r="441">
      <c r="A441" s="10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2">
        <f>IF(G441="","",IFERROR(INDEX(DAFTAR_FIXTURE!$B$2:$B$51,MATCH(G441,DAFTAR_FIXTURE!$A$2:$A$51,0)),""))</f>
        <v/>
      </c>
      <c r="K441" s="12">
        <f>IF(OR(J441="",H441=""),"",IFERROR(INDEX(LAYOUT!$D$2:$D$34,MATCH(J441&amp;"|"&amp;H441,LAYOUT!$E$2:$E$34,0)),"zona tidak ada di layout"))</f>
        <v/>
      </c>
      <c r="L441" s="12">
        <f>IF(OR(G441="",A441=""),"",COUNTIFS($G$2:$G$500,G441,$H$2:$H$500,H441,$A$2:$A$500,"&lt;&gt;"))</f>
        <v/>
      </c>
      <c r="M441" s="12">
        <f>IF(AND(A441="",G441=""),"",IF(G441="","Belum ditempatkan",IF(J441="","CEK ID FIXTURE tidak ada di DAFTAR_FIXTURE",IF(H441="","CEK ZONA NO kosong",IF(K441="zona tidak ada di layout","CEK ZONA NO di luar layout",IF(I441&lt;&gt;K441,"CEK JENIS ZONA",IF(A441="","Zona STOCK",IF(B441="","CEK SKU DESCRIPTION kosong","OK"))))))))</f>
        <v/>
      </c>
    </row>
    <row r="442">
      <c r="A442" s="10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2">
        <f>IF(G442="","",IFERROR(INDEX(DAFTAR_FIXTURE!$B$2:$B$51,MATCH(G442,DAFTAR_FIXTURE!$A$2:$A$51,0)),""))</f>
        <v/>
      </c>
      <c r="K442" s="12">
        <f>IF(OR(J442="",H442=""),"",IFERROR(INDEX(LAYOUT!$D$2:$D$34,MATCH(J442&amp;"|"&amp;H442,LAYOUT!$E$2:$E$34,0)),"zona tidak ada di layout"))</f>
        <v/>
      </c>
      <c r="L442" s="12">
        <f>IF(OR(G442="",A442=""),"",COUNTIFS($G$2:$G$500,G442,$H$2:$H$500,H442,$A$2:$A$500,"&lt;&gt;"))</f>
        <v/>
      </c>
      <c r="M442" s="12">
        <f>IF(AND(A442="",G442=""),"",IF(G442="","Belum ditempatkan",IF(J442="","CEK ID FIXTURE tidak ada di DAFTAR_FIXTURE",IF(H442="","CEK ZONA NO kosong",IF(K442="zona tidak ada di layout","CEK ZONA NO di luar layout",IF(I442&lt;&gt;K442,"CEK JENIS ZONA",IF(A442="","Zona STOCK",IF(B442="","CEK SKU DESCRIPTION kosong","OK"))))))))</f>
        <v/>
      </c>
    </row>
    <row r="443">
      <c r="A443" s="10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2">
        <f>IF(G443="","",IFERROR(INDEX(DAFTAR_FIXTURE!$B$2:$B$51,MATCH(G443,DAFTAR_FIXTURE!$A$2:$A$51,0)),""))</f>
        <v/>
      </c>
      <c r="K443" s="12">
        <f>IF(OR(J443="",H443=""),"",IFERROR(INDEX(LAYOUT!$D$2:$D$34,MATCH(J443&amp;"|"&amp;H443,LAYOUT!$E$2:$E$34,0)),"zona tidak ada di layout"))</f>
        <v/>
      </c>
      <c r="L443" s="12">
        <f>IF(OR(G443="",A443=""),"",COUNTIFS($G$2:$G$500,G443,$H$2:$H$500,H443,$A$2:$A$500,"&lt;&gt;"))</f>
        <v/>
      </c>
      <c r="M443" s="12">
        <f>IF(AND(A443="",G443=""),"",IF(G443="","Belum ditempatkan",IF(J443="","CEK ID FIXTURE tidak ada di DAFTAR_FIXTURE",IF(H443="","CEK ZONA NO kosong",IF(K443="zona tidak ada di layout","CEK ZONA NO di luar layout",IF(I443&lt;&gt;K443,"CEK JENIS ZONA",IF(A443="","Zona STOCK",IF(B443="","CEK SKU DESCRIPTION kosong","OK"))))))))</f>
        <v/>
      </c>
    </row>
    <row r="444">
      <c r="A444" s="10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2">
        <f>IF(G444="","",IFERROR(INDEX(DAFTAR_FIXTURE!$B$2:$B$51,MATCH(G444,DAFTAR_FIXTURE!$A$2:$A$51,0)),""))</f>
        <v/>
      </c>
      <c r="K444" s="12">
        <f>IF(OR(J444="",H444=""),"",IFERROR(INDEX(LAYOUT!$D$2:$D$34,MATCH(J444&amp;"|"&amp;H444,LAYOUT!$E$2:$E$34,0)),"zona tidak ada di layout"))</f>
        <v/>
      </c>
      <c r="L444" s="12">
        <f>IF(OR(G444="",A444=""),"",COUNTIFS($G$2:$G$500,G444,$H$2:$H$500,H444,$A$2:$A$500,"&lt;&gt;"))</f>
        <v/>
      </c>
      <c r="M444" s="12">
        <f>IF(AND(A444="",G444=""),"",IF(G444="","Belum ditempatkan",IF(J444="","CEK ID FIXTURE tidak ada di DAFTAR_FIXTURE",IF(H444="","CEK ZONA NO kosong",IF(K444="zona tidak ada di layout","CEK ZONA NO di luar layout",IF(I444&lt;&gt;K444,"CEK JENIS ZONA",IF(A444="","Zona STOCK",IF(B444="","CEK SKU DESCRIPTION kosong","OK"))))))))</f>
        <v/>
      </c>
    </row>
    <row r="445">
      <c r="A445" s="10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2">
        <f>IF(G445="","",IFERROR(INDEX(DAFTAR_FIXTURE!$B$2:$B$51,MATCH(G445,DAFTAR_FIXTURE!$A$2:$A$51,0)),""))</f>
        <v/>
      </c>
      <c r="K445" s="12">
        <f>IF(OR(J445="",H445=""),"",IFERROR(INDEX(LAYOUT!$D$2:$D$34,MATCH(J445&amp;"|"&amp;H445,LAYOUT!$E$2:$E$34,0)),"zona tidak ada di layout"))</f>
        <v/>
      </c>
      <c r="L445" s="12">
        <f>IF(OR(G445="",A445=""),"",COUNTIFS($G$2:$G$500,G445,$H$2:$H$500,H445,$A$2:$A$500,"&lt;&gt;"))</f>
        <v/>
      </c>
      <c r="M445" s="12">
        <f>IF(AND(A445="",G445=""),"",IF(G445="","Belum ditempatkan",IF(J445="","CEK ID FIXTURE tidak ada di DAFTAR_FIXTURE",IF(H445="","CEK ZONA NO kosong",IF(K445="zona tidak ada di layout","CEK ZONA NO di luar layout",IF(I445&lt;&gt;K445,"CEK JENIS ZONA",IF(A445="","Zona STOCK",IF(B445="","CEK SKU DESCRIPTION kosong","OK"))))))))</f>
        <v/>
      </c>
    </row>
    <row r="446">
      <c r="A446" s="10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2">
        <f>IF(G446="","",IFERROR(INDEX(DAFTAR_FIXTURE!$B$2:$B$51,MATCH(G446,DAFTAR_FIXTURE!$A$2:$A$51,0)),""))</f>
        <v/>
      </c>
      <c r="K446" s="12">
        <f>IF(OR(J446="",H446=""),"",IFERROR(INDEX(LAYOUT!$D$2:$D$34,MATCH(J446&amp;"|"&amp;H446,LAYOUT!$E$2:$E$34,0)),"zona tidak ada di layout"))</f>
        <v/>
      </c>
      <c r="L446" s="12">
        <f>IF(OR(G446="",A446=""),"",COUNTIFS($G$2:$G$500,G446,$H$2:$H$500,H446,$A$2:$A$500,"&lt;&gt;"))</f>
        <v/>
      </c>
      <c r="M446" s="12">
        <f>IF(AND(A446="",G446=""),"",IF(G446="","Belum ditempatkan",IF(J446="","CEK ID FIXTURE tidak ada di DAFTAR_FIXTURE",IF(H446="","CEK ZONA NO kosong",IF(K446="zona tidak ada di layout","CEK ZONA NO di luar layout",IF(I446&lt;&gt;K446,"CEK JENIS ZONA",IF(A446="","Zona STOCK",IF(B446="","CEK SKU DESCRIPTION kosong","OK"))))))))</f>
        <v/>
      </c>
    </row>
    <row r="447">
      <c r="A447" s="10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2">
        <f>IF(G447="","",IFERROR(INDEX(DAFTAR_FIXTURE!$B$2:$B$51,MATCH(G447,DAFTAR_FIXTURE!$A$2:$A$51,0)),""))</f>
        <v/>
      </c>
      <c r="K447" s="12">
        <f>IF(OR(J447="",H447=""),"",IFERROR(INDEX(LAYOUT!$D$2:$D$34,MATCH(J447&amp;"|"&amp;H447,LAYOUT!$E$2:$E$34,0)),"zona tidak ada di layout"))</f>
        <v/>
      </c>
      <c r="L447" s="12">
        <f>IF(OR(G447="",A447=""),"",COUNTIFS($G$2:$G$500,G447,$H$2:$H$500,H447,$A$2:$A$500,"&lt;&gt;"))</f>
        <v/>
      </c>
      <c r="M447" s="12">
        <f>IF(AND(A447="",G447=""),"",IF(G447="","Belum ditempatkan",IF(J447="","CEK ID FIXTURE tidak ada di DAFTAR_FIXTURE",IF(H447="","CEK ZONA NO kosong",IF(K447="zona tidak ada di layout","CEK ZONA NO di luar layout",IF(I447&lt;&gt;K447,"CEK JENIS ZONA",IF(A447="","Zona STOCK",IF(B447="","CEK SKU DESCRIPTION kosong","OK"))))))))</f>
        <v/>
      </c>
    </row>
    <row r="448">
      <c r="A448" s="10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2">
        <f>IF(G448="","",IFERROR(INDEX(DAFTAR_FIXTURE!$B$2:$B$51,MATCH(G448,DAFTAR_FIXTURE!$A$2:$A$51,0)),""))</f>
        <v/>
      </c>
      <c r="K448" s="12">
        <f>IF(OR(J448="",H448=""),"",IFERROR(INDEX(LAYOUT!$D$2:$D$34,MATCH(J448&amp;"|"&amp;H448,LAYOUT!$E$2:$E$34,0)),"zona tidak ada di layout"))</f>
        <v/>
      </c>
      <c r="L448" s="12">
        <f>IF(OR(G448="",A448=""),"",COUNTIFS($G$2:$G$500,G448,$H$2:$H$500,H448,$A$2:$A$500,"&lt;&gt;"))</f>
        <v/>
      </c>
      <c r="M448" s="12">
        <f>IF(AND(A448="",G448=""),"",IF(G448="","Belum ditempatkan",IF(J448="","CEK ID FIXTURE tidak ada di DAFTAR_FIXTURE",IF(H448="","CEK ZONA NO kosong",IF(K448="zona tidak ada di layout","CEK ZONA NO di luar layout",IF(I448&lt;&gt;K448,"CEK JENIS ZONA",IF(A448="","Zona STOCK",IF(B448="","CEK SKU DESCRIPTION kosong","OK"))))))))</f>
        <v/>
      </c>
    </row>
    <row r="449">
      <c r="A449" s="10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2">
        <f>IF(G449="","",IFERROR(INDEX(DAFTAR_FIXTURE!$B$2:$B$51,MATCH(G449,DAFTAR_FIXTURE!$A$2:$A$51,0)),""))</f>
        <v/>
      </c>
      <c r="K449" s="12">
        <f>IF(OR(J449="",H449=""),"",IFERROR(INDEX(LAYOUT!$D$2:$D$34,MATCH(J449&amp;"|"&amp;H449,LAYOUT!$E$2:$E$34,0)),"zona tidak ada di layout"))</f>
        <v/>
      </c>
      <c r="L449" s="12">
        <f>IF(OR(G449="",A449=""),"",COUNTIFS($G$2:$G$500,G449,$H$2:$H$500,H449,$A$2:$A$500,"&lt;&gt;"))</f>
        <v/>
      </c>
      <c r="M449" s="12">
        <f>IF(AND(A449="",G449=""),"",IF(G449="","Belum ditempatkan",IF(J449="","CEK ID FIXTURE tidak ada di DAFTAR_FIXTURE",IF(H449="","CEK ZONA NO kosong",IF(K449="zona tidak ada di layout","CEK ZONA NO di luar layout",IF(I449&lt;&gt;K449,"CEK JENIS ZONA",IF(A449="","Zona STOCK",IF(B449="","CEK SKU DESCRIPTION kosong","OK"))))))))</f>
        <v/>
      </c>
    </row>
    <row r="450">
      <c r="A450" s="10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2">
        <f>IF(G450="","",IFERROR(INDEX(DAFTAR_FIXTURE!$B$2:$B$51,MATCH(G450,DAFTAR_FIXTURE!$A$2:$A$51,0)),""))</f>
        <v/>
      </c>
      <c r="K450" s="12">
        <f>IF(OR(J450="",H450=""),"",IFERROR(INDEX(LAYOUT!$D$2:$D$34,MATCH(J450&amp;"|"&amp;H450,LAYOUT!$E$2:$E$34,0)),"zona tidak ada di layout"))</f>
        <v/>
      </c>
      <c r="L450" s="12">
        <f>IF(OR(G450="",A450=""),"",COUNTIFS($G$2:$G$500,G450,$H$2:$H$500,H450,$A$2:$A$500,"&lt;&gt;"))</f>
        <v/>
      </c>
      <c r="M450" s="12">
        <f>IF(AND(A450="",G450=""),"",IF(G450="","Belum ditempatkan",IF(J450="","CEK ID FIXTURE tidak ada di DAFTAR_FIXTURE",IF(H450="","CEK ZONA NO kosong",IF(K450="zona tidak ada di layout","CEK ZONA NO di luar layout",IF(I450&lt;&gt;K450,"CEK JENIS ZONA",IF(A450="","Zona STOCK",IF(B450="","CEK SKU DESCRIPTION kosong","OK"))))))))</f>
        <v/>
      </c>
    </row>
    <row r="451">
      <c r="A451" s="10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2">
        <f>IF(G451="","",IFERROR(INDEX(DAFTAR_FIXTURE!$B$2:$B$51,MATCH(G451,DAFTAR_FIXTURE!$A$2:$A$51,0)),""))</f>
        <v/>
      </c>
      <c r="K451" s="12">
        <f>IF(OR(J451="",H451=""),"",IFERROR(INDEX(LAYOUT!$D$2:$D$34,MATCH(J451&amp;"|"&amp;H451,LAYOUT!$E$2:$E$34,0)),"zona tidak ada di layout"))</f>
        <v/>
      </c>
      <c r="L451" s="12">
        <f>IF(OR(G451="",A451=""),"",COUNTIFS($G$2:$G$500,G451,$H$2:$H$500,H451,$A$2:$A$500,"&lt;&gt;"))</f>
        <v/>
      </c>
      <c r="M451" s="12">
        <f>IF(AND(A451="",G451=""),"",IF(G451="","Belum ditempatkan",IF(J451="","CEK ID FIXTURE tidak ada di DAFTAR_FIXTURE",IF(H451="","CEK ZONA NO kosong",IF(K451="zona tidak ada di layout","CEK ZONA NO di luar layout",IF(I451&lt;&gt;K451,"CEK JENIS ZONA",IF(A451="","Zona STOCK",IF(B451="","CEK SKU DESCRIPTION kosong","OK"))))))))</f>
        <v/>
      </c>
    </row>
    <row r="452">
      <c r="A452" s="10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2">
        <f>IF(G452="","",IFERROR(INDEX(DAFTAR_FIXTURE!$B$2:$B$51,MATCH(G452,DAFTAR_FIXTURE!$A$2:$A$51,0)),""))</f>
        <v/>
      </c>
      <c r="K452" s="12">
        <f>IF(OR(J452="",H452=""),"",IFERROR(INDEX(LAYOUT!$D$2:$D$34,MATCH(J452&amp;"|"&amp;H452,LAYOUT!$E$2:$E$34,0)),"zona tidak ada di layout"))</f>
        <v/>
      </c>
      <c r="L452" s="12">
        <f>IF(OR(G452="",A452=""),"",COUNTIFS($G$2:$G$500,G452,$H$2:$H$500,H452,$A$2:$A$500,"&lt;&gt;"))</f>
        <v/>
      </c>
      <c r="M452" s="12">
        <f>IF(AND(A452="",G452=""),"",IF(G452="","Belum ditempatkan",IF(J452="","CEK ID FIXTURE tidak ada di DAFTAR_FIXTURE",IF(H452="","CEK ZONA NO kosong",IF(K452="zona tidak ada di layout","CEK ZONA NO di luar layout",IF(I452&lt;&gt;K452,"CEK JENIS ZONA",IF(A452="","Zona STOCK",IF(B452="","CEK SKU DESCRIPTION kosong","OK"))))))))</f>
        <v/>
      </c>
    </row>
    <row r="453">
      <c r="A453" s="10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2">
        <f>IF(G453="","",IFERROR(INDEX(DAFTAR_FIXTURE!$B$2:$B$51,MATCH(G453,DAFTAR_FIXTURE!$A$2:$A$51,0)),""))</f>
        <v/>
      </c>
      <c r="K453" s="12">
        <f>IF(OR(J453="",H453=""),"",IFERROR(INDEX(LAYOUT!$D$2:$D$34,MATCH(J453&amp;"|"&amp;H453,LAYOUT!$E$2:$E$34,0)),"zona tidak ada di layout"))</f>
        <v/>
      </c>
      <c r="L453" s="12">
        <f>IF(OR(G453="",A453=""),"",COUNTIFS($G$2:$G$500,G453,$H$2:$H$500,H453,$A$2:$A$500,"&lt;&gt;"))</f>
        <v/>
      </c>
      <c r="M453" s="12">
        <f>IF(AND(A453="",G453=""),"",IF(G453="","Belum ditempatkan",IF(J453="","CEK ID FIXTURE tidak ada di DAFTAR_FIXTURE",IF(H453="","CEK ZONA NO kosong",IF(K453="zona tidak ada di layout","CEK ZONA NO di luar layout",IF(I453&lt;&gt;K453,"CEK JENIS ZONA",IF(A453="","Zona STOCK",IF(B453="","CEK SKU DESCRIPTION kosong","OK"))))))))</f>
        <v/>
      </c>
    </row>
    <row r="454">
      <c r="A454" s="10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2">
        <f>IF(G454="","",IFERROR(INDEX(DAFTAR_FIXTURE!$B$2:$B$51,MATCH(G454,DAFTAR_FIXTURE!$A$2:$A$51,0)),""))</f>
        <v/>
      </c>
      <c r="K454" s="12">
        <f>IF(OR(J454="",H454=""),"",IFERROR(INDEX(LAYOUT!$D$2:$D$34,MATCH(J454&amp;"|"&amp;H454,LAYOUT!$E$2:$E$34,0)),"zona tidak ada di layout"))</f>
        <v/>
      </c>
      <c r="L454" s="12">
        <f>IF(OR(G454="",A454=""),"",COUNTIFS($G$2:$G$500,G454,$H$2:$H$500,H454,$A$2:$A$500,"&lt;&gt;"))</f>
        <v/>
      </c>
      <c r="M454" s="12">
        <f>IF(AND(A454="",G454=""),"",IF(G454="","Belum ditempatkan",IF(J454="","CEK ID FIXTURE tidak ada di DAFTAR_FIXTURE",IF(H454="","CEK ZONA NO kosong",IF(K454="zona tidak ada di layout","CEK ZONA NO di luar layout",IF(I454&lt;&gt;K454,"CEK JENIS ZONA",IF(A454="","Zona STOCK",IF(B454="","CEK SKU DESCRIPTION kosong","OK"))))))))</f>
        <v/>
      </c>
    </row>
    <row r="455">
      <c r="A455" s="10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2">
        <f>IF(G455="","",IFERROR(INDEX(DAFTAR_FIXTURE!$B$2:$B$51,MATCH(G455,DAFTAR_FIXTURE!$A$2:$A$51,0)),""))</f>
        <v/>
      </c>
      <c r="K455" s="12">
        <f>IF(OR(J455="",H455=""),"",IFERROR(INDEX(LAYOUT!$D$2:$D$34,MATCH(J455&amp;"|"&amp;H455,LAYOUT!$E$2:$E$34,0)),"zona tidak ada di layout"))</f>
        <v/>
      </c>
      <c r="L455" s="12">
        <f>IF(OR(G455="",A455=""),"",COUNTIFS($G$2:$G$500,G455,$H$2:$H$500,H455,$A$2:$A$500,"&lt;&gt;"))</f>
        <v/>
      </c>
      <c r="M455" s="12">
        <f>IF(AND(A455="",G455=""),"",IF(G455="","Belum ditempatkan",IF(J455="","CEK ID FIXTURE tidak ada di DAFTAR_FIXTURE",IF(H455="","CEK ZONA NO kosong",IF(K455="zona tidak ada di layout","CEK ZONA NO di luar layout",IF(I455&lt;&gt;K455,"CEK JENIS ZONA",IF(A455="","Zona STOCK",IF(B455="","CEK SKU DESCRIPTION kosong","OK"))))))))</f>
        <v/>
      </c>
    </row>
    <row r="456">
      <c r="A456" s="10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2">
        <f>IF(G456="","",IFERROR(INDEX(DAFTAR_FIXTURE!$B$2:$B$51,MATCH(G456,DAFTAR_FIXTURE!$A$2:$A$51,0)),""))</f>
        <v/>
      </c>
      <c r="K456" s="12">
        <f>IF(OR(J456="",H456=""),"",IFERROR(INDEX(LAYOUT!$D$2:$D$34,MATCH(J456&amp;"|"&amp;H456,LAYOUT!$E$2:$E$34,0)),"zona tidak ada di layout"))</f>
        <v/>
      </c>
      <c r="L456" s="12">
        <f>IF(OR(G456="",A456=""),"",COUNTIFS($G$2:$G$500,G456,$H$2:$H$500,H456,$A$2:$A$500,"&lt;&gt;"))</f>
        <v/>
      </c>
      <c r="M456" s="12">
        <f>IF(AND(A456="",G456=""),"",IF(G456="","Belum ditempatkan",IF(J456="","CEK ID FIXTURE tidak ada di DAFTAR_FIXTURE",IF(H456="","CEK ZONA NO kosong",IF(K456="zona tidak ada di layout","CEK ZONA NO di luar layout",IF(I456&lt;&gt;K456,"CEK JENIS ZONA",IF(A456="","Zona STOCK",IF(B456="","CEK SKU DESCRIPTION kosong","OK"))))))))</f>
        <v/>
      </c>
    </row>
    <row r="457">
      <c r="A457" s="10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2">
        <f>IF(G457="","",IFERROR(INDEX(DAFTAR_FIXTURE!$B$2:$B$51,MATCH(G457,DAFTAR_FIXTURE!$A$2:$A$51,0)),""))</f>
        <v/>
      </c>
      <c r="K457" s="12">
        <f>IF(OR(J457="",H457=""),"",IFERROR(INDEX(LAYOUT!$D$2:$D$34,MATCH(J457&amp;"|"&amp;H457,LAYOUT!$E$2:$E$34,0)),"zona tidak ada di layout"))</f>
        <v/>
      </c>
      <c r="L457" s="12">
        <f>IF(OR(G457="",A457=""),"",COUNTIFS($G$2:$G$500,G457,$H$2:$H$500,H457,$A$2:$A$500,"&lt;&gt;"))</f>
        <v/>
      </c>
      <c r="M457" s="12">
        <f>IF(AND(A457="",G457=""),"",IF(G457="","Belum ditempatkan",IF(J457="","CEK ID FIXTURE tidak ada di DAFTAR_FIXTURE",IF(H457="","CEK ZONA NO kosong",IF(K457="zona tidak ada di layout","CEK ZONA NO di luar layout",IF(I457&lt;&gt;K457,"CEK JENIS ZONA",IF(A457="","Zona STOCK",IF(B457="","CEK SKU DESCRIPTION kosong","OK"))))))))</f>
        <v/>
      </c>
    </row>
    <row r="458">
      <c r="A458" s="10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2">
        <f>IF(G458="","",IFERROR(INDEX(DAFTAR_FIXTURE!$B$2:$B$51,MATCH(G458,DAFTAR_FIXTURE!$A$2:$A$51,0)),""))</f>
        <v/>
      </c>
      <c r="K458" s="12">
        <f>IF(OR(J458="",H458=""),"",IFERROR(INDEX(LAYOUT!$D$2:$D$34,MATCH(J458&amp;"|"&amp;H458,LAYOUT!$E$2:$E$34,0)),"zona tidak ada di layout"))</f>
        <v/>
      </c>
      <c r="L458" s="12">
        <f>IF(OR(G458="",A458=""),"",COUNTIFS($G$2:$G$500,G458,$H$2:$H$500,H458,$A$2:$A$500,"&lt;&gt;"))</f>
        <v/>
      </c>
      <c r="M458" s="12">
        <f>IF(AND(A458="",G458=""),"",IF(G458="","Belum ditempatkan",IF(J458="","CEK ID FIXTURE tidak ada di DAFTAR_FIXTURE",IF(H458="","CEK ZONA NO kosong",IF(K458="zona tidak ada di layout","CEK ZONA NO di luar layout",IF(I458&lt;&gt;K458,"CEK JENIS ZONA",IF(A458="","Zona STOCK",IF(B458="","CEK SKU DESCRIPTION kosong","OK"))))))))</f>
        <v/>
      </c>
    </row>
    <row r="459">
      <c r="A459" s="10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2">
        <f>IF(G459="","",IFERROR(INDEX(DAFTAR_FIXTURE!$B$2:$B$51,MATCH(G459,DAFTAR_FIXTURE!$A$2:$A$51,0)),""))</f>
        <v/>
      </c>
      <c r="K459" s="12">
        <f>IF(OR(J459="",H459=""),"",IFERROR(INDEX(LAYOUT!$D$2:$D$34,MATCH(J459&amp;"|"&amp;H459,LAYOUT!$E$2:$E$34,0)),"zona tidak ada di layout"))</f>
        <v/>
      </c>
      <c r="L459" s="12">
        <f>IF(OR(G459="",A459=""),"",COUNTIFS($G$2:$G$500,G459,$H$2:$H$500,H459,$A$2:$A$500,"&lt;&gt;"))</f>
        <v/>
      </c>
      <c r="M459" s="12">
        <f>IF(AND(A459="",G459=""),"",IF(G459="","Belum ditempatkan",IF(J459="","CEK ID FIXTURE tidak ada di DAFTAR_FIXTURE",IF(H459="","CEK ZONA NO kosong",IF(K459="zona tidak ada di layout","CEK ZONA NO di luar layout",IF(I459&lt;&gt;K459,"CEK JENIS ZONA",IF(A459="","Zona STOCK",IF(B459="","CEK SKU DESCRIPTION kosong","OK"))))))))</f>
        <v/>
      </c>
    </row>
    <row r="460">
      <c r="A460" s="10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2">
        <f>IF(G460="","",IFERROR(INDEX(DAFTAR_FIXTURE!$B$2:$B$51,MATCH(G460,DAFTAR_FIXTURE!$A$2:$A$51,0)),""))</f>
        <v/>
      </c>
      <c r="K460" s="12">
        <f>IF(OR(J460="",H460=""),"",IFERROR(INDEX(LAYOUT!$D$2:$D$34,MATCH(J460&amp;"|"&amp;H460,LAYOUT!$E$2:$E$34,0)),"zona tidak ada di layout"))</f>
        <v/>
      </c>
      <c r="L460" s="12">
        <f>IF(OR(G460="",A460=""),"",COUNTIFS($G$2:$G$500,G460,$H$2:$H$500,H460,$A$2:$A$500,"&lt;&gt;"))</f>
        <v/>
      </c>
      <c r="M460" s="12">
        <f>IF(AND(A460="",G460=""),"",IF(G460="","Belum ditempatkan",IF(J460="","CEK ID FIXTURE tidak ada di DAFTAR_FIXTURE",IF(H460="","CEK ZONA NO kosong",IF(K460="zona tidak ada di layout","CEK ZONA NO di luar layout",IF(I460&lt;&gt;K460,"CEK JENIS ZONA",IF(A460="","Zona STOCK",IF(B460="","CEK SKU DESCRIPTION kosong","OK"))))))))</f>
        <v/>
      </c>
    </row>
    <row r="461">
      <c r="A461" s="10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2">
        <f>IF(G461="","",IFERROR(INDEX(DAFTAR_FIXTURE!$B$2:$B$51,MATCH(G461,DAFTAR_FIXTURE!$A$2:$A$51,0)),""))</f>
        <v/>
      </c>
      <c r="K461" s="12">
        <f>IF(OR(J461="",H461=""),"",IFERROR(INDEX(LAYOUT!$D$2:$D$34,MATCH(J461&amp;"|"&amp;H461,LAYOUT!$E$2:$E$34,0)),"zona tidak ada di layout"))</f>
        <v/>
      </c>
      <c r="L461" s="12">
        <f>IF(OR(G461="",A461=""),"",COUNTIFS($G$2:$G$500,G461,$H$2:$H$500,H461,$A$2:$A$500,"&lt;&gt;"))</f>
        <v/>
      </c>
      <c r="M461" s="12">
        <f>IF(AND(A461="",G461=""),"",IF(G461="","Belum ditempatkan",IF(J461="","CEK ID FIXTURE tidak ada di DAFTAR_FIXTURE",IF(H461="","CEK ZONA NO kosong",IF(K461="zona tidak ada di layout","CEK ZONA NO di luar layout",IF(I461&lt;&gt;K461,"CEK JENIS ZONA",IF(A461="","Zona STOCK",IF(B461="","CEK SKU DESCRIPTION kosong","OK"))))))))</f>
        <v/>
      </c>
    </row>
    <row r="462">
      <c r="A462" s="10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2">
        <f>IF(G462="","",IFERROR(INDEX(DAFTAR_FIXTURE!$B$2:$B$51,MATCH(G462,DAFTAR_FIXTURE!$A$2:$A$51,0)),""))</f>
        <v/>
      </c>
      <c r="K462" s="12">
        <f>IF(OR(J462="",H462=""),"",IFERROR(INDEX(LAYOUT!$D$2:$D$34,MATCH(J462&amp;"|"&amp;H462,LAYOUT!$E$2:$E$34,0)),"zona tidak ada di layout"))</f>
        <v/>
      </c>
      <c r="L462" s="12">
        <f>IF(OR(G462="",A462=""),"",COUNTIFS($G$2:$G$500,G462,$H$2:$H$500,H462,$A$2:$A$500,"&lt;&gt;"))</f>
        <v/>
      </c>
      <c r="M462" s="12">
        <f>IF(AND(A462="",G462=""),"",IF(G462="","Belum ditempatkan",IF(J462="","CEK ID FIXTURE tidak ada di DAFTAR_FIXTURE",IF(H462="","CEK ZONA NO kosong",IF(K462="zona tidak ada di layout","CEK ZONA NO di luar layout",IF(I462&lt;&gt;K462,"CEK JENIS ZONA",IF(A462="","Zona STOCK",IF(B462="","CEK SKU DESCRIPTION kosong","OK"))))))))</f>
        <v/>
      </c>
    </row>
    <row r="463">
      <c r="A463" s="10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2">
        <f>IF(G463="","",IFERROR(INDEX(DAFTAR_FIXTURE!$B$2:$B$51,MATCH(G463,DAFTAR_FIXTURE!$A$2:$A$51,0)),""))</f>
        <v/>
      </c>
      <c r="K463" s="12">
        <f>IF(OR(J463="",H463=""),"",IFERROR(INDEX(LAYOUT!$D$2:$D$34,MATCH(J463&amp;"|"&amp;H463,LAYOUT!$E$2:$E$34,0)),"zona tidak ada di layout"))</f>
        <v/>
      </c>
      <c r="L463" s="12">
        <f>IF(OR(G463="",A463=""),"",COUNTIFS($G$2:$G$500,G463,$H$2:$H$500,H463,$A$2:$A$500,"&lt;&gt;"))</f>
        <v/>
      </c>
      <c r="M463" s="12">
        <f>IF(AND(A463="",G463=""),"",IF(G463="","Belum ditempatkan",IF(J463="","CEK ID FIXTURE tidak ada di DAFTAR_FIXTURE",IF(H463="","CEK ZONA NO kosong",IF(K463="zona tidak ada di layout","CEK ZONA NO di luar layout",IF(I463&lt;&gt;K463,"CEK JENIS ZONA",IF(A463="","Zona STOCK",IF(B463="","CEK SKU DESCRIPTION kosong","OK"))))))))</f>
        <v/>
      </c>
    </row>
    <row r="464">
      <c r="A464" s="10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2">
        <f>IF(G464="","",IFERROR(INDEX(DAFTAR_FIXTURE!$B$2:$B$51,MATCH(G464,DAFTAR_FIXTURE!$A$2:$A$51,0)),""))</f>
        <v/>
      </c>
      <c r="K464" s="12">
        <f>IF(OR(J464="",H464=""),"",IFERROR(INDEX(LAYOUT!$D$2:$D$34,MATCH(J464&amp;"|"&amp;H464,LAYOUT!$E$2:$E$34,0)),"zona tidak ada di layout"))</f>
        <v/>
      </c>
      <c r="L464" s="12">
        <f>IF(OR(G464="",A464=""),"",COUNTIFS($G$2:$G$500,G464,$H$2:$H$500,H464,$A$2:$A$500,"&lt;&gt;"))</f>
        <v/>
      </c>
      <c r="M464" s="12">
        <f>IF(AND(A464="",G464=""),"",IF(G464="","Belum ditempatkan",IF(J464="","CEK ID FIXTURE tidak ada di DAFTAR_FIXTURE",IF(H464="","CEK ZONA NO kosong",IF(K464="zona tidak ada di layout","CEK ZONA NO di luar layout",IF(I464&lt;&gt;K464,"CEK JENIS ZONA",IF(A464="","Zona STOCK",IF(B464="","CEK SKU DESCRIPTION kosong","OK"))))))))</f>
        <v/>
      </c>
    </row>
    <row r="465">
      <c r="A465" s="10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2">
        <f>IF(G465="","",IFERROR(INDEX(DAFTAR_FIXTURE!$B$2:$B$51,MATCH(G465,DAFTAR_FIXTURE!$A$2:$A$51,0)),""))</f>
        <v/>
      </c>
      <c r="K465" s="12">
        <f>IF(OR(J465="",H465=""),"",IFERROR(INDEX(LAYOUT!$D$2:$D$34,MATCH(J465&amp;"|"&amp;H465,LAYOUT!$E$2:$E$34,0)),"zona tidak ada di layout"))</f>
        <v/>
      </c>
      <c r="L465" s="12">
        <f>IF(OR(G465="",A465=""),"",COUNTIFS($G$2:$G$500,G465,$H$2:$H$500,H465,$A$2:$A$500,"&lt;&gt;"))</f>
        <v/>
      </c>
      <c r="M465" s="12">
        <f>IF(AND(A465="",G465=""),"",IF(G465="","Belum ditempatkan",IF(J465="","CEK ID FIXTURE tidak ada di DAFTAR_FIXTURE",IF(H465="","CEK ZONA NO kosong",IF(K465="zona tidak ada di layout","CEK ZONA NO di luar layout",IF(I465&lt;&gt;K465,"CEK JENIS ZONA",IF(A465="","Zona STOCK",IF(B465="","CEK SKU DESCRIPTION kosong","OK"))))))))</f>
        <v/>
      </c>
    </row>
    <row r="466">
      <c r="A466" s="10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2">
        <f>IF(G466="","",IFERROR(INDEX(DAFTAR_FIXTURE!$B$2:$B$51,MATCH(G466,DAFTAR_FIXTURE!$A$2:$A$51,0)),""))</f>
        <v/>
      </c>
      <c r="K466" s="12">
        <f>IF(OR(J466="",H466=""),"",IFERROR(INDEX(LAYOUT!$D$2:$D$34,MATCH(J466&amp;"|"&amp;H466,LAYOUT!$E$2:$E$34,0)),"zona tidak ada di layout"))</f>
        <v/>
      </c>
      <c r="L466" s="12">
        <f>IF(OR(G466="",A466=""),"",COUNTIFS($G$2:$G$500,G466,$H$2:$H$500,H466,$A$2:$A$500,"&lt;&gt;"))</f>
        <v/>
      </c>
      <c r="M466" s="12">
        <f>IF(AND(A466="",G466=""),"",IF(G466="","Belum ditempatkan",IF(J466="","CEK ID FIXTURE tidak ada di DAFTAR_FIXTURE",IF(H466="","CEK ZONA NO kosong",IF(K466="zona tidak ada di layout","CEK ZONA NO di luar layout",IF(I466&lt;&gt;K466,"CEK JENIS ZONA",IF(A466="","Zona STOCK",IF(B466="","CEK SKU DESCRIPTION kosong","OK"))))))))</f>
        <v/>
      </c>
    </row>
    <row r="467">
      <c r="A467" s="10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2">
        <f>IF(G467="","",IFERROR(INDEX(DAFTAR_FIXTURE!$B$2:$B$51,MATCH(G467,DAFTAR_FIXTURE!$A$2:$A$51,0)),""))</f>
        <v/>
      </c>
      <c r="K467" s="12">
        <f>IF(OR(J467="",H467=""),"",IFERROR(INDEX(LAYOUT!$D$2:$D$34,MATCH(J467&amp;"|"&amp;H467,LAYOUT!$E$2:$E$34,0)),"zona tidak ada di layout"))</f>
        <v/>
      </c>
      <c r="L467" s="12">
        <f>IF(OR(G467="",A467=""),"",COUNTIFS($G$2:$G$500,G467,$H$2:$H$500,H467,$A$2:$A$500,"&lt;&gt;"))</f>
        <v/>
      </c>
      <c r="M467" s="12">
        <f>IF(AND(A467="",G467=""),"",IF(G467="","Belum ditempatkan",IF(J467="","CEK ID FIXTURE tidak ada di DAFTAR_FIXTURE",IF(H467="","CEK ZONA NO kosong",IF(K467="zona tidak ada di layout","CEK ZONA NO di luar layout",IF(I467&lt;&gt;K467,"CEK JENIS ZONA",IF(A467="","Zona STOCK",IF(B467="","CEK SKU DESCRIPTION kosong","OK"))))))))</f>
        <v/>
      </c>
    </row>
    <row r="468">
      <c r="A468" s="10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2">
        <f>IF(G468="","",IFERROR(INDEX(DAFTAR_FIXTURE!$B$2:$B$51,MATCH(G468,DAFTAR_FIXTURE!$A$2:$A$51,0)),""))</f>
        <v/>
      </c>
      <c r="K468" s="12">
        <f>IF(OR(J468="",H468=""),"",IFERROR(INDEX(LAYOUT!$D$2:$D$34,MATCH(J468&amp;"|"&amp;H468,LAYOUT!$E$2:$E$34,0)),"zona tidak ada di layout"))</f>
        <v/>
      </c>
      <c r="L468" s="12">
        <f>IF(OR(G468="",A468=""),"",COUNTIFS($G$2:$G$500,G468,$H$2:$H$500,H468,$A$2:$A$500,"&lt;&gt;"))</f>
        <v/>
      </c>
      <c r="M468" s="12">
        <f>IF(AND(A468="",G468=""),"",IF(G468="","Belum ditempatkan",IF(J468="","CEK ID FIXTURE tidak ada di DAFTAR_FIXTURE",IF(H468="","CEK ZONA NO kosong",IF(K468="zona tidak ada di layout","CEK ZONA NO di luar layout",IF(I468&lt;&gt;K468,"CEK JENIS ZONA",IF(A468="","Zona STOCK",IF(B468="","CEK SKU DESCRIPTION kosong","OK"))))))))</f>
        <v/>
      </c>
    </row>
    <row r="469">
      <c r="A469" s="10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2">
        <f>IF(G469="","",IFERROR(INDEX(DAFTAR_FIXTURE!$B$2:$B$51,MATCH(G469,DAFTAR_FIXTURE!$A$2:$A$51,0)),""))</f>
        <v/>
      </c>
      <c r="K469" s="12">
        <f>IF(OR(J469="",H469=""),"",IFERROR(INDEX(LAYOUT!$D$2:$D$34,MATCH(J469&amp;"|"&amp;H469,LAYOUT!$E$2:$E$34,0)),"zona tidak ada di layout"))</f>
        <v/>
      </c>
      <c r="L469" s="12">
        <f>IF(OR(G469="",A469=""),"",COUNTIFS($G$2:$G$500,G469,$H$2:$H$500,H469,$A$2:$A$500,"&lt;&gt;"))</f>
        <v/>
      </c>
      <c r="M469" s="12">
        <f>IF(AND(A469="",G469=""),"",IF(G469="","Belum ditempatkan",IF(J469="","CEK ID FIXTURE tidak ada di DAFTAR_FIXTURE",IF(H469="","CEK ZONA NO kosong",IF(K469="zona tidak ada di layout","CEK ZONA NO di luar layout",IF(I469&lt;&gt;K469,"CEK JENIS ZONA",IF(A469="","Zona STOCK",IF(B469="","CEK SKU DESCRIPTION kosong","OK"))))))))</f>
        <v/>
      </c>
    </row>
    <row r="470">
      <c r="A470" s="10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2">
        <f>IF(G470="","",IFERROR(INDEX(DAFTAR_FIXTURE!$B$2:$B$51,MATCH(G470,DAFTAR_FIXTURE!$A$2:$A$51,0)),""))</f>
        <v/>
      </c>
      <c r="K470" s="12">
        <f>IF(OR(J470="",H470=""),"",IFERROR(INDEX(LAYOUT!$D$2:$D$34,MATCH(J470&amp;"|"&amp;H470,LAYOUT!$E$2:$E$34,0)),"zona tidak ada di layout"))</f>
        <v/>
      </c>
      <c r="L470" s="12">
        <f>IF(OR(G470="",A470=""),"",COUNTIFS($G$2:$G$500,G470,$H$2:$H$500,H470,$A$2:$A$500,"&lt;&gt;"))</f>
        <v/>
      </c>
      <c r="M470" s="12">
        <f>IF(AND(A470="",G470=""),"",IF(G470="","Belum ditempatkan",IF(J470="","CEK ID FIXTURE tidak ada di DAFTAR_FIXTURE",IF(H470="","CEK ZONA NO kosong",IF(K470="zona tidak ada di layout","CEK ZONA NO di luar layout",IF(I470&lt;&gt;K470,"CEK JENIS ZONA",IF(A470="","Zona STOCK",IF(B470="","CEK SKU DESCRIPTION kosong","OK"))))))))</f>
        <v/>
      </c>
    </row>
    <row r="471">
      <c r="A471" s="10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2">
        <f>IF(G471="","",IFERROR(INDEX(DAFTAR_FIXTURE!$B$2:$B$51,MATCH(G471,DAFTAR_FIXTURE!$A$2:$A$51,0)),""))</f>
        <v/>
      </c>
      <c r="K471" s="12">
        <f>IF(OR(J471="",H471=""),"",IFERROR(INDEX(LAYOUT!$D$2:$D$34,MATCH(J471&amp;"|"&amp;H471,LAYOUT!$E$2:$E$34,0)),"zona tidak ada di layout"))</f>
        <v/>
      </c>
      <c r="L471" s="12">
        <f>IF(OR(G471="",A471=""),"",COUNTIFS($G$2:$G$500,G471,$H$2:$H$500,H471,$A$2:$A$500,"&lt;&gt;"))</f>
        <v/>
      </c>
      <c r="M471" s="12">
        <f>IF(AND(A471="",G471=""),"",IF(G471="","Belum ditempatkan",IF(J471="","CEK ID FIXTURE tidak ada di DAFTAR_FIXTURE",IF(H471="","CEK ZONA NO kosong",IF(K471="zona tidak ada di layout","CEK ZONA NO di luar layout",IF(I471&lt;&gt;K471,"CEK JENIS ZONA",IF(A471="","Zona STOCK",IF(B471="","CEK SKU DESCRIPTION kosong","OK"))))))))</f>
        <v/>
      </c>
    </row>
    <row r="472">
      <c r="A472" s="10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2">
        <f>IF(G472="","",IFERROR(INDEX(DAFTAR_FIXTURE!$B$2:$B$51,MATCH(G472,DAFTAR_FIXTURE!$A$2:$A$51,0)),""))</f>
        <v/>
      </c>
      <c r="K472" s="12">
        <f>IF(OR(J472="",H472=""),"",IFERROR(INDEX(LAYOUT!$D$2:$D$34,MATCH(J472&amp;"|"&amp;H472,LAYOUT!$E$2:$E$34,0)),"zona tidak ada di layout"))</f>
        <v/>
      </c>
      <c r="L472" s="12">
        <f>IF(OR(G472="",A472=""),"",COUNTIFS($G$2:$G$500,G472,$H$2:$H$500,H472,$A$2:$A$500,"&lt;&gt;"))</f>
        <v/>
      </c>
      <c r="M472" s="12">
        <f>IF(AND(A472="",G472=""),"",IF(G472="","Belum ditempatkan",IF(J472="","CEK ID FIXTURE tidak ada di DAFTAR_FIXTURE",IF(H472="","CEK ZONA NO kosong",IF(K472="zona tidak ada di layout","CEK ZONA NO di luar layout",IF(I472&lt;&gt;K472,"CEK JENIS ZONA",IF(A472="","Zona STOCK",IF(B472="","CEK SKU DESCRIPTION kosong","OK"))))))))</f>
        <v/>
      </c>
    </row>
    <row r="473">
      <c r="A473" s="10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2">
        <f>IF(G473="","",IFERROR(INDEX(DAFTAR_FIXTURE!$B$2:$B$51,MATCH(G473,DAFTAR_FIXTURE!$A$2:$A$51,0)),""))</f>
        <v/>
      </c>
      <c r="K473" s="12">
        <f>IF(OR(J473="",H473=""),"",IFERROR(INDEX(LAYOUT!$D$2:$D$34,MATCH(J473&amp;"|"&amp;H473,LAYOUT!$E$2:$E$34,0)),"zona tidak ada di layout"))</f>
        <v/>
      </c>
      <c r="L473" s="12">
        <f>IF(OR(G473="",A473=""),"",COUNTIFS($G$2:$G$500,G473,$H$2:$H$500,H473,$A$2:$A$500,"&lt;&gt;"))</f>
        <v/>
      </c>
      <c r="M473" s="12">
        <f>IF(AND(A473="",G473=""),"",IF(G473="","Belum ditempatkan",IF(J473="","CEK ID FIXTURE tidak ada di DAFTAR_FIXTURE",IF(H473="","CEK ZONA NO kosong",IF(K473="zona tidak ada di layout","CEK ZONA NO di luar layout",IF(I473&lt;&gt;K473,"CEK JENIS ZONA",IF(A473="","Zona STOCK",IF(B473="","CEK SKU DESCRIPTION kosong","OK"))))))))</f>
        <v/>
      </c>
    </row>
    <row r="474">
      <c r="A474" s="10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2">
        <f>IF(G474="","",IFERROR(INDEX(DAFTAR_FIXTURE!$B$2:$B$51,MATCH(G474,DAFTAR_FIXTURE!$A$2:$A$51,0)),""))</f>
        <v/>
      </c>
      <c r="K474" s="12">
        <f>IF(OR(J474="",H474=""),"",IFERROR(INDEX(LAYOUT!$D$2:$D$34,MATCH(J474&amp;"|"&amp;H474,LAYOUT!$E$2:$E$34,0)),"zona tidak ada di layout"))</f>
        <v/>
      </c>
      <c r="L474" s="12">
        <f>IF(OR(G474="",A474=""),"",COUNTIFS($G$2:$G$500,G474,$H$2:$H$500,H474,$A$2:$A$500,"&lt;&gt;"))</f>
        <v/>
      </c>
      <c r="M474" s="12">
        <f>IF(AND(A474="",G474=""),"",IF(G474="","Belum ditempatkan",IF(J474="","CEK ID FIXTURE tidak ada di DAFTAR_FIXTURE",IF(H474="","CEK ZONA NO kosong",IF(K474="zona tidak ada di layout","CEK ZONA NO di luar layout",IF(I474&lt;&gt;K474,"CEK JENIS ZONA",IF(A474="","Zona STOCK",IF(B474="","CEK SKU DESCRIPTION kosong","OK"))))))))</f>
        <v/>
      </c>
    </row>
    <row r="475">
      <c r="A475" s="10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2">
        <f>IF(G475="","",IFERROR(INDEX(DAFTAR_FIXTURE!$B$2:$B$51,MATCH(G475,DAFTAR_FIXTURE!$A$2:$A$51,0)),""))</f>
        <v/>
      </c>
      <c r="K475" s="12">
        <f>IF(OR(J475="",H475=""),"",IFERROR(INDEX(LAYOUT!$D$2:$D$34,MATCH(J475&amp;"|"&amp;H475,LAYOUT!$E$2:$E$34,0)),"zona tidak ada di layout"))</f>
        <v/>
      </c>
      <c r="L475" s="12">
        <f>IF(OR(G475="",A475=""),"",COUNTIFS($G$2:$G$500,G475,$H$2:$H$500,H475,$A$2:$A$500,"&lt;&gt;"))</f>
        <v/>
      </c>
      <c r="M475" s="12">
        <f>IF(AND(A475="",G475=""),"",IF(G475="","Belum ditempatkan",IF(J475="","CEK ID FIXTURE tidak ada di DAFTAR_FIXTURE",IF(H475="","CEK ZONA NO kosong",IF(K475="zona tidak ada di layout","CEK ZONA NO di luar layout",IF(I475&lt;&gt;K475,"CEK JENIS ZONA",IF(A475="","Zona STOCK",IF(B475="","CEK SKU DESCRIPTION kosong","OK"))))))))</f>
        <v/>
      </c>
    </row>
    <row r="476">
      <c r="A476" s="10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2">
        <f>IF(G476="","",IFERROR(INDEX(DAFTAR_FIXTURE!$B$2:$B$51,MATCH(G476,DAFTAR_FIXTURE!$A$2:$A$51,0)),""))</f>
        <v/>
      </c>
      <c r="K476" s="12">
        <f>IF(OR(J476="",H476=""),"",IFERROR(INDEX(LAYOUT!$D$2:$D$34,MATCH(J476&amp;"|"&amp;H476,LAYOUT!$E$2:$E$34,0)),"zona tidak ada di layout"))</f>
        <v/>
      </c>
      <c r="L476" s="12">
        <f>IF(OR(G476="",A476=""),"",COUNTIFS($G$2:$G$500,G476,$H$2:$H$500,H476,$A$2:$A$500,"&lt;&gt;"))</f>
        <v/>
      </c>
      <c r="M476" s="12">
        <f>IF(AND(A476="",G476=""),"",IF(G476="","Belum ditempatkan",IF(J476="","CEK ID FIXTURE tidak ada di DAFTAR_FIXTURE",IF(H476="","CEK ZONA NO kosong",IF(K476="zona tidak ada di layout","CEK ZONA NO di luar layout",IF(I476&lt;&gt;K476,"CEK JENIS ZONA",IF(A476="","Zona STOCK",IF(B476="","CEK SKU DESCRIPTION kosong","OK"))))))))</f>
        <v/>
      </c>
    </row>
    <row r="477">
      <c r="A477" s="10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2">
        <f>IF(G477="","",IFERROR(INDEX(DAFTAR_FIXTURE!$B$2:$B$51,MATCH(G477,DAFTAR_FIXTURE!$A$2:$A$51,0)),""))</f>
        <v/>
      </c>
      <c r="K477" s="12">
        <f>IF(OR(J477="",H477=""),"",IFERROR(INDEX(LAYOUT!$D$2:$D$34,MATCH(J477&amp;"|"&amp;H477,LAYOUT!$E$2:$E$34,0)),"zona tidak ada di layout"))</f>
        <v/>
      </c>
      <c r="L477" s="12">
        <f>IF(OR(G477="",A477=""),"",COUNTIFS($G$2:$G$500,G477,$H$2:$H$500,H477,$A$2:$A$500,"&lt;&gt;"))</f>
        <v/>
      </c>
      <c r="M477" s="12">
        <f>IF(AND(A477="",G477=""),"",IF(G477="","Belum ditempatkan",IF(J477="","CEK ID FIXTURE tidak ada di DAFTAR_FIXTURE",IF(H477="","CEK ZONA NO kosong",IF(K477="zona tidak ada di layout","CEK ZONA NO di luar layout",IF(I477&lt;&gt;K477,"CEK JENIS ZONA",IF(A477="","Zona STOCK",IF(B477="","CEK SKU DESCRIPTION kosong","OK"))))))))</f>
        <v/>
      </c>
    </row>
    <row r="478">
      <c r="A478" s="10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2">
        <f>IF(G478="","",IFERROR(INDEX(DAFTAR_FIXTURE!$B$2:$B$51,MATCH(G478,DAFTAR_FIXTURE!$A$2:$A$51,0)),""))</f>
        <v/>
      </c>
      <c r="K478" s="12">
        <f>IF(OR(J478="",H478=""),"",IFERROR(INDEX(LAYOUT!$D$2:$D$34,MATCH(J478&amp;"|"&amp;H478,LAYOUT!$E$2:$E$34,0)),"zona tidak ada di layout"))</f>
        <v/>
      </c>
      <c r="L478" s="12">
        <f>IF(OR(G478="",A478=""),"",COUNTIFS($G$2:$G$500,G478,$H$2:$H$500,H478,$A$2:$A$500,"&lt;&gt;"))</f>
        <v/>
      </c>
      <c r="M478" s="12">
        <f>IF(AND(A478="",G478=""),"",IF(G478="","Belum ditempatkan",IF(J478="","CEK ID FIXTURE tidak ada di DAFTAR_FIXTURE",IF(H478="","CEK ZONA NO kosong",IF(K478="zona tidak ada di layout","CEK ZONA NO di luar layout",IF(I478&lt;&gt;K478,"CEK JENIS ZONA",IF(A478="","Zona STOCK",IF(B478="","CEK SKU DESCRIPTION kosong","OK"))))))))</f>
        <v/>
      </c>
    </row>
    <row r="479">
      <c r="A479" s="10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2">
        <f>IF(G479="","",IFERROR(INDEX(DAFTAR_FIXTURE!$B$2:$B$51,MATCH(G479,DAFTAR_FIXTURE!$A$2:$A$51,0)),""))</f>
        <v/>
      </c>
      <c r="K479" s="12">
        <f>IF(OR(J479="",H479=""),"",IFERROR(INDEX(LAYOUT!$D$2:$D$34,MATCH(J479&amp;"|"&amp;H479,LAYOUT!$E$2:$E$34,0)),"zona tidak ada di layout"))</f>
        <v/>
      </c>
      <c r="L479" s="12">
        <f>IF(OR(G479="",A479=""),"",COUNTIFS($G$2:$G$500,G479,$H$2:$H$500,H479,$A$2:$A$500,"&lt;&gt;"))</f>
        <v/>
      </c>
      <c r="M479" s="12">
        <f>IF(AND(A479="",G479=""),"",IF(G479="","Belum ditempatkan",IF(J479="","CEK ID FIXTURE tidak ada di DAFTAR_FIXTURE",IF(H479="","CEK ZONA NO kosong",IF(K479="zona tidak ada di layout","CEK ZONA NO di luar layout",IF(I479&lt;&gt;K479,"CEK JENIS ZONA",IF(A479="","Zona STOCK",IF(B479="","CEK SKU DESCRIPTION kosong","OK"))))))))</f>
        <v/>
      </c>
    </row>
    <row r="480">
      <c r="A480" s="10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2">
        <f>IF(G480="","",IFERROR(INDEX(DAFTAR_FIXTURE!$B$2:$B$51,MATCH(G480,DAFTAR_FIXTURE!$A$2:$A$51,0)),""))</f>
        <v/>
      </c>
      <c r="K480" s="12">
        <f>IF(OR(J480="",H480=""),"",IFERROR(INDEX(LAYOUT!$D$2:$D$34,MATCH(J480&amp;"|"&amp;H480,LAYOUT!$E$2:$E$34,0)),"zona tidak ada di layout"))</f>
        <v/>
      </c>
      <c r="L480" s="12">
        <f>IF(OR(G480="",A480=""),"",COUNTIFS($G$2:$G$500,G480,$H$2:$H$500,H480,$A$2:$A$500,"&lt;&gt;"))</f>
        <v/>
      </c>
      <c r="M480" s="12">
        <f>IF(AND(A480="",G480=""),"",IF(G480="","Belum ditempatkan",IF(J480="","CEK ID FIXTURE tidak ada di DAFTAR_FIXTURE",IF(H480="","CEK ZONA NO kosong",IF(K480="zona tidak ada di layout","CEK ZONA NO di luar layout",IF(I480&lt;&gt;K480,"CEK JENIS ZONA",IF(A480="","Zona STOCK",IF(B480="","CEK SKU DESCRIPTION kosong","OK"))))))))</f>
        <v/>
      </c>
    </row>
    <row r="481">
      <c r="A481" s="10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2">
        <f>IF(G481="","",IFERROR(INDEX(DAFTAR_FIXTURE!$B$2:$B$51,MATCH(G481,DAFTAR_FIXTURE!$A$2:$A$51,0)),""))</f>
        <v/>
      </c>
      <c r="K481" s="12">
        <f>IF(OR(J481="",H481=""),"",IFERROR(INDEX(LAYOUT!$D$2:$D$34,MATCH(J481&amp;"|"&amp;H481,LAYOUT!$E$2:$E$34,0)),"zona tidak ada di layout"))</f>
        <v/>
      </c>
      <c r="L481" s="12">
        <f>IF(OR(G481="",A481=""),"",COUNTIFS($G$2:$G$500,G481,$H$2:$H$500,H481,$A$2:$A$500,"&lt;&gt;"))</f>
        <v/>
      </c>
      <c r="M481" s="12">
        <f>IF(AND(A481="",G481=""),"",IF(G481="","Belum ditempatkan",IF(J481="","CEK ID FIXTURE tidak ada di DAFTAR_FIXTURE",IF(H481="","CEK ZONA NO kosong",IF(K481="zona tidak ada di layout","CEK ZONA NO di luar layout",IF(I481&lt;&gt;K481,"CEK JENIS ZONA",IF(A481="","Zona STOCK",IF(B481="","CEK SKU DESCRIPTION kosong","OK"))))))))</f>
        <v/>
      </c>
    </row>
    <row r="482">
      <c r="A482" s="10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2">
        <f>IF(G482="","",IFERROR(INDEX(DAFTAR_FIXTURE!$B$2:$B$51,MATCH(G482,DAFTAR_FIXTURE!$A$2:$A$51,0)),""))</f>
        <v/>
      </c>
      <c r="K482" s="12">
        <f>IF(OR(J482="",H482=""),"",IFERROR(INDEX(LAYOUT!$D$2:$D$34,MATCH(J482&amp;"|"&amp;H482,LAYOUT!$E$2:$E$34,0)),"zona tidak ada di layout"))</f>
        <v/>
      </c>
      <c r="L482" s="12">
        <f>IF(OR(G482="",A482=""),"",COUNTIFS($G$2:$G$500,G482,$H$2:$H$500,H482,$A$2:$A$500,"&lt;&gt;"))</f>
        <v/>
      </c>
      <c r="M482" s="12">
        <f>IF(AND(A482="",G482=""),"",IF(G482="","Belum ditempatkan",IF(J482="","CEK ID FIXTURE tidak ada di DAFTAR_FIXTURE",IF(H482="","CEK ZONA NO kosong",IF(K482="zona tidak ada di layout","CEK ZONA NO di luar layout",IF(I482&lt;&gt;K482,"CEK JENIS ZONA",IF(A482="","Zona STOCK",IF(B482="","CEK SKU DESCRIPTION kosong","OK"))))))))</f>
        <v/>
      </c>
    </row>
    <row r="483">
      <c r="A483" s="10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2">
        <f>IF(G483="","",IFERROR(INDEX(DAFTAR_FIXTURE!$B$2:$B$51,MATCH(G483,DAFTAR_FIXTURE!$A$2:$A$51,0)),""))</f>
        <v/>
      </c>
      <c r="K483" s="12">
        <f>IF(OR(J483="",H483=""),"",IFERROR(INDEX(LAYOUT!$D$2:$D$34,MATCH(J483&amp;"|"&amp;H483,LAYOUT!$E$2:$E$34,0)),"zona tidak ada di layout"))</f>
        <v/>
      </c>
      <c r="L483" s="12">
        <f>IF(OR(G483="",A483=""),"",COUNTIFS($G$2:$G$500,G483,$H$2:$H$500,H483,$A$2:$A$500,"&lt;&gt;"))</f>
        <v/>
      </c>
      <c r="M483" s="12">
        <f>IF(AND(A483="",G483=""),"",IF(G483="","Belum ditempatkan",IF(J483="","CEK ID FIXTURE tidak ada di DAFTAR_FIXTURE",IF(H483="","CEK ZONA NO kosong",IF(K483="zona tidak ada di layout","CEK ZONA NO di luar layout",IF(I483&lt;&gt;K483,"CEK JENIS ZONA",IF(A483="","Zona STOCK",IF(B483="","CEK SKU DESCRIPTION kosong","OK"))))))))</f>
        <v/>
      </c>
    </row>
    <row r="484">
      <c r="A484" s="10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2">
        <f>IF(G484="","",IFERROR(INDEX(DAFTAR_FIXTURE!$B$2:$B$51,MATCH(G484,DAFTAR_FIXTURE!$A$2:$A$51,0)),""))</f>
        <v/>
      </c>
      <c r="K484" s="12">
        <f>IF(OR(J484="",H484=""),"",IFERROR(INDEX(LAYOUT!$D$2:$D$34,MATCH(J484&amp;"|"&amp;H484,LAYOUT!$E$2:$E$34,0)),"zona tidak ada di layout"))</f>
        <v/>
      </c>
      <c r="L484" s="12">
        <f>IF(OR(G484="",A484=""),"",COUNTIFS($G$2:$G$500,G484,$H$2:$H$500,H484,$A$2:$A$500,"&lt;&gt;"))</f>
        <v/>
      </c>
      <c r="M484" s="12">
        <f>IF(AND(A484="",G484=""),"",IF(G484="","Belum ditempatkan",IF(J484="","CEK ID FIXTURE tidak ada di DAFTAR_FIXTURE",IF(H484="","CEK ZONA NO kosong",IF(K484="zona tidak ada di layout","CEK ZONA NO di luar layout",IF(I484&lt;&gt;K484,"CEK JENIS ZONA",IF(A484="","Zona STOCK",IF(B484="","CEK SKU DESCRIPTION kosong","OK"))))))))</f>
        <v/>
      </c>
    </row>
    <row r="485">
      <c r="A485" s="10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2">
        <f>IF(G485="","",IFERROR(INDEX(DAFTAR_FIXTURE!$B$2:$B$51,MATCH(G485,DAFTAR_FIXTURE!$A$2:$A$51,0)),""))</f>
        <v/>
      </c>
      <c r="K485" s="12">
        <f>IF(OR(J485="",H485=""),"",IFERROR(INDEX(LAYOUT!$D$2:$D$34,MATCH(J485&amp;"|"&amp;H485,LAYOUT!$E$2:$E$34,0)),"zona tidak ada di layout"))</f>
        <v/>
      </c>
      <c r="L485" s="12">
        <f>IF(OR(G485="",A485=""),"",COUNTIFS($G$2:$G$500,G485,$H$2:$H$500,H485,$A$2:$A$500,"&lt;&gt;"))</f>
        <v/>
      </c>
      <c r="M485" s="12">
        <f>IF(AND(A485="",G485=""),"",IF(G485="","Belum ditempatkan",IF(J485="","CEK ID FIXTURE tidak ada di DAFTAR_FIXTURE",IF(H485="","CEK ZONA NO kosong",IF(K485="zona tidak ada di layout","CEK ZONA NO di luar layout",IF(I485&lt;&gt;K485,"CEK JENIS ZONA",IF(A485="","Zona STOCK",IF(B485="","CEK SKU DESCRIPTION kosong","OK"))))))))</f>
        <v/>
      </c>
    </row>
    <row r="486">
      <c r="A486" s="10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2">
        <f>IF(G486="","",IFERROR(INDEX(DAFTAR_FIXTURE!$B$2:$B$51,MATCH(G486,DAFTAR_FIXTURE!$A$2:$A$51,0)),""))</f>
        <v/>
      </c>
      <c r="K486" s="12">
        <f>IF(OR(J486="",H486=""),"",IFERROR(INDEX(LAYOUT!$D$2:$D$34,MATCH(J486&amp;"|"&amp;H486,LAYOUT!$E$2:$E$34,0)),"zona tidak ada di layout"))</f>
        <v/>
      </c>
      <c r="L486" s="12">
        <f>IF(OR(G486="",A486=""),"",COUNTIFS($G$2:$G$500,G486,$H$2:$H$500,H486,$A$2:$A$500,"&lt;&gt;"))</f>
        <v/>
      </c>
      <c r="M486" s="12">
        <f>IF(AND(A486="",G486=""),"",IF(G486="","Belum ditempatkan",IF(J486="","CEK ID FIXTURE tidak ada di DAFTAR_FIXTURE",IF(H486="","CEK ZONA NO kosong",IF(K486="zona tidak ada di layout","CEK ZONA NO di luar layout",IF(I486&lt;&gt;K486,"CEK JENIS ZONA",IF(A486="","Zona STOCK",IF(B486="","CEK SKU DESCRIPTION kosong","OK"))))))))</f>
        <v/>
      </c>
    </row>
    <row r="487">
      <c r="A487" s="10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2">
        <f>IF(G487="","",IFERROR(INDEX(DAFTAR_FIXTURE!$B$2:$B$51,MATCH(G487,DAFTAR_FIXTURE!$A$2:$A$51,0)),""))</f>
        <v/>
      </c>
      <c r="K487" s="12">
        <f>IF(OR(J487="",H487=""),"",IFERROR(INDEX(LAYOUT!$D$2:$D$34,MATCH(J487&amp;"|"&amp;H487,LAYOUT!$E$2:$E$34,0)),"zona tidak ada di layout"))</f>
        <v/>
      </c>
      <c r="L487" s="12">
        <f>IF(OR(G487="",A487=""),"",COUNTIFS($G$2:$G$500,G487,$H$2:$H$500,H487,$A$2:$A$500,"&lt;&gt;"))</f>
        <v/>
      </c>
      <c r="M487" s="12">
        <f>IF(AND(A487="",G487=""),"",IF(G487="","Belum ditempatkan",IF(J487="","CEK ID FIXTURE tidak ada di DAFTAR_FIXTURE",IF(H487="","CEK ZONA NO kosong",IF(K487="zona tidak ada di layout","CEK ZONA NO di luar layout",IF(I487&lt;&gt;K487,"CEK JENIS ZONA",IF(A487="","Zona STOCK",IF(B487="","CEK SKU DESCRIPTION kosong","OK"))))))))</f>
        <v/>
      </c>
    </row>
    <row r="488">
      <c r="A488" s="10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2">
        <f>IF(G488="","",IFERROR(INDEX(DAFTAR_FIXTURE!$B$2:$B$51,MATCH(G488,DAFTAR_FIXTURE!$A$2:$A$51,0)),""))</f>
        <v/>
      </c>
      <c r="K488" s="12">
        <f>IF(OR(J488="",H488=""),"",IFERROR(INDEX(LAYOUT!$D$2:$D$34,MATCH(J488&amp;"|"&amp;H488,LAYOUT!$E$2:$E$34,0)),"zona tidak ada di layout"))</f>
        <v/>
      </c>
      <c r="L488" s="12">
        <f>IF(OR(G488="",A488=""),"",COUNTIFS($G$2:$G$500,G488,$H$2:$H$500,H488,$A$2:$A$500,"&lt;&gt;"))</f>
        <v/>
      </c>
      <c r="M488" s="12">
        <f>IF(AND(A488="",G488=""),"",IF(G488="","Belum ditempatkan",IF(J488="","CEK ID FIXTURE tidak ada di DAFTAR_FIXTURE",IF(H488="","CEK ZONA NO kosong",IF(K488="zona tidak ada di layout","CEK ZONA NO di luar layout",IF(I488&lt;&gt;K488,"CEK JENIS ZONA",IF(A488="","Zona STOCK",IF(B488="","CEK SKU DESCRIPTION kosong","OK"))))))))</f>
        <v/>
      </c>
    </row>
    <row r="489">
      <c r="A489" s="10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2">
        <f>IF(G489="","",IFERROR(INDEX(DAFTAR_FIXTURE!$B$2:$B$51,MATCH(G489,DAFTAR_FIXTURE!$A$2:$A$51,0)),""))</f>
        <v/>
      </c>
      <c r="K489" s="12">
        <f>IF(OR(J489="",H489=""),"",IFERROR(INDEX(LAYOUT!$D$2:$D$34,MATCH(J489&amp;"|"&amp;H489,LAYOUT!$E$2:$E$34,0)),"zona tidak ada di layout"))</f>
        <v/>
      </c>
      <c r="L489" s="12">
        <f>IF(OR(G489="",A489=""),"",COUNTIFS($G$2:$G$500,G489,$H$2:$H$500,H489,$A$2:$A$500,"&lt;&gt;"))</f>
        <v/>
      </c>
      <c r="M489" s="12">
        <f>IF(AND(A489="",G489=""),"",IF(G489="","Belum ditempatkan",IF(J489="","CEK ID FIXTURE tidak ada di DAFTAR_FIXTURE",IF(H489="","CEK ZONA NO kosong",IF(K489="zona tidak ada di layout","CEK ZONA NO di luar layout",IF(I489&lt;&gt;K489,"CEK JENIS ZONA",IF(A489="","Zona STOCK",IF(B489="","CEK SKU DESCRIPTION kosong","OK"))))))))</f>
        <v/>
      </c>
    </row>
    <row r="490">
      <c r="A490" s="10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2">
        <f>IF(G490="","",IFERROR(INDEX(DAFTAR_FIXTURE!$B$2:$B$51,MATCH(G490,DAFTAR_FIXTURE!$A$2:$A$51,0)),""))</f>
        <v/>
      </c>
      <c r="K490" s="12">
        <f>IF(OR(J490="",H490=""),"",IFERROR(INDEX(LAYOUT!$D$2:$D$34,MATCH(J490&amp;"|"&amp;H490,LAYOUT!$E$2:$E$34,0)),"zona tidak ada di layout"))</f>
        <v/>
      </c>
      <c r="L490" s="12">
        <f>IF(OR(G490="",A490=""),"",COUNTIFS($G$2:$G$500,G490,$H$2:$H$500,H490,$A$2:$A$500,"&lt;&gt;"))</f>
        <v/>
      </c>
      <c r="M490" s="12">
        <f>IF(AND(A490="",G490=""),"",IF(G490="","Belum ditempatkan",IF(J490="","CEK ID FIXTURE tidak ada di DAFTAR_FIXTURE",IF(H490="","CEK ZONA NO kosong",IF(K490="zona tidak ada di layout","CEK ZONA NO di luar layout",IF(I490&lt;&gt;K490,"CEK JENIS ZONA",IF(A490="","Zona STOCK",IF(B490="","CEK SKU DESCRIPTION kosong","OK"))))))))</f>
        <v/>
      </c>
    </row>
    <row r="491">
      <c r="A491" s="10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2">
        <f>IF(G491="","",IFERROR(INDEX(DAFTAR_FIXTURE!$B$2:$B$51,MATCH(G491,DAFTAR_FIXTURE!$A$2:$A$51,0)),""))</f>
        <v/>
      </c>
      <c r="K491" s="12">
        <f>IF(OR(J491="",H491=""),"",IFERROR(INDEX(LAYOUT!$D$2:$D$34,MATCH(J491&amp;"|"&amp;H491,LAYOUT!$E$2:$E$34,0)),"zona tidak ada di layout"))</f>
        <v/>
      </c>
      <c r="L491" s="12">
        <f>IF(OR(G491="",A491=""),"",COUNTIFS($G$2:$G$500,G491,$H$2:$H$500,H491,$A$2:$A$500,"&lt;&gt;"))</f>
        <v/>
      </c>
      <c r="M491" s="12">
        <f>IF(AND(A491="",G491=""),"",IF(G491="","Belum ditempatkan",IF(J491="","CEK ID FIXTURE tidak ada di DAFTAR_FIXTURE",IF(H491="","CEK ZONA NO kosong",IF(K491="zona tidak ada di layout","CEK ZONA NO di luar layout",IF(I491&lt;&gt;K491,"CEK JENIS ZONA",IF(A491="","Zona STOCK",IF(B491="","CEK SKU DESCRIPTION kosong","OK"))))))))</f>
        <v/>
      </c>
    </row>
    <row r="492">
      <c r="A492" s="10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2">
        <f>IF(G492="","",IFERROR(INDEX(DAFTAR_FIXTURE!$B$2:$B$51,MATCH(G492,DAFTAR_FIXTURE!$A$2:$A$51,0)),""))</f>
        <v/>
      </c>
      <c r="K492" s="12">
        <f>IF(OR(J492="",H492=""),"",IFERROR(INDEX(LAYOUT!$D$2:$D$34,MATCH(J492&amp;"|"&amp;H492,LAYOUT!$E$2:$E$34,0)),"zona tidak ada di layout"))</f>
        <v/>
      </c>
      <c r="L492" s="12">
        <f>IF(OR(G492="",A492=""),"",COUNTIFS($G$2:$G$500,G492,$H$2:$H$500,H492,$A$2:$A$500,"&lt;&gt;"))</f>
        <v/>
      </c>
      <c r="M492" s="12">
        <f>IF(AND(A492="",G492=""),"",IF(G492="","Belum ditempatkan",IF(J492="","CEK ID FIXTURE tidak ada di DAFTAR_FIXTURE",IF(H492="","CEK ZONA NO kosong",IF(K492="zona tidak ada di layout","CEK ZONA NO di luar layout",IF(I492&lt;&gt;K492,"CEK JENIS ZONA",IF(A492="","Zona STOCK",IF(B492="","CEK SKU DESCRIPTION kosong","OK"))))))))</f>
        <v/>
      </c>
    </row>
    <row r="493">
      <c r="A493" s="10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2">
        <f>IF(G493="","",IFERROR(INDEX(DAFTAR_FIXTURE!$B$2:$B$51,MATCH(G493,DAFTAR_FIXTURE!$A$2:$A$51,0)),""))</f>
        <v/>
      </c>
      <c r="K493" s="12">
        <f>IF(OR(J493="",H493=""),"",IFERROR(INDEX(LAYOUT!$D$2:$D$34,MATCH(J493&amp;"|"&amp;H493,LAYOUT!$E$2:$E$34,0)),"zona tidak ada di layout"))</f>
        <v/>
      </c>
      <c r="L493" s="12">
        <f>IF(OR(G493="",A493=""),"",COUNTIFS($G$2:$G$500,G493,$H$2:$H$500,H493,$A$2:$A$500,"&lt;&gt;"))</f>
        <v/>
      </c>
      <c r="M493" s="12">
        <f>IF(AND(A493="",G493=""),"",IF(G493="","Belum ditempatkan",IF(J493="","CEK ID FIXTURE tidak ada di DAFTAR_FIXTURE",IF(H493="","CEK ZONA NO kosong",IF(K493="zona tidak ada di layout","CEK ZONA NO di luar layout",IF(I493&lt;&gt;K493,"CEK JENIS ZONA",IF(A493="","Zona STOCK",IF(B493="","CEK SKU DESCRIPTION kosong","OK"))))))))</f>
        <v/>
      </c>
    </row>
    <row r="494">
      <c r="A494" s="10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2">
        <f>IF(G494="","",IFERROR(INDEX(DAFTAR_FIXTURE!$B$2:$B$51,MATCH(G494,DAFTAR_FIXTURE!$A$2:$A$51,0)),""))</f>
        <v/>
      </c>
      <c r="K494" s="12">
        <f>IF(OR(J494="",H494=""),"",IFERROR(INDEX(LAYOUT!$D$2:$D$34,MATCH(J494&amp;"|"&amp;H494,LAYOUT!$E$2:$E$34,0)),"zona tidak ada di layout"))</f>
        <v/>
      </c>
      <c r="L494" s="12">
        <f>IF(OR(G494="",A494=""),"",COUNTIFS($G$2:$G$500,G494,$H$2:$H$500,H494,$A$2:$A$500,"&lt;&gt;"))</f>
        <v/>
      </c>
      <c r="M494" s="12">
        <f>IF(AND(A494="",G494=""),"",IF(G494="","Belum ditempatkan",IF(J494="","CEK ID FIXTURE tidak ada di DAFTAR_FIXTURE",IF(H494="","CEK ZONA NO kosong",IF(K494="zona tidak ada di layout","CEK ZONA NO di luar layout",IF(I494&lt;&gt;K494,"CEK JENIS ZONA",IF(A494="","Zona STOCK",IF(B494="","CEK SKU DESCRIPTION kosong","OK"))))))))</f>
        <v/>
      </c>
    </row>
    <row r="495">
      <c r="A495" s="10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2">
        <f>IF(G495="","",IFERROR(INDEX(DAFTAR_FIXTURE!$B$2:$B$51,MATCH(G495,DAFTAR_FIXTURE!$A$2:$A$51,0)),""))</f>
        <v/>
      </c>
      <c r="K495" s="12">
        <f>IF(OR(J495="",H495=""),"",IFERROR(INDEX(LAYOUT!$D$2:$D$34,MATCH(J495&amp;"|"&amp;H495,LAYOUT!$E$2:$E$34,0)),"zona tidak ada di layout"))</f>
        <v/>
      </c>
      <c r="L495" s="12">
        <f>IF(OR(G495="",A495=""),"",COUNTIFS($G$2:$G$500,G495,$H$2:$H$500,H495,$A$2:$A$500,"&lt;&gt;"))</f>
        <v/>
      </c>
      <c r="M495" s="12">
        <f>IF(AND(A495="",G495=""),"",IF(G495="","Belum ditempatkan",IF(J495="","CEK ID FIXTURE tidak ada di DAFTAR_FIXTURE",IF(H495="","CEK ZONA NO kosong",IF(K495="zona tidak ada di layout","CEK ZONA NO di luar layout",IF(I495&lt;&gt;K495,"CEK JENIS ZONA",IF(A495="","Zona STOCK",IF(B495="","CEK SKU DESCRIPTION kosong","OK"))))))))</f>
        <v/>
      </c>
    </row>
    <row r="496">
      <c r="A496" s="10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2">
        <f>IF(G496="","",IFERROR(INDEX(DAFTAR_FIXTURE!$B$2:$B$51,MATCH(G496,DAFTAR_FIXTURE!$A$2:$A$51,0)),""))</f>
        <v/>
      </c>
      <c r="K496" s="12">
        <f>IF(OR(J496="",H496=""),"",IFERROR(INDEX(LAYOUT!$D$2:$D$34,MATCH(J496&amp;"|"&amp;H496,LAYOUT!$E$2:$E$34,0)),"zona tidak ada di layout"))</f>
        <v/>
      </c>
      <c r="L496" s="12">
        <f>IF(OR(G496="",A496=""),"",COUNTIFS($G$2:$G$500,G496,$H$2:$H$500,H496,$A$2:$A$500,"&lt;&gt;"))</f>
        <v/>
      </c>
      <c r="M496" s="12">
        <f>IF(AND(A496="",G496=""),"",IF(G496="","Belum ditempatkan",IF(J496="","CEK ID FIXTURE tidak ada di DAFTAR_FIXTURE",IF(H496="","CEK ZONA NO kosong",IF(K496="zona tidak ada di layout","CEK ZONA NO di luar layout",IF(I496&lt;&gt;K496,"CEK JENIS ZONA",IF(A496="","Zona STOCK",IF(B496="","CEK SKU DESCRIPTION kosong","OK"))))))))</f>
        <v/>
      </c>
    </row>
    <row r="497">
      <c r="A497" s="10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2">
        <f>IF(G497="","",IFERROR(INDEX(DAFTAR_FIXTURE!$B$2:$B$51,MATCH(G497,DAFTAR_FIXTURE!$A$2:$A$51,0)),""))</f>
        <v/>
      </c>
      <c r="K497" s="12">
        <f>IF(OR(J497="",H497=""),"",IFERROR(INDEX(LAYOUT!$D$2:$D$34,MATCH(J497&amp;"|"&amp;H497,LAYOUT!$E$2:$E$34,0)),"zona tidak ada di layout"))</f>
        <v/>
      </c>
      <c r="L497" s="12">
        <f>IF(OR(G497="",A497=""),"",COUNTIFS($G$2:$G$500,G497,$H$2:$H$500,H497,$A$2:$A$500,"&lt;&gt;"))</f>
        <v/>
      </c>
      <c r="M497" s="12">
        <f>IF(AND(A497="",G497=""),"",IF(G497="","Belum ditempatkan",IF(J497="","CEK ID FIXTURE tidak ada di DAFTAR_FIXTURE",IF(H497="","CEK ZONA NO kosong",IF(K497="zona tidak ada di layout","CEK ZONA NO di luar layout",IF(I497&lt;&gt;K497,"CEK JENIS ZONA",IF(A497="","Zona STOCK",IF(B497="","CEK SKU DESCRIPTION kosong","OK"))))))))</f>
        <v/>
      </c>
    </row>
    <row r="498">
      <c r="A498" s="10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2">
        <f>IF(G498="","",IFERROR(INDEX(DAFTAR_FIXTURE!$B$2:$B$51,MATCH(G498,DAFTAR_FIXTURE!$A$2:$A$51,0)),""))</f>
        <v/>
      </c>
      <c r="K498" s="12">
        <f>IF(OR(J498="",H498=""),"",IFERROR(INDEX(LAYOUT!$D$2:$D$34,MATCH(J498&amp;"|"&amp;H498,LAYOUT!$E$2:$E$34,0)),"zona tidak ada di layout"))</f>
        <v/>
      </c>
      <c r="L498" s="12">
        <f>IF(OR(G498="",A498=""),"",COUNTIFS($G$2:$G$500,G498,$H$2:$H$500,H498,$A$2:$A$500,"&lt;&gt;"))</f>
        <v/>
      </c>
      <c r="M498" s="12">
        <f>IF(AND(A498="",G498=""),"",IF(G498="","Belum ditempatkan",IF(J498="","CEK ID FIXTURE tidak ada di DAFTAR_FIXTURE",IF(H498="","CEK ZONA NO kosong",IF(K498="zona tidak ada di layout","CEK ZONA NO di luar layout",IF(I498&lt;&gt;K498,"CEK JENIS ZONA",IF(A498="","Zona STOCK",IF(B498="","CEK SKU DESCRIPTION kosong","OK"))))))))</f>
        <v/>
      </c>
    </row>
    <row r="499">
      <c r="A499" s="10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2">
        <f>IF(G499="","",IFERROR(INDEX(DAFTAR_FIXTURE!$B$2:$B$51,MATCH(G499,DAFTAR_FIXTURE!$A$2:$A$51,0)),""))</f>
        <v/>
      </c>
      <c r="K499" s="12">
        <f>IF(OR(J499="",H499=""),"",IFERROR(INDEX(LAYOUT!$D$2:$D$34,MATCH(J499&amp;"|"&amp;H499,LAYOUT!$E$2:$E$34,0)),"zona tidak ada di layout"))</f>
        <v/>
      </c>
      <c r="L499" s="12">
        <f>IF(OR(G499="",A499=""),"",COUNTIFS($G$2:$G$500,G499,$H$2:$H$500,H499,$A$2:$A$500,"&lt;&gt;"))</f>
        <v/>
      </c>
      <c r="M499" s="12">
        <f>IF(AND(A499="",G499=""),"",IF(G499="","Belum ditempatkan",IF(J499="","CEK ID FIXTURE tidak ada di DAFTAR_FIXTURE",IF(H499="","CEK ZONA NO kosong",IF(K499="zona tidak ada di layout","CEK ZONA NO di luar layout",IF(I499&lt;&gt;K499,"CEK JENIS ZONA",IF(A499="","Zona STOCK",IF(B499="","CEK SKU DESCRIPTION kosong","OK"))))))))</f>
        <v/>
      </c>
    </row>
    <row r="500">
      <c r="A500" s="10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2">
        <f>IF(G500="","",IFERROR(INDEX(DAFTAR_FIXTURE!$B$2:$B$51,MATCH(G500,DAFTAR_FIXTURE!$A$2:$A$51,0)),""))</f>
        <v/>
      </c>
      <c r="K500" s="12">
        <f>IF(OR(J500="",H500=""),"",IFERROR(INDEX(LAYOUT!$D$2:$D$34,MATCH(J500&amp;"|"&amp;H500,LAYOUT!$E$2:$E$34,0)),"zona tidak ada di layout"))</f>
        <v/>
      </c>
      <c r="L500" s="12">
        <f>IF(OR(G500="",A500=""),"",COUNTIFS($G$2:$G$500,G500,$H$2:$H$500,H500,$A$2:$A$500,"&lt;&gt;"))</f>
        <v/>
      </c>
      <c r="M500" s="12">
        <f>IF(AND(A500="",G500=""),"",IF(G500="","Belum ditempatkan",IF(J500="","CEK ID FIXTURE tidak ada di DAFTAR_FIXTURE",IF(H500="","CEK ZONA NO kosong",IF(K500="zona tidak ada di layout","CEK ZONA NO di luar layout",IF(I500&lt;&gt;K500,"CEK JENIS ZONA",IF(A500="","Zona STOCK",IF(B500="","CEK SKU DESCRIPTION kosong","OK"))))))))</f>
        <v/>
      </c>
    </row>
  </sheetData>
  <autoFilter ref="A1:M500"/>
  <conditionalFormatting sqref="M2:M500">
    <cfRule type="expression" priority="1" dxfId="0">
      <formula>LEFT($M2,3)="CEK"</formula>
    </cfRule>
    <cfRule type="expression" priority="2" dxfId="1">
      <formula>$M2="OK"</formula>
    </cfRule>
    <cfRule type="expression" priority="3" dxfId="2">
      <formula>OR($M2="Zona STOCK",$M2="Belum ditempatkan")</formula>
    </cfRule>
  </conditionalFormatting>
  <dataValidations count="3">
    <dataValidation sqref="G2:G500" showDropDown="0" showInputMessage="0" showErrorMessage="1" allowBlank="1" errorTitle="ID FIXTURE" error="Pilih ID dari dropdown. Tambah ID baru di sheet DAFTAR_FIXTURE." type="list">
      <formula1>FIXTURE_IDS</formula1>
    </dataValidation>
    <dataValidation sqref="I2:I500" showDropDown="0" showInputMessage="0" showErrorMessage="0" allowBlank="1" type="list">
      <formula1>"Rak,Gantungan"</formula1>
    </dataValidation>
    <dataValidation sqref="H2:H500" showDropDown="0" showInputMessage="0" showErrorMessage="1" allowBlank="1" errorTitle="Angka bulat" error="Isi bilangan bulat mulai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6">
      <c r="A36" s="14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2026-10-02T07:29:24Z</dcterms:modified>
</cp:coreProperties>
</file>