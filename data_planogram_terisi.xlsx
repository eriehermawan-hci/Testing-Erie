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AFTAR_FIXTURE" sheetId="3" state="visible" r:id="rId3"/>
    <sheet name="LAYOUT" sheetId="4" state="visible" r:id="rId4"/>
  </sheets>
  <definedNames>
    <definedName name="FIXTURE_IDS">OFFSET(DAFTAR_FIXTURE!$A$2,0,0,MAX(1,COUNTA(DAFTAR_FIXTURE!$A$2:$A$51)),1)</definedName>
    <definedName name="_xlnm._FilterDatabase" localSheetId="1" hidden="1">'DATA'!$A$1:$M$500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kolom paling kiri ke kanan. Urutan kolom = urutan pengisian.</t>
        </is>
      </c>
    </row>
    <row r="3">
      <c r="A3" s="2" t="inlineStr"/>
    </row>
    <row r="4">
      <c r="A4" s="3" t="inlineStr">
        <is>
          <t>LANGKAH 1 — DATA SKU (header ungu, dari data master)</t>
        </is>
      </c>
      <c r="B4" s="4" t="n"/>
    </row>
    <row r="5">
      <c r="A5" s="5" t="inlineStr">
        <is>
          <t>SKU *</t>
        </is>
      </c>
      <c r="B5" s="6" t="inlineStr">
        <is>
          <t>Kode artikel. Wajib. Dipakai juga untuk membentuk link gambar.</t>
        </is>
      </c>
    </row>
    <row r="6">
      <c r="A6" s="5" t="inlineStr">
        <is>
          <t>SKU DESCRIPTION *</t>
        </is>
      </c>
      <c r="B6" s="6" t="inlineStr">
        <is>
          <t>Nama item. Wajib. Tampil di kartu produk.</t>
        </is>
      </c>
    </row>
    <row r="7">
      <c r="A7" s="5" t="inlineStr">
        <is>
          <t>GRUP DISPLAY</t>
        </is>
      </c>
      <c r="B7" s="6" t="inlineStr">
        <is>
          <t>Contoh: PENYIMPANAN, MAKAN, MASAK. Opsional (catatan, tampil di detail item).</t>
        </is>
      </c>
    </row>
    <row r="8">
      <c r="A8" s="5" t="inlineStr">
        <is>
          <t>GRUP ADJACENCY</t>
        </is>
      </c>
      <c r="B8" s="6" t="inlineStr">
        <is>
          <t>Contoh: E4. CANISTER, A2. SERVINGWARE. Opsional (catatan, tampil di detail item).</t>
        </is>
      </c>
    </row>
    <row r="9">
      <c r="A9" s="5" t="inlineStr">
        <is>
          <t>SERIES</t>
        </is>
      </c>
      <c r="B9" s="6" t="inlineStr">
        <is>
          <t>Contoh: GLASS FANCY, POLLA. Opsional (catatan, tampil di detail item).</t>
        </is>
      </c>
    </row>
    <row r="10">
      <c r="A10" s="2" t="inlineStr"/>
    </row>
    <row r="11">
      <c r="A11" s="3" t="inlineStr">
        <is>
          <t>LANGKAH 2 — PENEMPATAN KE FIXTURE (header hijau)</t>
        </is>
      </c>
      <c r="B11" s="4" t="n"/>
    </row>
    <row r="12">
      <c r="A12" s="5" t="inlineStr">
        <is>
          <t>ID FIXTURE *</t>
        </is>
      </c>
      <c r="B12" s="6" t="inlineStr">
        <is>
          <t>Pilih dari dropdown. Daftar ID dikelola di sheet DAFTAR_FIXTURE. Kosongkan jika SKU belum ditempatkan.</t>
        </is>
      </c>
    </row>
    <row r="13">
      <c r="A13" s="5" t="inlineStr">
        <is>
          <t>ZONA NO *</t>
        </is>
      </c>
      <c r="B13" s="6" t="inlineStr">
        <is>
          <t>Nomor zona dari atas ke bawah, mulai 1 (lihat sheet LAYOUT).</t>
        </is>
      </c>
    </row>
    <row r="14">
      <c r="A14" s="5" t="inlineStr">
        <is>
          <t>JENIS ZONA *</t>
        </is>
      </c>
      <c r="B14" s="6" t="inlineStr">
        <is>
          <t>Rak atau Gantungan (dropdown). Harus sama dengan layout; lihat kolom JENIS ZONA SEHARUSNYA.</t>
        </is>
      </c>
    </row>
    <row r="15">
      <c r="A15" s="2" t="inlineStr"/>
    </row>
    <row r="16">
      <c r="A16" s="3" t="inlineStr">
        <is>
          <t>LANGKAH 3 — OTOMATIS (header abu-abu, jangan diisi / dihapus)</t>
        </is>
      </c>
      <c r="B16" s="4" t="n"/>
    </row>
    <row r="17">
      <c r="A17" s="5" t="inlineStr">
        <is>
          <t>JENIS FIXTURE</t>
        </is>
      </c>
      <c r="B17" s="6" t="inlineStr">
        <is>
          <t>Dibaca dari ID FIXTURE (sheet DAFTAR_FIXTURE).</t>
        </is>
      </c>
    </row>
    <row r="18">
      <c r="A18" s="5" t="inlineStr">
        <is>
          <t>LINK IMAGE</t>
        </is>
      </c>
      <c r="B18" s="6" t="inlineStr">
        <is>
          <t>Dibentuk dari SKU: https://cdn.ruparupa.io/fit-in/850x850/ruparupa-com/image/upload/Products/[SKU]_1.jpg. Boleh ditimpa manual jika ada link lain.</t>
        </is>
      </c>
    </row>
    <row r="19">
      <c r="A19" s="5" t="inlineStr">
        <is>
          <t>JENIS ZONA SEHARUSNYA</t>
        </is>
      </c>
      <c r="B19" s="6" t="inlineStr">
        <is>
          <t>Jenis zona menurut layout.</t>
        </is>
      </c>
    </row>
    <row r="20">
      <c r="A20" s="5" t="inlineStr">
        <is>
          <t>JUMLAH ITEM ZONA</t>
        </is>
      </c>
      <c r="B20" s="6" t="inlineStr">
        <is>
          <t>Jumlah item dalam zona yang sama.</t>
        </is>
      </c>
    </row>
    <row r="21">
      <c r="A21" s="5" t="inlineStr">
        <is>
          <t>STATUS</t>
        </is>
      </c>
      <c r="B21" s="6" t="inlineStr">
        <is>
          <t>OK / Zona kosong / Belum ditempatkan / CEK + penyebab. Semua baris yang ditempatkan harus OK sebelum diimpor.</t>
        </is>
      </c>
    </row>
    <row r="22">
      <c r="A22" s="2" t="inlineStr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item di satu zona. Item yang sama di dua zona = dua baris.</t>
        </is>
      </c>
    </row>
    <row r="25">
      <c r="A25" s="2" t="inlineStr">
        <is>
          <t>2. Urutan item dari kiri ke kanan mengikuti urutan baris di Excel (baris atas lebih dulu).</t>
        </is>
      </c>
    </row>
    <row r="26">
      <c r="A26" s="2" t="inlineStr">
        <is>
          <t>3. Jumlah item yang tampil = jumlah baris. Tidak ada facing, susun, ukuran, brand, atau prioritas.</t>
        </is>
      </c>
    </row>
    <row r="27">
      <c r="A27" s="2" t="inlineStr">
        <is>
          <t>4. Baris yang hanya berisi ID FIXTURE + ZONA NO (SKU kosong) = zona dibiarkan kosong.</t>
        </is>
      </c>
    </row>
    <row r="28">
      <c r="A28" s="2" t="inlineStr">
        <is>
          <t>5. Baris yang hanya berisi data SKU (tanpa ID FIXTURE) = masuk daftar SKU saja, belum ditempatkan.</t>
        </is>
      </c>
    </row>
    <row r="29">
      <c r="A29" s="2" t="inlineStr"/>
    </row>
    <row r="30">
      <c r="A30" s="2" t="inlineStr">
        <is>
          <t>Buka dulu di Excel lalu simpan agar kolom otomatis terhitung sebelum diimpor.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6" customWidth="1" min="2" max="2"/>
    <col width="16" customWidth="1" min="3" max="3"/>
    <col width="26" customWidth="1" min="4" max="4"/>
    <col width="22" customWidth="1" min="5" max="5"/>
    <col width="12" customWidth="1" min="6" max="6"/>
    <col width="9" customWidth="1" min="7" max="7"/>
    <col width="13" customWidth="1" min="8" max="8"/>
    <col width="30" customWidth="1" min="9" max="9"/>
    <col width="62" customWidth="1" min="10" max="10"/>
    <col width="22" customWidth="1" min="11" max="11"/>
    <col width="18" customWidth="1" min="12" max="12"/>
    <col width="34" customWidth="1" min="13" max="13"/>
  </cols>
  <sheetData>
    <row r="1" ht="36" customHeight="1">
      <c r="A1" s="7" t="inlineStr">
        <is>
          <t>SKU</t>
        </is>
      </c>
      <c r="B1" s="7" t="inlineStr">
        <is>
          <t>SKU DESCRIPTION</t>
        </is>
      </c>
      <c r="C1" s="7" t="inlineStr">
        <is>
          <t>GRUP DISPLAY</t>
        </is>
      </c>
      <c r="D1" s="7" t="inlineStr">
        <is>
          <t>GRUP ADJACENCY</t>
        </is>
      </c>
      <c r="E1" s="7" t="inlineStr">
        <is>
          <t>SERIES</t>
        </is>
      </c>
      <c r="F1" s="8" t="inlineStr">
        <is>
          <t>ID FIXTURE</t>
        </is>
      </c>
      <c r="G1" s="8" t="inlineStr">
        <is>
          <t>ZONA NO</t>
        </is>
      </c>
      <c r="H1" s="8" t="inlineStr">
        <is>
          <t>JENIS ZONA</t>
        </is>
      </c>
      <c r="I1" s="9" t="inlineStr">
        <is>
          <t>JENIS FIXTURE (otomatis)</t>
        </is>
      </c>
      <c r="J1" s="9" t="inlineStr">
        <is>
          <t>LINK IMAGE (otomatis)</t>
        </is>
      </c>
      <c r="K1" s="9" t="inlineStr">
        <is>
          <t>JENIS ZONA SEHARUSNYA (otomatis)</t>
        </is>
      </c>
      <c r="L1" s="9" t="inlineStr">
        <is>
          <t>JUMLAH ITEM ZONA (otomatis)</t>
        </is>
      </c>
      <c r="M1" s="9" t="inlineStr">
        <is>
          <t>STATUS (otomatis)</t>
        </is>
      </c>
    </row>
    <row r="2">
      <c r="A2" s="10" t="n"/>
      <c r="B2" s="11" t="n"/>
      <c r="C2" s="11" t="n"/>
      <c r="D2" s="11" t="n"/>
      <c r="E2" s="11" t="n"/>
      <c r="F2" s="11" t="inlineStr">
        <is>
          <t>WLL-01</t>
        </is>
      </c>
      <c r="G2" s="11" t="n">
        <v>1</v>
      </c>
      <c r="H2" s="11" t="inlineStr">
        <is>
          <t>Rak</t>
        </is>
      </c>
      <c r="I2" s="12">
        <f>IF(F2="","",IFERROR(INDEX(DAFTAR_FIXTURE!$B$2:$B$51,MATCH(F2,DAFTAR_FIXTURE!$A$2:$A$51,0)),""))</f>
        <v/>
      </c>
      <c r="J2" s="12">
        <f>IF(A2="","","https://cdn.ruparupa.io/fit-in/850x850/ruparupa-com/image/upload/Products/"&amp;A2&amp;"_1.jpg")</f>
        <v/>
      </c>
      <c r="K2" s="12">
        <f>IF(OR(I2="",G2=""),"",IFERROR(INDEX(LAYOUT!$D$2:$D$34,MATCH(I2&amp;"|"&amp;G2,LAYOUT!$E$2:$E$34,0)),"zona tidak ada di layout"))</f>
        <v/>
      </c>
      <c r="L2" s="12">
        <f>IF(OR(F2="",A2=""),"",COUNTIFS($F$2:$F$500,F2,$G$2:$G$500,G2,$A$2:$A$500,"&lt;&gt;"))</f>
        <v/>
      </c>
      <c r="M2" s="12">
        <f>IF(AND(A2="",F2=""),"",IF(F2="","Belum ditempatkan",IF(I2="","CEK ID FIXTURE tidak ada di DAFTAR_FIXTURE",IF(G2="","CEK ZONA NO kosong",IF(K2="zona tidak ada di layout","CEK ZONA NO di luar layout",IF(H2&lt;&gt;K2,"CEK JENIS ZONA",IF(A2="","Zona kosong",IF(B2="","CEK SKU DESCRIPTION kosong","OK"))))))))</f>
        <v/>
      </c>
    </row>
    <row r="3">
      <c r="A3" s="10" t="inlineStr">
        <is>
          <t>10445959</t>
        </is>
      </c>
      <c r="B3" s="11" t="inlineStr">
        <is>
          <t>CASSEROLE RECT GOLD MARBLE W/LID 33CM</t>
        </is>
      </c>
      <c r="C3" s="11" t="n"/>
      <c r="D3" s="11" t="n"/>
      <c r="E3" s="11" t="n"/>
      <c r="F3" s="11" t="inlineStr">
        <is>
          <t>WLL-01</t>
        </is>
      </c>
      <c r="G3" s="11" t="n">
        <v>2</v>
      </c>
      <c r="H3" s="11" t="inlineStr">
        <is>
          <t>Rak</t>
        </is>
      </c>
      <c r="I3" s="12">
        <f>IF(F3="","",IFERROR(INDEX(DAFTAR_FIXTURE!$B$2:$B$51,MATCH(F3,DAFTAR_FIXTURE!$A$2:$A$51,0)),""))</f>
        <v/>
      </c>
      <c r="J3" s="12">
        <f>IF(A3="","","https://cdn.ruparupa.io/fit-in/850x850/ruparupa-com/image/upload/Products/"&amp;A3&amp;"_1.jpg")</f>
        <v/>
      </c>
      <c r="K3" s="12">
        <f>IF(OR(I3="",G3=""),"",IFERROR(INDEX(LAYOUT!$D$2:$D$34,MATCH(I3&amp;"|"&amp;G3,LAYOUT!$E$2:$E$34,0)),"zona tidak ada di layout"))</f>
        <v/>
      </c>
      <c r="L3" s="12">
        <f>IF(OR(F3="",A3=""),"",COUNTIFS($F$2:$F$500,F3,$G$2:$G$500,G3,$A$2:$A$500,"&lt;&gt;"))</f>
        <v/>
      </c>
      <c r="M3" s="12">
        <f>IF(AND(A3="",F3=""),"",IF(F3="","Belum ditempatkan",IF(I3="","CEK ID FIXTURE tidak ada di DAFTAR_FIXTURE",IF(G3="","CEK ZONA NO kosong",IF(K3="zona tidak ada di layout","CEK ZONA NO di luar layout",IF(H3&lt;&gt;K3,"CEK JENIS ZONA",IF(A3="","Zona kosong",IF(B3="","CEK SKU DESCRIPTION kosong","OK"))))))))</f>
        <v/>
      </c>
    </row>
    <row r="4">
      <c r="A4" s="10" t="inlineStr">
        <is>
          <t>10445960</t>
        </is>
      </c>
      <c r="B4" s="11" t="inlineStr">
        <is>
          <t>CASSEROLE OVAL GOLD MARBLE W/LID 33CM</t>
        </is>
      </c>
      <c r="C4" s="11" t="n"/>
      <c r="D4" s="11" t="n"/>
      <c r="E4" s="11" t="n"/>
      <c r="F4" s="11" t="inlineStr">
        <is>
          <t>WLL-01</t>
        </is>
      </c>
      <c r="G4" s="11" t="n">
        <v>2</v>
      </c>
      <c r="H4" s="11" t="inlineStr">
        <is>
          <t>Rak</t>
        </is>
      </c>
      <c r="I4" s="12">
        <f>IF(F4="","",IFERROR(INDEX(DAFTAR_FIXTURE!$B$2:$B$51,MATCH(F4,DAFTAR_FIXTURE!$A$2:$A$51,0)),""))</f>
        <v/>
      </c>
      <c r="J4" s="12">
        <f>IF(A4="","","https://cdn.ruparupa.io/fit-in/850x850/ruparupa-com/image/upload/Products/"&amp;A4&amp;"_1.jpg")</f>
        <v/>
      </c>
      <c r="K4" s="12">
        <f>IF(OR(I4="",G4=""),"",IFERROR(INDEX(LAYOUT!$D$2:$D$34,MATCH(I4&amp;"|"&amp;G4,LAYOUT!$E$2:$E$34,0)),"zona tidak ada di layout"))</f>
        <v/>
      </c>
      <c r="L4" s="12">
        <f>IF(OR(F4="",A4=""),"",COUNTIFS($F$2:$F$500,F4,$G$2:$G$500,G4,$A$2:$A$500,"&lt;&gt;"))</f>
        <v/>
      </c>
      <c r="M4" s="12">
        <f>IF(AND(A4="",F4=""),"",IF(F4="","Belum ditempatkan",IF(I4="","CEK ID FIXTURE tidak ada di DAFTAR_FIXTURE",IF(G4="","CEK ZONA NO kosong",IF(K4="zona tidak ada di layout","CEK ZONA NO di luar layout",IF(H4&lt;&gt;K4,"CEK JENIS ZONA",IF(A4="","Zona kosong",IF(B4="","CEK SKU DESCRIPTION kosong","OK"))))))))</f>
        <v/>
      </c>
    </row>
    <row r="5">
      <c r="A5" s="10" t="inlineStr">
        <is>
          <t>10445961</t>
        </is>
      </c>
      <c r="B5" s="11" t="inlineStr">
        <is>
          <t>CASSEROLE ROUND GOLD MARBLE W/LID 33CM</t>
        </is>
      </c>
      <c r="C5" s="11" t="n"/>
      <c r="D5" s="11" t="n"/>
      <c r="E5" s="11" t="n"/>
      <c r="F5" s="11" t="inlineStr">
        <is>
          <t>WLL-01</t>
        </is>
      </c>
      <c r="G5" s="11" t="n">
        <v>2</v>
      </c>
      <c r="H5" s="11" t="inlineStr">
        <is>
          <t>Rak</t>
        </is>
      </c>
      <c r="I5" s="12">
        <f>IF(F5="","",IFERROR(INDEX(DAFTAR_FIXTURE!$B$2:$B$51,MATCH(F5,DAFTAR_FIXTURE!$A$2:$A$51,0)),""))</f>
        <v/>
      </c>
      <c r="J5" s="12">
        <f>IF(A5="","","https://cdn.ruparupa.io/fit-in/850x850/ruparupa-com/image/upload/Products/"&amp;A5&amp;"_1.jpg")</f>
        <v/>
      </c>
      <c r="K5" s="12">
        <f>IF(OR(I5="",G5=""),"",IFERROR(INDEX(LAYOUT!$D$2:$D$34,MATCH(I5&amp;"|"&amp;G5,LAYOUT!$E$2:$E$34,0)),"zona tidak ada di layout"))</f>
        <v/>
      </c>
      <c r="L5" s="12">
        <f>IF(OR(F5="",A5=""),"",COUNTIFS($F$2:$F$500,F5,$G$2:$G$500,G5,$A$2:$A$500,"&lt;&gt;"))</f>
        <v/>
      </c>
      <c r="M5" s="12">
        <f>IF(AND(A5="",F5=""),"",IF(F5="","Belum ditempatkan",IF(I5="","CEK ID FIXTURE tidak ada di DAFTAR_FIXTURE",IF(G5="","CEK ZONA NO kosong",IF(K5="zona tidak ada di layout","CEK ZONA NO di luar layout",IF(H5&lt;&gt;K5,"CEK JENIS ZONA",IF(A5="","Zona kosong",IF(B5="","CEK SKU DESCRIPTION kosong","OK"))))))))</f>
        <v/>
      </c>
    </row>
    <row r="6">
      <c r="A6" s="10" t="inlineStr">
        <is>
          <t>10445962</t>
        </is>
      </c>
      <c r="B6" s="11" t="inlineStr">
        <is>
          <t>CASSEROLE SQUARE GOLD MARBLE W/LID 33CM</t>
        </is>
      </c>
      <c r="C6" s="11" t="n"/>
      <c r="D6" s="11" t="n"/>
      <c r="E6" s="11" t="n"/>
      <c r="F6" s="11" t="inlineStr">
        <is>
          <t>WLL-01</t>
        </is>
      </c>
      <c r="G6" s="11" t="n">
        <v>3</v>
      </c>
      <c r="H6" s="11" t="inlineStr">
        <is>
          <t>Rak</t>
        </is>
      </c>
      <c r="I6" s="12">
        <f>IF(F6="","",IFERROR(INDEX(DAFTAR_FIXTURE!$B$2:$B$51,MATCH(F6,DAFTAR_FIXTURE!$A$2:$A$51,0)),""))</f>
        <v/>
      </c>
      <c r="J6" s="12">
        <f>IF(A6="","","https://cdn.ruparupa.io/fit-in/850x850/ruparupa-com/image/upload/Products/"&amp;A6&amp;"_1.jpg")</f>
        <v/>
      </c>
      <c r="K6" s="12">
        <f>IF(OR(I6="",G6=""),"",IFERROR(INDEX(LAYOUT!$D$2:$D$34,MATCH(I6&amp;"|"&amp;G6,LAYOUT!$E$2:$E$34,0)),"zona tidak ada di layout"))</f>
        <v/>
      </c>
      <c r="L6" s="12">
        <f>IF(OR(F6="",A6=""),"",COUNTIFS($F$2:$F$500,F6,$G$2:$G$500,G6,$A$2:$A$500,"&lt;&gt;"))</f>
        <v/>
      </c>
      <c r="M6" s="12">
        <f>IF(AND(A6="",F6=""),"",IF(F6="","Belum ditempatkan",IF(I6="","CEK ID FIXTURE tidak ada di DAFTAR_FIXTURE",IF(G6="","CEK ZONA NO kosong",IF(K6="zona tidak ada di layout","CEK ZONA NO di luar layout",IF(H6&lt;&gt;K6,"CEK JENIS ZONA",IF(A6="","Zona kosong",IF(B6="","CEK SKU DESCRIPTION kosong","OK"))))))))</f>
        <v/>
      </c>
    </row>
    <row r="7">
      <c r="A7" s="10" t="inlineStr">
        <is>
          <t>10470029</t>
        </is>
      </c>
      <c r="B7" s="11" t="inlineStr">
        <is>
          <t>SERVING SET W/RACK OCTAGON MARBLE (4)</t>
        </is>
      </c>
      <c r="C7" s="11" t="n"/>
      <c r="D7" s="11" t="n"/>
      <c r="E7" s="11" t="n"/>
      <c r="F7" s="11" t="inlineStr">
        <is>
          <t>WLL-01</t>
        </is>
      </c>
      <c r="G7" s="11" t="n">
        <v>3</v>
      </c>
      <c r="H7" s="11" t="inlineStr">
        <is>
          <t>Rak</t>
        </is>
      </c>
      <c r="I7" s="12">
        <f>IF(F7="","",IFERROR(INDEX(DAFTAR_FIXTURE!$B$2:$B$51,MATCH(F7,DAFTAR_FIXTURE!$A$2:$A$51,0)),""))</f>
        <v/>
      </c>
      <c r="J7" s="12">
        <f>IF(A7="","","https://cdn.ruparupa.io/fit-in/850x850/ruparupa-com/image/upload/Products/"&amp;A7&amp;"_1.jpg")</f>
        <v/>
      </c>
      <c r="K7" s="12">
        <f>IF(OR(I7="",G7=""),"",IFERROR(INDEX(LAYOUT!$D$2:$D$34,MATCH(I7&amp;"|"&amp;G7,LAYOUT!$E$2:$E$34,0)),"zona tidak ada di layout"))</f>
        <v/>
      </c>
      <c r="L7" s="12">
        <f>IF(OR(F7="",A7=""),"",COUNTIFS($F$2:$F$500,F7,$G$2:$G$500,G7,$A$2:$A$500,"&lt;&gt;"))</f>
        <v/>
      </c>
      <c r="M7" s="12">
        <f>IF(AND(A7="",F7=""),"",IF(F7="","Belum ditempatkan",IF(I7="","CEK ID FIXTURE tidak ada di DAFTAR_FIXTURE",IF(G7="","CEK ZONA NO kosong",IF(K7="zona tidak ada di layout","CEK ZONA NO di luar layout",IF(H7&lt;&gt;K7,"CEK JENIS ZONA",IF(A7="","Zona kosong",IF(B7="","CEK SKU DESCRIPTION kosong","OK"))))))))</f>
        <v/>
      </c>
    </row>
    <row r="8">
      <c r="A8" s="10" t="inlineStr">
        <is>
          <t>10470030</t>
        </is>
      </c>
      <c r="B8" s="11" t="inlineStr">
        <is>
          <t>SERVING SET RND DETACHABLE MARBLE (2)</t>
        </is>
      </c>
      <c r="C8" s="11" t="n"/>
      <c r="D8" s="11" t="n"/>
      <c r="E8" s="11" t="n"/>
      <c r="F8" s="11" t="inlineStr">
        <is>
          <t>WLL-01</t>
        </is>
      </c>
      <c r="G8" s="11" t="n">
        <v>3</v>
      </c>
      <c r="H8" s="11" t="inlineStr">
        <is>
          <t>Rak</t>
        </is>
      </c>
      <c r="I8" s="12">
        <f>IF(F8="","",IFERROR(INDEX(DAFTAR_FIXTURE!$B$2:$B$51,MATCH(F8,DAFTAR_FIXTURE!$A$2:$A$51,0)),""))</f>
        <v/>
      </c>
      <c r="J8" s="12">
        <f>IF(A8="","","https://cdn.ruparupa.io/fit-in/850x850/ruparupa-com/image/upload/Products/"&amp;A8&amp;"_1.jpg")</f>
        <v/>
      </c>
      <c r="K8" s="12">
        <f>IF(OR(I8="",G8=""),"",IFERROR(INDEX(LAYOUT!$D$2:$D$34,MATCH(I8&amp;"|"&amp;G8,LAYOUT!$E$2:$E$34,0)),"zona tidak ada di layout"))</f>
        <v/>
      </c>
      <c r="L8" s="12">
        <f>IF(OR(F8="",A8=""),"",COUNTIFS($F$2:$F$500,F8,$G$2:$G$500,G8,$A$2:$A$500,"&lt;&gt;"))</f>
        <v/>
      </c>
      <c r="M8" s="12">
        <f>IF(AND(A8="",F8=""),"",IF(F8="","Belum ditempatkan",IF(I8="","CEK ID FIXTURE tidak ada di DAFTAR_FIXTURE",IF(G8="","CEK ZONA NO kosong",IF(K8="zona tidak ada di layout","CEK ZONA NO di luar layout",IF(H8&lt;&gt;K8,"CEK JENIS ZONA",IF(A8="","Zona kosong",IF(B8="","CEK SKU DESCRIPTION kosong","OK"))))))))</f>
        <v/>
      </c>
    </row>
    <row r="9">
      <c r="A9" s="10" t="inlineStr">
        <is>
          <t>10470031</t>
        </is>
      </c>
      <c r="B9" s="11" t="inlineStr">
        <is>
          <t>SERVING SET W/RACK SQR MARBLE BLACK (3)</t>
        </is>
      </c>
      <c r="C9" s="11" t="n"/>
      <c r="D9" s="11" t="n"/>
      <c r="E9" s="11" t="n"/>
      <c r="F9" s="11" t="inlineStr">
        <is>
          <t>WLL-01</t>
        </is>
      </c>
      <c r="G9" s="11" t="n">
        <v>4</v>
      </c>
      <c r="H9" s="11" t="inlineStr">
        <is>
          <t>Rak</t>
        </is>
      </c>
      <c r="I9" s="12">
        <f>IF(F9="","",IFERROR(INDEX(DAFTAR_FIXTURE!$B$2:$B$51,MATCH(F9,DAFTAR_FIXTURE!$A$2:$A$51,0)),""))</f>
        <v/>
      </c>
      <c r="J9" s="12">
        <f>IF(A9="","","https://cdn.ruparupa.io/fit-in/850x850/ruparupa-com/image/upload/Products/"&amp;A9&amp;"_1.jpg")</f>
        <v/>
      </c>
      <c r="K9" s="12">
        <f>IF(OR(I9="",G9=""),"",IFERROR(INDEX(LAYOUT!$D$2:$D$34,MATCH(I9&amp;"|"&amp;G9,LAYOUT!$E$2:$E$34,0)),"zona tidak ada di layout"))</f>
        <v/>
      </c>
      <c r="L9" s="12">
        <f>IF(OR(F9="",A9=""),"",COUNTIFS($F$2:$F$500,F9,$G$2:$G$500,G9,$A$2:$A$500,"&lt;&gt;"))</f>
        <v/>
      </c>
      <c r="M9" s="12">
        <f>IF(AND(A9="",F9=""),"",IF(F9="","Belum ditempatkan",IF(I9="","CEK ID FIXTURE tidak ada di DAFTAR_FIXTURE",IF(G9="","CEK ZONA NO kosong",IF(K9="zona tidak ada di layout","CEK ZONA NO di luar layout",IF(H9&lt;&gt;K9,"CEK JENIS ZONA",IF(A9="","Zona kosong",IF(B9="","CEK SKU DESCRIPTION kosong","OK"))))))))</f>
        <v/>
      </c>
    </row>
    <row r="10">
      <c r="A10" s="10" t="inlineStr">
        <is>
          <t>10470032</t>
        </is>
      </c>
      <c r="B10" s="11" t="inlineStr">
        <is>
          <t>SERVING SET W/RACK STACK WHITE (3)</t>
        </is>
      </c>
      <c r="C10" s="11" t="n"/>
      <c r="D10" s="11" t="n"/>
      <c r="E10" s="11" t="n"/>
      <c r="F10" s="11" t="inlineStr">
        <is>
          <t>WLL-01</t>
        </is>
      </c>
      <c r="G10" s="11" t="n">
        <v>4</v>
      </c>
      <c r="H10" s="11" t="inlineStr">
        <is>
          <t>Rak</t>
        </is>
      </c>
      <c r="I10" s="12">
        <f>IF(F10="","",IFERROR(INDEX(DAFTAR_FIXTURE!$B$2:$B$51,MATCH(F10,DAFTAR_FIXTURE!$A$2:$A$51,0)),""))</f>
        <v/>
      </c>
      <c r="J10" s="12">
        <f>IF(A10="","","https://cdn.ruparupa.io/fit-in/850x850/ruparupa-com/image/upload/Products/"&amp;A10&amp;"_1.jpg")</f>
        <v/>
      </c>
      <c r="K10" s="12">
        <f>IF(OR(I10="",G10=""),"",IFERROR(INDEX(LAYOUT!$D$2:$D$34,MATCH(I10&amp;"|"&amp;G10,LAYOUT!$E$2:$E$34,0)),"zona tidak ada di layout"))</f>
        <v/>
      </c>
      <c r="L10" s="12">
        <f>IF(OR(F10="",A10=""),"",COUNTIFS($F$2:$F$500,F10,$G$2:$G$500,G10,$A$2:$A$500,"&lt;&gt;"))</f>
        <v/>
      </c>
      <c r="M10" s="12">
        <f>IF(AND(A10="",F10=""),"",IF(F10="","Belum ditempatkan",IF(I10="","CEK ID FIXTURE tidak ada di DAFTAR_FIXTURE",IF(G10="","CEK ZONA NO kosong",IF(K10="zona tidak ada di layout","CEK ZONA NO di luar layout",IF(H10&lt;&gt;K10,"CEK JENIS ZONA",IF(A10="","Zona kosong",IF(B10="","CEK SKU DESCRIPTION kosong","OK"))))))))</f>
        <v/>
      </c>
    </row>
    <row r="11">
      <c r="A11" s="10" t="inlineStr">
        <is>
          <t>10470033</t>
        </is>
      </c>
      <c r="B11" s="11" t="inlineStr">
        <is>
          <t>SERVING SET W/RACK CIRCLE BLACK (3)</t>
        </is>
      </c>
      <c r="C11" s="11" t="n"/>
      <c r="D11" s="11" t="n"/>
      <c r="E11" s="11" t="n"/>
      <c r="F11" s="11" t="inlineStr">
        <is>
          <t>WLL-01</t>
        </is>
      </c>
      <c r="G11" s="11" t="n">
        <v>4</v>
      </c>
      <c r="H11" s="11" t="inlineStr">
        <is>
          <t>Rak</t>
        </is>
      </c>
      <c r="I11" s="12">
        <f>IF(F11="","",IFERROR(INDEX(DAFTAR_FIXTURE!$B$2:$B$51,MATCH(F11,DAFTAR_FIXTURE!$A$2:$A$51,0)),""))</f>
        <v/>
      </c>
      <c r="J11" s="12">
        <f>IF(A11="","","https://cdn.ruparupa.io/fit-in/850x850/ruparupa-com/image/upload/Products/"&amp;A11&amp;"_1.jpg")</f>
        <v/>
      </c>
      <c r="K11" s="12">
        <f>IF(OR(I11="",G11=""),"",IFERROR(INDEX(LAYOUT!$D$2:$D$34,MATCH(I11&amp;"|"&amp;G11,LAYOUT!$E$2:$E$34,0)),"zona tidak ada di layout"))</f>
        <v/>
      </c>
      <c r="L11" s="12">
        <f>IF(OR(F11="",A11=""),"",COUNTIFS($F$2:$F$500,F11,$G$2:$G$500,G11,$A$2:$A$500,"&lt;&gt;"))</f>
        <v/>
      </c>
      <c r="M11" s="12">
        <f>IF(AND(A11="",F11=""),"",IF(F11="","Belum ditempatkan",IF(I11="","CEK ID FIXTURE tidak ada di DAFTAR_FIXTURE",IF(G11="","CEK ZONA NO kosong",IF(K11="zona tidak ada di layout","CEK ZONA NO di luar layout",IF(H11&lt;&gt;K11,"CEK JENIS ZONA",IF(A11="","Zona kosong",IF(B11="","CEK SKU DESCRIPTION kosong","OK"))))))))</f>
        <v/>
      </c>
    </row>
    <row r="12">
      <c r="A12" s="10" t="n"/>
      <c r="B12" s="11" t="n"/>
      <c r="C12" s="11" t="n"/>
      <c r="D12" s="11" t="n"/>
      <c r="E12" s="11" t="n"/>
      <c r="F12" s="11" t="inlineStr">
        <is>
          <t>WLL-01</t>
        </is>
      </c>
      <c r="G12" s="11" t="n">
        <v>5</v>
      </c>
      <c r="H12" s="11" t="inlineStr">
        <is>
          <t>Rak</t>
        </is>
      </c>
      <c r="I12" s="12">
        <f>IF(F12="","",IFERROR(INDEX(DAFTAR_FIXTURE!$B$2:$B$51,MATCH(F12,DAFTAR_FIXTURE!$A$2:$A$51,0)),""))</f>
        <v/>
      </c>
      <c r="J12" s="12">
        <f>IF(A12="","","https://cdn.ruparupa.io/fit-in/850x850/ruparupa-com/image/upload/Products/"&amp;A12&amp;"_1.jpg")</f>
        <v/>
      </c>
      <c r="K12" s="12">
        <f>IF(OR(I12="",G12=""),"",IFERROR(INDEX(LAYOUT!$D$2:$D$34,MATCH(I12&amp;"|"&amp;G12,LAYOUT!$E$2:$E$34,0)),"zona tidak ada di layout"))</f>
        <v/>
      </c>
      <c r="L12" s="12">
        <f>IF(OR(F12="",A12=""),"",COUNTIFS($F$2:$F$500,F12,$G$2:$G$500,G12,$A$2:$A$500,"&lt;&gt;"))</f>
        <v/>
      </c>
      <c r="M12" s="12">
        <f>IF(AND(A12="",F12=""),"",IF(F12="","Belum ditempatkan",IF(I12="","CEK ID FIXTURE tidak ada di DAFTAR_FIXTURE",IF(G12="","CEK ZONA NO kosong",IF(K12="zona tidak ada di layout","CEK ZONA NO di luar layout",IF(H12&lt;&gt;K12,"CEK JENIS ZONA",IF(A12="","Zona kosong",IF(B12="","CEK SKU DESCRIPTION kosong","OK"))))))))</f>
        <v/>
      </c>
    </row>
    <row r="13">
      <c r="A13" s="10" t="n"/>
      <c r="B13" s="11" t="n"/>
      <c r="C13" s="11" t="n"/>
      <c r="D13" s="11" t="n"/>
      <c r="E13" s="11" t="n"/>
      <c r="F13" s="11" t="inlineStr">
        <is>
          <t>WLL-01</t>
        </is>
      </c>
      <c r="G13" s="11" t="n">
        <v>6</v>
      </c>
      <c r="H13" s="11" t="inlineStr">
        <is>
          <t>Rak</t>
        </is>
      </c>
      <c r="I13" s="12">
        <f>IF(F13="","",IFERROR(INDEX(DAFTAR_FIXTURE!$B$2:$B$51,MATCH(F13,DAFTAR_FIXTURE!$A$2:$A$51,0)),""))</f>
        <v/>
      </c>
      <c r="J13" s="12">
        <f>IF(A13="","","https://cdn.ruparupa.io/fit-in/850x850/ruparupa-com/image/upload/Products/"&amp;A13&amp;"_1.jpg")</f>
        <v/>
      </c>
      <c r="K13" s="12">
        <f>IF(OR(I13="",G13=""),"",IFERROR(INDEX(LAYOUT!$D$2:$D$34,MATCH(I13&amp;"|"&amp;G13,LAYOUT!$E$2:$E$34,0)),"zona tidak ada di layout"))</f>
        <v/>
      </c>
      <c r="L13" s="12">
        <f>IF(OR(F13="",A13=""),"",COUNTIFS($F$2:$F$500,F13,$G$2:$G$500,G13,$A$2:$A$500,"&lt;&gt;"))</f>
        <v/>
      </c>
      <c r="M13" s="12">
        <f>IF(AND(A13="",F13=""),"",IF(F13="","Belum ditempatkan",IF(I13="","CEK ID FIXTURE tidak ada di DAFTAR_FIXTURE",IF(G13="","CEK ZONA NO kosong",IF(K13="zona tidak ada di layout","CEK ZONA NO di luar layout",IF(H13&lt;&gt;K13,"CEK JENIS ZONA",IF(A13="","Zona kosong",IF(B13="","CEK SKU DESCRIPTION kosong","OK"))))))))</f>
        <v/>
      </c>
    </row>
    <row r="14">
      <c r="A14" s="10" t="n"/>
      <c r="B14" s="11" t="n"/>
      <c r="C14" s="11" t="n"/>
      <c r="D14" s="11" t="n"/>
      <c r="E14" s="11" t="n"/>
      <c r="F14" s="11" t="inlineStr">
        <is>
          <t>WLL-02</t>
        </is>
      </c>
      <c r="G14" s="11" t="n">
        <v>1</v>
      </c>
      <c r="H14" s="11" t="inlineStr">
        <is>
          <t>Rak</t>
        </is>
      </c>
      <c r="I14" s="12">
        <f>IF(F14="","",IFERROR(INDEX(DAFTAR_FIXTURE!$B$2:$B$51,MATCH(F14,DAFTAR_FIXTURE!$A$2:$A$51,0)),""))</f>
        <v/>
      </c>
      <c r="J14" s="12">
        <f>IF(A14="","","https://cdn.ruparupa.io/fit-in/850x850/ruparupa-com/image/upload/Products/"&amp;A14&amp;"_1.jpg")</f>
        <v/>
      </c>
      <c r="K14" s="12">
        <f>IF(OR(I14="",G14=""),"",IFERROR(INDEX(LAYOUT!$D$2:$D$34,MATCH(I14&amp;"|"&amp;G14,LAYOUT!$E$2:$E$34,0)),"zona tidak ada di layout"))</f>
        <v/>
      </c>
      <c r="L14" s="12">
        <f>IF(OR(F14="",A14=""),"",COUNTIFS($F$2:$F$500,F14,$G$2:$G$500,G14,$A$2:$A$500,"&lt;&gt;"))</f>
        <v/>
      </c>
      <c r="M14" s="12">
        <f>IF(AND(A14="",F14=""),"",IF(F14="","Belum ditempatkan",IF(I14="","CEK ID FIXTURE tidak ada di DAFTAR_FIXTURE",IF(G14="","CEK ZONA NO kosong",IF(K14="zona tidak ada di layout","CEK ZONA NO di luar layout",IF(H14&lt;&gt;K14,"CEK JENIS ZONA",IF(A14="","Zona kosong",IF(B14="","CEK SKU DESCRIPTION kosong","OK"))))))))</f>
        <v/>
      </c>
    </row>
    <row r="15">
      <c r="A15" s="10" t="inlineStr">
        <is>
          <t>10445959</t>
        </is>
      </c>
      <c r="B15" s="11" t="inlineStr">
        <is>
          <t>CASSEROLE RECT GOLD MARBLE W/LID 33CM</t>
        </is>
      </c>
      <c r="C15" s="11" t="n"/>
      <c r="D15" s="11" t="n"/>
      <c r="E15" s="11" t="n"/>
      <c r="F15" s="11" t="inlineStr">
        <is>
          <t>WLL-02</t>
        </is>
      </c>
      <c r="G15" s="11" t="n">
        <v>2</v>
      </c>
      <c r="H15" s="11" t="inlineStr">
        <is>
          <t>Rak</t>
        </is>
      </c>
      <c r="I15" s="12">
        <f>IF(F15="","",IFERROR(INDEX(DAFTAR_FIXTURE!$B$2:$B$51,MATCH(F15,DAFTAR_FIXTURE!$A$2:$A$51,0)),""))</f>
        <v/>
      </c>
      <c r="J15" s="12">
        <f>IF(A15="","","https://cdn.ruparupa.io/fit-in/850x850/ruparupa-com/image/upload/Products/"&amp;A15&amp;"_1.jpg")</f>
        <v/>
      </c>
      <c r="K15" s="12">
        <f>IF(OR(I15="",G15=""),"",IFERROR(INDEX(LAYOUT!$D$2:$D$34,MATCH(I15&amp;"|"&amp;G15,LAYOUT!$E$2:$E$34,0)),"zona tidak ada di layout"))</f>
        <v/>
      </c>
      <c r="L15" s="12">
        <f>IF(OR(F15="",A15=""),"",COUNTIFS($F$2:$F$500,F15,$G$2:$G$500,G15,$A$2:$A$500,"&lt;&gt;"))</f>
        <v/>
      </c>
      <c r="M15" s="12">
        <f>IF(AND(A15="",F15=""),"",IF(F15="","Belum ditempatkan",IF(I15="","CEK ID FIXTURE tidak ada di DAFTAR_FIXTURE",IF(G15="","CEK ZONA NO kosong",IF(K15="zona tidak ada di layout","CEK ZONA NO di luar layout",IF(H15&lt;&gt;K15,"CEK JENIS ZONA",IF(A15="","Zona kosong",IF(B15="","CEK SKU DESCRIPTION kosong","OK"))))))))</f>
        <v/>
      </c>
    </row>
    <row r="16">
      <c r="A16" s="10" t="inlineStr">
        <is>
          <t>10445960</t>
        </is>
      </c>
      <c r="B16" s="11" t="inlineStr">
        <is>
          <t>CASSEROLE OVAL GOLD MARBLE W/LID 33CM</t>
        </is>
      </c>
      <c r="C16" s="11" t="n"/>
      <c r="D16" s="11" t="n"/>
      <c r="E16" s="11" t="n"/>
      <c r="F16" s="11" t="inlineStr">
        <is>
          <t>WLL-02</t>
        </is>
      </c>
      <c r="G16" s="11" t="n">
        <v>2</v>
      </c>
      <c r="H16" s="11" t="inlineStr">
        <is>
          <t>Rak</t>
        </is>
      </c>
      <c r="I16" s="12">
        <f>IF(F16="","",IFERROR(INDEX(DAFTAR_FIXTURE!$B$2:$B$51,MATCH(F16,DAFTAR_FIXTURE!$A$2:$A$51,0)),""))</f>
        <v/>
      </c>
      <c r="J16" s="12">
        <f>IF(A16="","","https://cdn.ruparupa.io/fit-in/850x850/ruparupa-com/image/upload/Products/"&amp;A16&amp;"_1.jpg")</f>
        <v/>
      </c>
      <c r="K16" s="12">
        <f>IF(OR(I16="",G16=""),"",IFERROR(INDEX(LAYOUT!$D$2:$D$34,MATCH(I16&amp;"|"&amp;G16,LAYOUT!$E$2:$E$34,0)),"zona tidak ada di layout"))</f>
        <v/>
      </c>
      <c r="L16" s="12">
        <f>IF(OR(F16="",A16=""),"",COUNTIFS($F$2:$F$500,F16,$G$2:$G$500,G16,$A$2:$A$500,"&lt;&gt;"))</f>
        <v/>
      </c>
      <c r="M16" s="12">
        <f>IF(AND(A16="",F16=""),"",IF(F16="","Belum ditempatkan",IF(I16="","CEK ID FIXTURE tidak ada di DAFTAR_FIXTURE",IF(G16="","CEK ZONA NO kosong",IF(K16="zona tidak ada di layout","CEK ZONA NO di luar layout",IF(H16&lt;&gt;K16,"CEK JENIS ZONA",IF(A16="","Zona kosong",IF(B16="","CEK SKU DESCRIPTION kosong","OK"))))))))</f>
        <v/>
      </c>
    </row>
    <row r="17">
      <c r="A17" s="10" t="inlineStr">
        <is>
          <t>10445961</t>
        </is>
      </c>
      <c r="B17" s="11" t="inlineStr">
        <is>
          <t>CASSEROLE ROUND GOLD MARBLE W/LID 33CM</t>
        </is>
      </c>
      <c r="C17" s="11" t="n"/>
      <c r="D17" s="11" t="n"/>
      <c r="E17" s="11" t="n"/>
      <c r="F17" s="11" t="inlineStr">
        <is>
          <t>WLL-02</t>
        </is>
      </c>
      <c r="G17" s="11" t="n">
        <v>2</v>
      </c>
      <c r="H17" s="11" t="inlineStr">
        <is>
          <t>Rak</t>
        </is>
      </c>
      <c r="I17" s="12">
        <f>IF(F17="","",IFERROR(INDEX(DAFTAR_FIXTURE!$B$2:$B$51,MATCH(F17,DAFTAR_FIXTURE!$A$2:$A$51,0)),""))</f>
        <v/>
      </c>
      <c r="J17" s="12">
        <f>IF(A17="","","https://cdn.ruparupa.io/fit-in/850x850/ruparupa-com/image/upload/Products/"&amp;A17&amp;"_1.jpg")</f>
        <v/>
      </c>
      <c r="K17" s="12">
        <f>IF(OR(I17="",G17=""),"",IFERROR(INDEX(LAYOUT!$D$2:$D$34,MATCH(I17&amp;"|"&amp;G17,LAYOUT!$E$2:$E$34,0)),"zona tidak ada di layout"))</f>
        <v/>
      </c>
      <c r="L17" s="12">
        <f>IF(OR(F17="",A17=""),"",COUNTIFS($F$2:$F$500,F17,$G$2:$G$500,G17,$A$2:$A$500,"&lt;&gt;"))</f>
        <v/>
      </c>
      <c r="M17" s="12">
        <f>IF(AND(A17="",F17=""),"",IF(F17="","Belum ditempatkan",IF(I17="","CEK ID FIXTURE tidak ada di DAFTAR_FIXTURE",IF(G17="","CEK ZONA NO kosong",IF(K17="zona tidak ada di layout","CEK ZONA NO di luar layout",IF(H17&lt;&gt;K17,"CEK JENIS ZONA",IF(A17="","Zona kosong",IF(B17="","CEK SKU DESCRIPTION kosong","OK"))))))))</f>
        <v/>
      </c>
    </row>
    <row r="18">
      <c r="A18" s="10" t="inlineStr">
        <is>
          <t>10445962</t>
        </is>
      </c>
      <c r="B18" s="11" t="inlineStr">
        <is>
          <t>CASSEROLE SQUARE GOLD MARBLE W/LID 33CM</t>
        </is>
      </c>
      <c r="C18" s="11" t="n"/>
      <c r="D18" s="11" t="n"/>
      <c r="E18" s="11" t="n"/>
      <c r="F18" s="11" t="inlineStr">
        <is>
          <t>WLL-02</t>
        </is>
      </c>
      <c r="G18" s="11" t="n">
        <v>2</v>
      </c>
      <c r="H18" s="11" t="inlineStr">
        <is>
          <t>Rak</t>
        </is>
      </c>
      <c r="I18" s="12">
        <f>IF(F18="","",IFERROR(INDEX(DAFTAR_FIXTURE!$B$2:$B$51,MATCH(F18,DAFTAR_FIXTURE!$A$2:$A$51,0)),""))</f>
        <v/>
      </c>
      <c r="J18" s="12">
        <f>IF(A18="","","https://cdn.ruparupa.io/fit-in/850x850/ruparupa-com/image/upload/Products/"&amp;A18&amp;"_1.jpg")</f>
        <v/>
      </c>
      <c r="K18" s="12">
        <f>IF(OR(I18="",G18=""),"",IFERROR(INDEX(LAYOUT!$D$2:$D$34,MATCH(I18&amp;"|"&amp;G18,LAYOUT!$E$2:$E$34,0)),"zona tidak ada di layout"))</f>
        <v/>
      </c>
      <c r="L18" s="12">
        <f>IF(OR(F18="",A18=""),"",COUNTIFS($F$2:$F$500,F18,$G$2:$G$500,G18,$A$2:$A$500,"&lt;&gt;"))</f>
        <v/>
      </c>
      <c r="M18" s="12">
        <f>IF(AND(A18="",F18=""),"",IF(F18="","Belum ditempatkan",IF(I18="","CEK ID FIXTURE tidak ada di DAFTAR_FIXTURE",IF(G18="","CEK ZONA NO kosong",IF(K18="zona tidak ada di layout","CEK ZONA NO di luar layout",IF(H18&lt;&gt;K18,"CEK JENIS ZONA",IF(A18="","Zona kosong",IF(B18="","CEK SKU DESCRIPTION kosong","OK"))))))))</f>
        <v/>
      </c>
    </row>
    <row r="19">
      <c r="A19" s="10" t="inlineStr">
        <is>
          <t>10470029</t>
        </is>
      </c>
      <c r="B19" s="11" t="inlineStr">
        <is>
          <t>SERVING SET W/RACK OCTAGON MARBLE (4)</t>
        </is>
      </c>
      <c r="C19" s="11" t="n"/>
      <c r="D19" s="11" t="n"/>
      <c r="E19" s="11" t="n"/>
      <c r="F19" s="11" t="inlineStr">
        <is>
          <t>WLL-02</t>
        </is>
      </c>
      <c r="G19" s="11" t="n">
        <v>2</v>
      </c>
      <c r="H19" s="11" t="inlineStr">
        <is>
          <t>Rak</t>
        </is>
      </c>
      <c r="I19" s="12">
        <f>IF(F19="","",IFERROR(INDEX(DAFTAR_FIXTURE!$B$2:$B$51,MATCH(F19,DAFTAR_FIXTURE!$A$2:$A$51,0)),""))</f>
        <v/>
      </c>
      <c r="J19" s="12">
        <f>IF(A19="","","https://cdn.ruparupa.io/fit-in/850x850/ruparupa-com/image/upload/Products/"&amp;A19&amp;"_1.jpg")</f>
        <v/>
      </c>
      <c r="K19" s="12">
        <f>IF(OR(I19="",G19=""),"",IFERROR(INDEX(LAYOUT!$D$2:$D$34,MATCH(I19&amp;"|"&amp;G19,LAYOUT!$E$2:$E$34,0)),"zona tidak ada di layout"))</f>
        <v/>
      </c>
      <c r="L19" s="12">
        <f>IF(OR(F19="",A19=""),"",COUNTIFS($F$2:$F$500,F19,$G$2:$G$500,G19,$A$2:$A$500,"&lt;&gt;"))</f>
        <v/>
      </c>
      <c r="M19" s="12">
        <f>IF(AND(A19="",F19=""),"",IF(F19="","Belum ditempatkan",IF(I19="","CEK ID FIXTURE tidak ada di DAFTAR_FIXTURE",IF(G19="","CEK ZONA NO kosong",IF(K19="zona tidak ada di layout","CEK ZONA NO di luar layout",IF(H19&lt;&gt;K19,"CEK JENIS ZONA",IF(A19="","Zona kosong",IF(B19="","CEK SKU DESCRIPTION kosong","OK"))))))))</f>
        <v/>
      </c>
    </row>
    <row r="20">
      <c r="A20" s="10" t="inlineStr">
        <is>
          <t>10470030</t>
        </is>
      </c>
      <c r="B20" s="11" t="inlineStr">
        <is>
          <t>SERVING SET RND DETACHABLE MARBLE (2)</t>
        </is>
      </c>
      <c r="C20" s="11" t="n"/>
      <c r="D20" s="11" t="n"/>
      <c r="E20" s="11" t="n"/>
      <c r="F20" s="11" t="inlineStr">
        <is>
          <t>WLL-02</t>
        </is>
      </c>
      <c r="G20" s="11" t="n">
        <v>3</v>
      </c>
      <c r="H20" s="11" t="inlineStr">
        <is>
          <t>Rak</t>
        </is>
      </c>
      <c r="I20" s="12">
        <f>IF(F20="","",IFERROR(INDEX(DAFTAR_FIXTURE!$B$2:$B$51,MATCH(F20,DAFTAR_FIXTURE!$A$2:$A$51,0)),""))</f>
        <v/>
      </c>
      <c r="J20" s="12">
        <f>IF(A20="","","https://cdn.ruparupa.io/fit-in/850x850/ruparupa-com/image/upload/Products/"&amp;A20&amp;"_1.jpg")</f>
        <v/>
      </c>
      <c r="K20" s="12">
        <f>IF(OR(I20="",G20=""),"",IFERROR(INDEX(LAYOUT!$D$2:$D$34,MATCH(I20&amp;"|"&amp;G20,LAYOUT!$E$2:$E$34,0)),"zona tidak ada di layout"))</f>
        <v/>
      </c>
      <c r="L20" s="12">
        <f>IF(OR(F20="",A20=""),"",COUNTIFS($F$2:$F$500,F20,$G$2:$G$500,G20,$A$2:$A$500,"&lt;&gt;"))</f>
        <v/>
      </c>
      <c r="M20" s="12">
        <f>IF(AND(A20="",F20=""),"",IF(F20="","Belum ditempatkan",IF(I20="","CEK ID FIXTURE tidak ada di DAFTAR_FIXTURE",IF(G20="","CEK ZONA NO kosong",IF(K20="zona tidak ada di layout","CEK ZONA NO di luar layout",IF(H20&lt;&gt;K20,"CEK JENIS ZONA",IF(A20="","Zona kosong",IF(B20="","CEK SKU DESCRIPTION kosong","OK"))))))))</f>
        <v/>
      </c>
    </row>
    <row r="21">
      <c r="A21" s="10" t="inlineStr">
        <is>
          <t>10470031</t>
        </is>
      </c>
      <c r="B21" s="11" t="inlineStr">
        <is>
          <t>SERVING SET W/RACK SQR MARBLE BLACK (3)</t>
        </is>
      </c>
      <c r="C21" s="11" t="n"/>
      <c r="D21" s="11" t="n"/>
      <c r="E21" s="11" t="n"/>
      <c r="F21" s="11" t="inlineStr">
        <is>
          <t>WLL-02</t>
        </is>
      </c>
      <c r="G21" s="11" t="n">
        <v>3</v>
      </c>
      <c r="H21" s="11" t="inlineStr">
        <is>
          <t>Rak</t>
        </is>
      </c>
      <c r="I21" s="12">
        <f>IF(F21="","",IFERROR(INDEX(DAFTAR_FIXTURE!$B$2:$B$51,MATCH(F21,DAFTAR_FIXTURE!$A$2:$A$51,0)),""))</f>
        <v/>
      </c>
      <c r="J21" s="12">
        <f>IF(A21="","","https://cdn.ruparupa.io/fit-in/850x850/ruparupa-com/image/upload/Products/"&amp;A21&amp;"_1.jpg")</f>
        <v/>
      </c>
      <c r="K21" s="12">
        <f>IF(OR(I21="",G21=""),"",IFERROR(INDEX(LAYOUT!$D$2:$D$34,MATCH(I21&amp;"|"&amp;G21,LAYOUT!$E$2:$E$34,0)),"zona tidak ada di layout"))</f>
        <v/>
      </c>
      <c r="L21" s="12">
        <f>IF(OR(F21="",A21=""),"",COUNTIFS($F$2:$F$500,F21,$G$2:$G$500,G21,$A$2:$A$500,"&lt;&gt;"))</f>
        <v/>
      </c>
      <c r="M21" s="12">
        <f>IF(AND(A21="",F21=""),"",IF(F21="","Belum ditempatkan",IF(I21="","CEK ID FIXTURE tidak ada di DAFTAR_FIXTURE",IF(G21="","CEK ZONA NO kosong",IF(K21="zona tidak ada di layout","CEK ZONA NO di luar layout",IF(H21&lt;&gt;K21,"CEK JENIS ZONA",IF(A21="","Zona kosong",IF(B21="","CEK SKU DESCRIPTION kosong","OK"))))))))</f>
        <v/>
      </c>
    </row>
    <row r="22">
      <c r="A22" s="10" t="inlineStr">
        <is>
          <t>10470032</t>
        </is>
      </c>
      <c r="B22" s="11" t="inlineStr">
        <is>
          <t>SERVING SET W/RACK STACK WHITE (3)</t>
        </is>
      </c>
      <c r="C22" s="11" t="n"/>
      <c r="D22" s="11" t="n"/>
      <c r="E22" s="11" t="n"/>
      <c r="F22" s="11" t="inlineStr">
        <is>
          <t>WLL-02</t>
        </is>
      </c>
      <c r="G22" s="11" t="n">
        <v>3</v>
      </c>
      <c r="H22" s="11" t="inlineStr">
        <is>
          <t>Rak</t>
        </is>
      </c>
      <c r="I22" s="12">
        <f>IF(F22="","",IFERROR(INDEX(DAFTAR_FIXTURE!$B$2:$B$51,MATCH(F22,DAFTAR_FIXTURE!$A$2:$A$51,0)),""))</f>
        <v/>
      </c>
      <c r="J22" s="12">
        <f>IF(A22="","","https://cdn.ruparupa.io/fit-in/850x850/ruparupa-com/image/upload/Products/"&amp;A22&amp;"_1.jpg")</f>
        <v/>
      </c>
      <c r="K22" s="12">
        <f>IF(OR(I22="",G22=""),"",IFERROR(INDEX(LAYOUT!$D$2:$D$34,MATCH(I22&amp;"|"&amp;G22,LAYOUT!$E$2:$E$34,0)),"zona tidak ada di layout"))</f>
        <v/>
      </c>
      <c r="L22" s="12">
        <f>IF(OR(F22="",A22=""),"",COUNTIFS($F$2:$F$500,F22,$G$2:$G$500,G22,$A$2:$A$500,"&lt;&gt;"))</f>
        <v/>
      </c>
      <c r="M22" s="12">
        <f>IF(AND(A22="",F22=""),"",IF(F22="","Belum ditempatkan",IF(I22="","CEK ID FIXTURE tidak ada di DAFTAR_FIXTURE",IF(G22="","CEK ZONA NO kosong",IF(K22="zona tidak ada di layout","CEK ZONA NO di luar layout",IF(H22&lt;&gt;K22,"CEK JENIS ZONA",IF(A22="","Zona kosong",IF(B22="","CEK SKU DESCRIPTION kosong","OK"))))))))</f>
        <v/>
      </c>
    </row>
    <row r="23">
      <c r="A23" s="10" t="inlineStr">
        <is>
          <t>10470033</t>
        </is>
      </c>
      <c r="B23" s="11" t="inlineStr">
        <is>
          <t>SERVING SET W/RACK CIRCLE BLACK (3)</t>
        </is>
      </c>
      <c r="C23" s="11" t="n"/>
      <c r="D23" s="11" t="n"/>
      <c r="E23" s="11" t="n"/>
      <c r="F23" s="11" t="inlineStr">
        <is>
          <t>WLL-02</t>
        </is>
      </c>
      <c r="G23" s="11" t="n">
        <v>3</v>
      </c>
      <c r="H23" s="11" t="inlineStr">
        <is>
          <t>Rak</t>
        </is>
      </c>
      <c r="I23" s="12">
        <f>IF(F23="","",IFERROR(INDEX(DAFTAR_FIXTURE!$B$2:$B$51,MATCH(F23,DAFTAR_FIXTURE!$A$2:$A$51,0)),""))</f>
        <v/>
      </c>
      <c r="J23" s="12">
        <f>IF(A23="","","https://cdn.ruparupa.io/fit-in/850x850/ruparupa-com/image/upload/Products/"&amp;A23&amp;"_1.jpg")</f>
        <v/>
      </c>
      <c r="K23" s="12">
        <f>IF(OR(I23="",G23=""),"",IFERROR(INDEX(LAYOUT!$D$2:$D$34,MATCH(I23&amp;"|"&amp;G23,LAYOUT!$E$2:$E$34,0)),"zona tidak ada di layout"))</f>
        <v/>
      </c>
      <c r="L23" s="12">
        <f>IF(OR(F23="",A23=""),"",COUNTIFS($F$2:$F$500,F23,$G$2:$G$500,G23,$A$2:$A$500,"&lt;&gt;"))</f>
        <v/>
      </c>
      <c r="M23" s="12">
        <f>IF(AND(A23="",F23=""),"",IF(F23="","Belum ditempatkan",IF(I23="","CEK ID FIXTURE tidak ada di DAFTAR_FIXTURE",IF(G23="","CEK ZONA NO kosong",IF(K23="zona tidak ada di layout","CEK ZONA NO di luar layout",IF(H23&lt;&gt;K23,"CEK JENIS ZONA",IF(A23="","Zona kosong",IF(B23="","CEK SKU DESCRIPTION kosong","OK"))))))))</f>
        <v/>
      </c>
    </row>
    <row r="24">
      <c r="A24" s="10" t="inlineStr">
        <is>
          <t>10606307</t>
        </is>
      </c>
      <c r="B24" s="11" t="inlineStr">
        <is>
          <t>CASSEROLE RECT MARBLE W/RACK WHT 38CM</t>
        </is>
      </c>
      <c r="C24" s="11" t="n"/>
      <c r="D24" s="11" t="n"/>
      <c r="E24" s="11" t="n"/>
      <c r="F24" s="11" t="inlineStr">
        <is>
          <t>WLL-02</t>
        </is>
      </c>
      <c r="G24" s="11" t="n">
        <v>3</v>
      </c>
      <c r="H24" s="11" t="inlineStr">
        <is>
          <t>Rak</t>
        </is>
      </c>
      <c r="I24" s="12">
        <f>IF(F24="","",IFERROR(INDEX(DAFTAR_FIXTURE!$B$2:$B$51,MATCH(F24,DAFTAR_FIXTURE!$A$2:$A$51,0)),""))</f>
        <v/>
      </c>
      <c r="J24" s="12">
        <f>IF(A24="","","https://cdn.ruparupa.io/fit-in/850x850/ruparupa-com/image/upload/Products/"&amp;A24&amp;"_1.jpg")</f>
        <v/>
      </c>
      <c r="K24" s="12">
        <f>IF(OR(I24="",G24=""),"",IFERROR(INDEX(LAYOUT!$D$2:$D$34,MATCH(I24&amp;"|"&amp;G24,LAYOUT!$E$2:$E$34,0)),"zona tidak ada di layout"))</f>
        <v/>
      </c>
      <c r="L24" s="12">
        <f>IF(OR(F24="",A24=""),"",COUNTIFS($F$2:$F$500,F24,$G$2:$G$500,G24,$A$2:$A$500,"&lt;&gt;"))</f>
        <v/>
      </c>
      <c r="M24" s="12">
        <f>IF(AND(A24="",F24=""),"",IF(F24="","Belum ditempatkan",IF(I24="","CEK ID FIXTURE tidak ada di DAFTAR_FIXTURE",IF(G24="","CEK ZONA NO kosong",IF(K24="zona tidak ada di layout","CEK ZONA NO di luar layout",IF(H24&lt;&gt;K24,"CEK JENIS ZONA",IF(A24="","Zona kosong",IF(B24="","CEK SKU DESCRIPTION kosong","OK"))))))))</f>
        <v/>
      </c>
    </row>
    <row r="25">
      <c r="A25" s="10" t="n"/>
      <c r="B25" s="11" t="n"/>
      <c r="C25" s="11" t="n"/>
      <c r="D25" s="11" t="n"/>
      <c r="E25" s="11" t="n"/>
      <c r="F25" s="11" t="inlineStr">
        <is>
          <t>WLL-02</t>
        </is>
      </c>
      <c r="G25" s="11" t="n">
        <v>4</v>
      </c>
      <c r="H25" s="11" t="inlineStr">
        <is>
          <t>Rak</t>
        </is>
      </c>
      <c r="I25" s="12">
        <f>IF(F25="","",IFERROR(INDEX(DAFTAR_FIXTURE!$B$2:$B$51,MATCH(F25,DAFTAR_FIXTURE!$A$2:$A$51,0)),""))</f>
        <v/>
      </c>
      <c r="J25" s="12">
        <f>IF(A25="","","https://cdn.ruparupa.io/fit-in/850x850/ruparupa-com/image/upload/Products/"&amp;A25&amp;"_1.jpg")</f>
        <v/>
      </c>
      <c r="K25" s="12">
        <f>IF(OR(I25="",G25=""),"",IFERROR(INDEX(LAYOUT!$D$2:$D$34,MATCH(I25&amp;"|"&amp;G25,LAYOUT!$E$2:$E$34,0)),"zona tidak ada di layout"))</f>
        <v/>
      </c>
      <c r="L25" s="12">
        <f>IF(OR(F25="",A25=""),"",COUNTIFS($F$2:$F$500,F25,$G$2:$G$500,G25,$A$2:$A$500,"&lt;&gt;"))</f>
        <v/>
      </c>
      <c r="M25" s="12">
        <f>IF(AND(A25="",F25=""),"",IF(F25="","Belum ditempatkan",IF(I25="","CEK ID FIXTURE tidak ada di DAFTAR_FIXTURE",IF(G25="","CEK ZONA NO kosong",IF(K25="zona tidak ada di layout","CEK ZONA NO di luar layout",IF(H25&lt;&gt;K25,"CEK JENIS ZONA",IF(A25="","Zona kosong",IF(B25="","CEK SKU DESCRIPTION kosong","OK"))))))))</f>
        <v/>
      </c>
    </row>
    <row r="26">
      <c r="A26" s="10" t="inlineStr">
        <is>
          <t>10421603</t>
        </is>
      </c>
      <c r="B26" s="11" t="inlineStr">
        <is>
          <t>KINGSTON SAUCEPAN WITH LID 16CM GREEN</t>
        </is>
      </c>
      <c r="C26" s="11" t="n"/>
      <c r="D26" s="11" t="n"/>
      <c r="E26" s="11" t="n"/>
      <c r="F26" s="11" t="inlineStr">
        <is>
          <t>WLL-03</t>
        </is>
      </c>
      <c r="G26" s="11" t="n">
        <v>1</v>
      </c>
      <c r="H26" s="11" t="inlineStr">
        <is>
          <t>Gantungan</t>
        </is>
      </c>
      <c r="I26" s="12">
        <f>IF(F26="","",IFERROR(INDEX(DAFTAR_FIXTURE!$B$2:$B$51,MATCH(F26,DAFTAR_FIXTURE!$A$2:$A$51,0)),""))</f>
        <v/>
      </c>
      <c r="J26" s="12">
        <f>IF(A26="","","https://cdn.ruparupa.io/fit-in/850x850/ruparupa-com/image/upload/Products/"&amp;A26&amp;"_1.jpg")</f>
        <v/>
      </c>
      <c r="K26" s="12">
        <f>IF(OR(I26="",G26=""),"",IFERROR(INDEX(LAYOUT!$D$2:$D$34,MATCH(I26&amp;"|"&amp;G26,LAYOUT!$E$2:$E$34,0)),"zona tidak ada di layout"))</f>
        <v/>
      </c>
      <c r="L26" s="12">
        <f>IF(OR(F26="",A26=""),"",COUNTIFS($F$2:$F$500,F26,$G$2:$G$500,G26,$A$2:$A$500,"&lt;&gt;"))</f>
        <v/>
      </c>
      <c r="M26" s="12">
        <f>IF(AND(A26="",F26=""),"",IF(F26="","Belum ditempatkan",IF(I26="","CEK ID FIXTURE tidak ada di DAFTAR_FIXTURE",IF(G26="","CEK ZONA NO kosong",IF(K26="zona tidak ada di layout","CEK ZONA NO di luar layout",IF(H26&lt;&gt;K26,"CEK JENIS ZONA",IF(A26="","Zona kosong",IF(B26="","CEK SKU DESCRIPTION kosong","OK"))))))))</f>
        <v/>
      </c>
    </row>
    <row r="27">
      <c r="A27" s="10" t="inlineStr">
        <is>
          <t>10421608</t>
        </is>
      </c>
      <c r="B27" s="11" t="inlineStr">
        <is>
          <t>KINGSTON CASSEROLE WITH LID 20 CM GREEN</t>
        </is>
      </c>
      <c r="C27" s="11" t="n"/>
      <c r="D27" s="11" t="n"/>
      <c r="E27" s="11" t="n"/>
      <c r="F27" s="11" t="inlineStr">
        <is>
          <t>WLL-03</t>
        </is>
      </c>
      <c r="G27" s="11" t="n">
        <v>1</v>
      </c>
      <c r="H27" s="11" t="inlineStr">
        <is>
          <t>Gantungan</t>
        </is>
      </c>
      <c r="I27" s="12">
        <f>IF(F27="","",IFERROR(INDEX(DAFTAR_FIXTURE!$B$2:$B$51,MATCH(F27,DAFTAR_FIXTURE!$A$2:$A$51,0)),""))</f>
        <v/>
      </c>
      <c r="J27" s="12">
        <f>IF(A27="","","https://cdn.ruparupa.io/fit-in/850x850/ruparupa-com/image/upload/Products/"&amp;A27&amp;"_1.jpg")</f>
        <v/>
      </c>
      <c r="K27" s="12">
        <f>IF(OR(I27="",G27=""),"",IFERROR(INDEX(LAYOUT!$D$2:$D$34,MATCH(I27&amp;"|"&amp;G27,LAYOUT!$E$2:$E$34,0)),"zona tidak ada di layout"))</f>
        <v/>
      </c>
      <c r="L27" s="12">
        <f>IF(OR(F27="",A27=""),"",COUNTIFS($F$2:$F$500,F27,$G$2:$G$500,G27,$A$2:$A$500,"&lt;&gt;"))</f>
        <v/>
      </c>
      <c r="M27" s="12">
        <f>IF(AND(A27="",F27=""),"",IF(F27="","Belum ditempatkan",IF(I27="","CEK ID FIXTURE tidak ada di DAFTAR_FIXTURE",IF(G27="","CEK ZONA NO kosong",IF(K27="zona tidak ada di layout","CEK ZONA NO di luar layout",IF(H27&lt;&gt;K27,"CEK JENIS ZONA",IF(A27="","Zona kosong",IF(B27="","CEK SKU DESCRIPTION kosong","OK"))))))))</f>
        <v/>
      </c>
    </row>
    <row r="28">
      <c r="A28" s="10" t="inlineStr">
        <is>
          <t>10421610</t>
        </is>
      </c>
      <c r="B28" s="11" t="inlineStr">
        <is>
          <t>KINGSTON GRILL PAN 24CM GREEN</t>
        </is>
      </c>
      <c r="C28" s="11" t="n"/>
      <c r="D28" s="11" t="n"/>
      <c r="E28" s="11" t="n"/>
      <c r="F28" s="11" t="inlineStr">
        <is>
          <t>WLL-03</t>
        </is>
      </c>
      <c r="G28" s="11" t="n">
        <v>1</v>
      </c>
      <c r="H28" s="11" t="inlineStr">
        <is>
          <t>Gantungan</t>
        </is>
      </c>
      <c r="I28" s="12">
        <f>IF(F28="","",IFERROR(INDEX(DAFTAR_FIXTURE!$B$2:$B$51,MATCH(F28,DAFTAR_FIXTURE!$A$2:$A$51,0)),""))</f>
        <v/>
      </c>
      <c r="J28" s="12">
        <f>IF(A28="","","https://cdn.ruparupa.io/fit-in/850x850/ruparupa-com/image/upload/Products/"&amp;A28&amp;"_1.jpg")</f>
        <v/>
      </c>
      <c r="K28" s="12">
        <f>IF(OR(I28="",G28=""),"",IFERROR(INDEX(LAYOUT!$D$2:$D$34,MATCH(I28&amp;"|"&amp;G28,LAYOUT!$E$2:$E$34,0)),"zona tidak ada di layout"))</f>
        <v/>
      </c>
      <c r="L28" s="12">
        <f>IF(OR(F28="",A28=""),"",COUNTIFS($F$2:$F$500,F28,$G$2:$G$500,G28,$A$2:$A$500,"&lt;&gt;"))</f>
        <v/>
      </c>
      <c r="M28" s="12">
        <f>IF(AND(A28="",F28=""),"",IF(F28="","Belum ditempatkan",IF(I28="","CEK ID FIXTURE tidak ada di DAFTAR_FIXTURE",IF(G28="","CEK ZONA NO kosong",IF(K28="zona tidak ada di layout","CEK ZONA NO di luar layout",IF(H28&lt;&gt;K28,"CEK JENIS ZONA",IF(A28="","Zona kosong",IF(B28="","CEK SKU DESCRIPTION kosong","OK"))))))))</f>
        <v/>
      </c>
    </row>
    <row r="29">
      <c r="A29" s="10" t="inlineStr">
        <is>
          <t>10421614</t>
        </is>
      </c>
      <c r="B29" s="11" t="inlineStr">
        <is>
          <t>KIRA WOK 2 HANDLE W LID AND UTENSIL BRN</t>
        </is>
      </c>
      <c r="C29" s="11" t="n"/>
      <c r="D29" s="11" t="n"/>
      <c r="E29" s="11" t="n"/>
      <c r="F29" s="11" t="inlineStr">
        <is>
          <t>WLL-03</t>
        </is>
      </c>
      <c r="G29" s="11" t="n">
        <v>1</v>
      </c>
      <c r="H29" s="11" t="inlineStr">
        <is>
          <t>Gantungan</t>
        </is>
      </c>
      <c r="I29" s="12">
        <f>IF(F29="","",IFERROR(INDEX(DAFTAR_FIXTURE!$B$2:$B$51,MATCH(F29,DAFTAR_FIXTURE!$A$2:$A$51,0)),""))</f>
        <v/>
      </c>
      <c r="J29" s="12">
        <f>IF(A29="","","https://cdn.ruparupa.io/fit-in/850x850/ruparupa-com/image/upload/Products/"&amp;A29&amp;"_1.jpg")</f>
        <v/>
      </c>
      <c r="K29" s="12">
        <f>IF(OR(I29="",G29=""),"",IFERROR(INDEX(LAYOUT!$D$2:$D$34,MATCH(I29&amp;"|"&amp;G29,LAYOUT!$E$2:$E$34,0)),"zona tidak ada di layout"))</f>
        <v/>
      </c>
      <c r="L29" s="12">
        <f>IF(OR(F29="",A29=""),"",COUNTIFS($F$2:$F$500,F29,$G$2:$G$500,G29,$A$2:$A$500,"&lt;&gt;"))</f>
        <v/>
      </c>
      <c r="M29" s="12">
        <f>IF(AND(A29="",F29=""),"",IF(F29="","Belum ditempatkan",IF(I29="","CEK ID FIXTURE tidak ada di DAFTAR_FIXTURE",IF(G29="","CEK ZONA NO kosong",IF(K29="zona tidak ada di layout","CEK ZONA NO di luar layout",IF(H29&lt;&gt;K29,"CEK JENIS ZONA",IF(A29="","Zona kosong",IF(B29="","CEK SKU DESCRIPTION kosong","OK"))))))))</f>
        <v/>
      </c>
    </row>
    <row r="30">
      <c r="A30" s="10" t="inlineStr">
        <is>
          <t>10421603</t>
        </is>
      </c>
      <c r="B30" s="11" t="inlineStr">
        <is>
          <t>KINGSTON SAUCEPAN WITH LID 16CM GREEN</t>
        </is>
      </c>
      <c r="C30" s="11" t="n"/>
      <c r="D30" s="11" t="n"/>
      <c r="E30" s="11" t="n"/>
      <c r="F30" s="11" t="inlineStr">
        <is>
          <t>WLL-03</t>
        </is>
      </c>
      <c r="G30" s="11" t="n">
        <v>2</v>
      </c>
      <c r="H30" s="11" t="inlineStr">
        <is>
          <t>Gantungan</t>
        </is>
      </c>
      <c r="I30" s="12">
        <f>IF(F30="","",IFERROR(INDEX(DAFTAR_FIXTURE!$B$2:$B$51,MATCH(F30,DAFTAR_FIXTURE!$A$2:$A$51,0)),""))</f>
        <v/>
      </c>
      <c r="J30" s="12">
        <f>IF(A30="","","https://cdn.ruparupa.io/fit-in/850x850/ruparupa-com/image/upload/Products/"&amp;A30&amp;"_1.jpg")</f>
        <v/>
      </c>
      <c r="K30" s="12">
        <f>IF(OR(I30="",G30=""),"",IFERROR(INDEX(LAYOUT!$D$2:$D$34,MATCH(I30&amp;"|"&amp;G30,LAYOUT!$E$2:$E$34,0)),"zona tidak ada di layout"))</f>
        <v/>
      </c>
      <c r="L30" s="12">
        <f>IF(OR(F30="",A30=""),"",COUNTIFS($F$2:$F$500,F30,$G$2:$G$500,G30,$A$2:$A$500,"&lt;&gt;"))</f>
        <v/>
      </c>
      <c r="M30" s="12">
        <f>IF(AND(A30="",F30=""),"",IF(F30="","Belum ditempatkan",IF(I30="","CEK ID FIXTURE tidak ada di DAFTAR_FIXTURE",IF(G30="","CEK ZONA NO kosong",IF(K30="zona tidak ada di layout","CEK ZONA NO di luar layout",IF(H30&lt;&gt;K30,"CEK JENIS ZONA",IF(A30="","Zona kosong",IF(B30="","CEK SKU DESCRIPTION kosong","OK"))))))))</f>
        <v/>
      </c>
    </row>
    <row r="31">
      <c r="A31" s="10" t="inlineStr">
        <is>
          <t>10421608</t>
        </is>
      </c>
      <c r="B31" s="11" t="inlineStr">
        <is>
          <t>KINGSTON CASSEROLE WITH LID 20 CM GREEN</t>
        </is>
      </c>
      <c r="C31" s="11" t="n"/>
      <c r="D31" s="11" t="n"/>
      <c r="E31" s="11" t="n"/>
      <c r="F31" s="11" t="inlineStr">
        <is>
          <t>WLL-03</t>
        </is>
      </c>
      <c r="G31" s="11" t="n">
        <v>2</v>
      </c>
      <c r="H31" s="11" t="inlineStr">
        <is>
          <t>Gantungan</t>
        </is>
      </c>
      <c r="I31" s="12">
        <f>IF(F31="","",IFERROR(INDEX(DAFTAR_FIXTURE!$B$2:$B$51,MATCH(F31,DAFTAR_FIXTURE!$A$2:$A$51,0)),""))</f>
        <v/>
      </c>
      <c r="J31" s="12">
        <f>IF(A31="","","https://cdn.ruparupa.io/fit-in/850x850/ruparupa-com/image/upload/Products/"&amp;A31&amp;"_1.jpg")</f>
        <v/>
      </c>
      <c r="K31" s="12">
        <f>IF(OR(I31="",G31=""),"",IFERROR(INDEX(LAYOUT!$D$2:$D$34,MATCH(I31&amp;"|"&amp;G31,LAYOUT!$E$2:$E$34,0)),"zona tidak ada di layout"))</f>
        <v/>
      </c>
      <c r="L31" s="12">
        <f>IF(OR(F31="",A31=""),"",COUNTIFS($F$2:$F$500,F31,$G$2:$G$500,G31,$A$2:$A$500,"&lt;&gt;"))</f>
        <v/>
      </c>
      <c r="M31" s="12">
        <f>IF(AND(A31="",F31=""),"",IF(F31="","Belum ditempatkan",IF(I31="","CEK ID FIXTURE tidak ada di DAFTAR_FIXTURE",IF(G31="","CEK ZONA NO kosong",IF(K31="zona tidak ada di layout","CEK ZONA NO di luar layout",IF(H31&lt;&gt;K31,"CEK JENIS ZONA",IF(A31="","Zona kosong",IF(B31="","CEK SKU DESCRIPTION kosong","OK"))))))))</f>
        <v/>
      </c>
    </row>
    <row r="32">
      <c r="A32" s="10" t="inlineStr">
        <is>
          <t>10421610</t>
        </is>
      </c>
      <c r="B32" s="11" t="inlineStr">
        <is>
          <t>KINGSTON GRILL PAN 24CM GREEN</t>
        </is>
      </c>
      <c r="C32" s="11" t="n"/>
      <c r="D32" s="11" t="n"/>
      <c r="E32" s="11" t="n"/>
      <c r="F32" s="11" t="inlineStr">
        <is>
          <t>WLL-03</t>
        </is>
      </c>
      <c r="G32" s="11" t="n">
        <v>2</v>
      </c>
      <c r="H32" s="11" t="inlineStr">
        <is>
          <t>Gantungan</t>
        </is>
      </c>
      <c r="I32" s="12">
        <f>IF(F32="","",IFERROR(INDEX(DAFTAR_FIXTURE!$B$2:$B$51,MATCH(F32,DAFTAR_FIXTURE!$A$2:$A$51,0)),""))</f>
        <v/>
      </c>
      <c r="J32" s="12">
        <f>IF(A32="","","https://cdn.ruparupa.io/fit-in/850x850/ruparupa-com/image/upload/Products/"&amp;A32&amp;"_1.jpg")</f>
        <v/>
      </c>
      <c r="K32" s="12">
        <f>IF(OR(I32="",G32=""),"",IFERROR(INDEX(LAYOUT!$D$2:$D$34,MATCH(I32&amp;"|"&amp;G32,LAYOUT!$E$2:$E$34,0)),"zona tidak ada di layout"))</f>
        <v/>
      </c>
      <c r="L32" s="12">
        <f>IF(OR(F32="",A32=""),"",COUNTIFS($F$2:$F$500,F32,$G$2:$G$500,G32,$A$2:$A$500,"&lt;&gt;"))</f>
        <v/>
      </c>
      <c r="M32" s="12">
        <f>IF(AND(A32="",F32=""),"",IF(F32="","Belum ditempatkan",IF(I32="","CEK ID FIXTURE tidak ada di DAFTAR_FIXTURE",IF(G32="","CEK ZONA NO kosong",IF(K32="zona tidak ada di layout","CEK ZONA NO di luar layout",IF(H32&lt;&gt;K32,"CEK JENIS ZONA",IF(A32="","Zona kosong",IF(B32="","CEK SKU DESCRIPTION kosong","OK"))))))))</f>
        <v/>
      </c>
    </row>
    <row r="33">
      <c r="A33" s="10" t="inlineStr">
        <is>
          <t>10421614</t>
        </is>
      </c>
      <c r="B33" s="11" t="inlineStr">
        <is>
          <t>KIRA WOK 2 HANDLE W LID AND UTENSIL BRN</t>
        </is>
      </c>
      <c r="C33" s="11" t="n"/>
      <c r="D33" s="11" t="n"/>
      <c r="E33" s="11" t="n"/>
      <c r="F33" s="11" t="inlineStr">
        <is>
          <t>WLL-03</t>
        </is>
      </c>
      <c r="G33" s="11" t="n">
        <v>2</v>
      </c>
      <c r="H33" s="11" t="inlineStr">
        <is>
          <t>Gantungan</t>
        </is>
      </c>
      <c r="I33" s="12">
        <f>IF(F33="","",IFERROR(INDEX(DAFTAR_FIXTURE!$B$2:$B$51,MATCH(F33,DAFTAR_FIXTURE!$A$2:$A$51,0)),""))</f>
        <v/>
      </c>
      <c r="J33" s="12">
        <f>IF(A33="","","https://cdn.ruparupa.io/fit-in/850x850/ruparupa-com/image/upload/Products/"&amp;A33&amp;"_1.jpg")</f>
        <v/>
      </c>
      <c r="K33" s="12">
        <f>IF(OR(I33="",G33=""),"",IFERROR(INDEX(LAYOUT!$D$2:$D$34,MATCH(I33&amp;"|"&amp;G33,LAYOUT!$E$2:$E$34,0)),"zona tidak ada di layout"))</f>
        <v/>
      </c>
      <c r="L33" s="12">
        <f>IF(OR(F33="",A33=""),"",COUNTIFS($F$2:$F$500,F33,$G$2:$G$500,G33,$A$2:$A$500,"&lt;&gt;"))</f>
        <v/>
      </c>
      <c r="M33" s="12">
        <f>IF(AND(A33="",F33=""),"",IF(F33="","Belum ditempatkan",IF(I33="","CEK ID FIXTURE tidak ada di DAFTAR_FIXTURE",IF(G33="","CEK ZONA NO kosong",IF(K33="zona tidak ada di layout","CEK ZONA NO di luar layout",IF(H33&lt;&gt;K33,"CEK JENIS ZONA",IF(A33="","Zona kosong",IF(B33="","CEK SKU DESCRIPTION kosong","OK"))))))))</f>
        <v/>
      </c>
    </row>
    <row r="34">
      <c r="A34" s="10" t="n"/>
      <c r="B34" s="11" t="n"/>
      <c r="C34" s="11" t="n"/>
      <c r="D34" s="11" t="n"/>
      <c r="E34" s="11" t="n"/>
      <c r="F34" s="11" t="inlineStr">
        <is>
          <t>WLL-03</t>
        </is>
      </c>
      <c r="G34" s="11" t="n">
        <v>3</v>
      </c>
      <c r="H34" s="11" t="inlineStr">
        <is>
          <t>Rak</t>
        </is>
      </c>
      <c r="I34" s="12">
        <f>IF(F34="","",IFERROR(INDEX(DAFTAR_FIXTURE!$B$2:$B$51,MATCH(F34,DAFTAR_FIXTURE!$A$2:$A$51,0)),""))</f>
        <v/>
      </c>
      <c r="J34" s="12">
        <f>IF(A34="","","https://cdn.ruparupa.io/fit-in/850x850/ruparupa-com/image/upload/Products/"&amp;A34&amp;"_1.jpg")</f>
        <v/>
      </c>
      <c r="K34" s="12">
        <f>IF(OR(I34="",G34=""),"",IFERROR(INDEX(LAYOUT!$D$2:$D$34,MATCH(I34&amp;"|"&amp;G34,LAYOUT!$E$2:$E$34,0)),"zona tidak ada di layout"))</f>
        <v/>
      </c>
      <c r="L34" s="12">
        <f>IF(OR(F34="",A34=""),"",COUNTIFS($F$2:$F$500,F34,$G$2:$G$500,G34,$A$2:$A$500,"&lt;&gt;"))</f>
        <v/>
      </c>
      <c r="M34" s="12">
        <f>IF(AND(A34="",F34=""),"",IF(F34="","Belum ditempatkan",IF(I34="","CEK ID FIXTURE tidak ada di DAFTAR_FIXTURE",IF(G34="","CEK ZONA NO kosong",IF(K34="zona tidak ada di layout","CEK ZONA NO di luar layout",IF(H34&lt;&gt;K34,"CEK JENIS ZONA",IF(A34="","Zona kosong",IF(B34="","CEK SKU DESCRIPTION kosong","OK"))))))))</f>
        <v/>
      </c>
    </row>
    <row r="35">
      <c r="A35" s="10" t="n"/>
      <c r="B35" s="11" t="n"/>
      <c r="C35" s="11" t="n"/>
      <c r="D35" s="11" t="n"/>
      <c r="E35" s="11" t="n"/>
      <c r="F35" s="11" t="inlineStr">
        <is>
          <t>WLL-03</t>
        </is>
      </c>
      <c r="G35" s="11" t="n">
        <v>4</v>
      </c>
      <c r="H35" s="11" t="inlineStr">
        <is>
          <t>Rak</t>
        </is>
      </c>
      <c r="I35" s="12">
        <f>IF(F35="","",IFERROR(INDEX(DAFTAR_FIXTURE!$B$2:$B$51,MATCH(F35,DAFTAR_FIXTURE!$A$2:$A$51,0)),""))</f>
        <v/>
      </c>
      <c r="J35" s="12">
        <f>IF(A35="","","https://cdn.ruparupa.io/fit-in/850x850/ruparupa-com/image/upload/Products/"&amp;A35&amp;"_1.jpg")</f>
        <v/>
      </c>
      <c r="K35" s="12">
        <f>IF(OR(I35="",G35=""),"",IFERROR(INDEX(LAYOUT!$D$2:$D$34,MATCH(I35&amp;"|"&amp;G35,LAYOUT!$E$2:$E$34,0)),"zona tidak ada di layout"))</f>
        <v/>
      </c>
      <c r="L35" s="12">
        <f>IF(OR(F35="",A35=""),"",COUNTIFS($F$2:$F$500,F35,$G$2:$G$500,G35,$A$2:$A$500,"&lt;&gt;"))</f>
        <v/>
      </c>
      <c r="M35" s="12">
        <f>IF(AND(A35="",F35=""),"",IF(F35="","Belum ditempatkan",IF(I35="","CEK ID FIXTURE tidak ada di DAFTAR_FIXTURE",IF(G35="","CEK ZONA NO kosong",IF(K35="zona tidak ada di layout","CEK ZONA NO di luar layout",IF(H35&lt;&gt;K35,"CEK JENIS ZONA",IF(A35="","Zona kosong",IF(B35="","CEK SKU DESCRIPTION kosong","OK"))))))))</f>
        <v/>
      </c>
    </row>
    <row r="36">
      <c r="A36" s="10" t="n"/>
      <c r="B36" s="11" t="n"/>
      <c r="C36" s="11" t="n"/>
      <c r="D36" s="11" t="n"/>
      <c r="E36" s="11" t="n"/>
      <c r="F36" s="11" t="inlineStr">
        <is>
          <t>WLL-03</t>
        </is>
      </c>
      <c r="G36" s="11" t="n">
        <v>5</v>
      </c>
      <c r="H36" s="11" t="inlineStr">
        <is>
          <t>Rak</t>
        </is>
      </c>
      <c r="I36" s="12">
        <f>IF(F36="","",IFERROR(INDEX(DAFTAR_FIXTURE!$B$2:$B$51,MATCH(F36,DAFTAR_FIXTURE!$A$2:$A$51,0)),""))</f>
        <v/>
      </c>
      <c r="J36" s="12">
        <f>IF(A36="","","https://cdn.ruparupa.io/fit-in/850x850/ruparupa-com/image/upload/Products/"&amp;A36&amp;"_1.jpg")</f>
        <v/>
      </c>
      <c r="K36" s="12">
        <f>IF(OR(I36="",G36=""),"",IFERROR(INDEX(LAYOUT!$D$2:$D$34,MATCH(I36&amp;"|"&amp;G36,LAYOUT!$E$2:$E$34,0)),"zona tidak ada di layout"))</f>
        <v/>
      </c>
      <c r="L36" s="12">
        <f>IF(OR(F36="",A36=""),"",COUNTIFS($F$2:$F$500,F36,$G$2:$G$500,G36,$A$2:$A$500,"&lt;&gt;"))</f>
        <v/>
      </c>
      <c r="M36" s="12">
        <f>IF(AND(A36="",F36=""),"",IF(F36="","Belum ditempatkan",IF(I36="","CEK ID FIXTURE tidak ada di DAFTAR_FIXTURE",IF(G36="","CEK ZONA NO kosong",IF(K36="zona tidak ada di layout","CEK ZONA NO di luar layout",IF(H36&lt;&gt;K36,"CEK JENIS ZONA",IF(A36="","Zona kosong",IF(B36="","CEK SKU DESCRIPTION kosong","OK"))))))))</f>
        <v/>
      </c>
    </row>
    <row r="37">
      <c r="A37" s="10" t="inlineStr">
        <is>
          <t>10445959</t>
        </is>
      </c>
      <c r="B37" s="11" t="inlineStr">
        <is>
          <t>CASSEROLE RECT GOLD MARBLE W/LID 33CM</t>
        </is>
      </c>
      <c r="C37" s="11" t="n"/>
      <c r="D37" s="11" t="n"/>
      <c r="E37" s="11" t="n"/>
      <c r="F37" s="11" t="inlineStr">
        <is>
          <t>GND-01</t>
        </is>
      </c>
      <c r="G37" s="11" t="n">
        <v>1</v>
      </c>
      <c r="H37" s="11" t="inlineStr">
        <is>
          <t>Rak</t>
        </is>
      </c>
      <c r="I37" s="12">
        <f>IF(F37="","",IFERROR(INDEX(DAFTAR_FIXTURE!$B$2:$B$51,MATCH(F37,DAFTAR_FIXTURE!$A$2:$A$51,0)),""))</f>
        <v/>
      </c>
      <c r="J37" s="12">
        <f>IF(A37="","","https://cdn.ruparupa.io/fit-in/850x850/ruparupa-com/image/upload/Products/"&amp;A37&amp;"_1.jpg")</f>
        <v/>
      </c>
      <c r="K37" s="12">
        <f>IF(OR(I37="",G37=""),"",IFERROR(INDEX(LAYOUT!$D$2:$D$34,MATCH(I37&amp;"|"&amp;G37,LAYOUT!$E$2:$E$34,0)),"zona tidak ada di layout"))</f>
        <v/>
      </c>
      <c r="L37" s="12">
        <f>IF(OR(F37="",A37=""),"",COUNTIFS($F$2:$F$500,F37,$G$2:$G$500,G37,$A$2:$A$500,"&lt;&gt;"))</f>
        <v/>
      </c>
      <c r="M37" s="12">
        <f>IF(AND(A37="",F37=""),"",IF(F37="","Belum ditempatkan",IF(I37="","CEK ID FIXTURE tidak ada di DAFTAR_FIXTURE",IF(G37="","CEK ZONA NO kosong",IF(K37="zona tidak ada di layout","CEK ZONA NO di luar layout",IF(H37&lt;&gt;K37,"CEK JENIS ZONA",IF(A37="","Zona kosong",IF(B37="","CEK SKU DESCRIPTION kosong","OK"))))))))</f>
        <v/>
      </c>
    </row>
    <row r="38">
      <c r="A38" s="10" t="inlineStr">
        <is>
          <t>10445960</t>
        </is>
      </c>
      <c r="B38" s="11" t="inlineStr">
        <is>
          <t>CASSEROLE OVAL GOLD MARBLE W/LID 33CM</t>
        </is>
      </c>
      <c r="C38" s="11" t="n"/>
      <c r="D38" s="11" t="n"/>
      <c r="E38" s="11" t="n"/>
      <c r="F38" s="11" t="inlineStr">
        <is>
          <t>GND-01</t>
        </is>
      </c>
      <c r="G38" s="11" t="n">
        <v>1</v>
      </c>
      <c r="H38" s="11" t="inlineStr">
        <is>
          <t>Rak</t>
        </is>
      </c>
      <c r="I38" s="12">
        <f>IF(F38="","",IFERROR(INDEX(DAFTAR_FIXTURE!$B$2:$B$51,MATCH(F38,DAFTAR_FIXTURE!$A$2:$A$51,0)),""))</f>
        <v/>
      </c>
      <c r="J38" s="12">
        <f>IF(A38="","","https://cdn.ruparupa.io/fit-in/850x850/ruparupa-com/image/upload/Products/"&amp;A38&amp;"_1.jpg")</f>
        <v/>
      </c>
      <c r="K38" s="12">
        <f>IF(OR(I38="",G38=""),"",IFERROR(INDEX(LAYOUT!$D$2:$D$34,MATCH(I38&amp;"|"&amp;G38,LAYOUT!$E$2:$E$34,0)),"zona tidak ada di layout"))</f>
        <v/>
      </c>
      <c r="L38" s="12">
        <f>IF(OR(F38="",A38=""),"",COUNTIFS($F$2:$F$500,F38,$G$2:$G$500,G38,$A$2:$A$500,"&lt;&gt;"))</f>
        <v/>
      </c>
      <c r="M38" s="12">
        <f>IF(AND(A38="",F38=""),"",IF(F38="","Belum ditempatkan",IF(I38="","CEK ID FIXTURE tidak ada di DAFTAR_FIXTURE",IF(G38="","CEK ZONA NO kosong",IF(K38="zona tidak ada di layout","CEK ZONA NO di luar layout",IF(H38&lt;&gt;K38,"CEK JENIS ZONA",IF(A38="","Zona kosong",IF(B38="","CEK SKU DESCRIPTION kosong","OK"))))))))</f>
        <v/>
      </c>
    </row>
    <row r="39">
      <c r="A39" s="10" t="inlineStr">
        <is>
          <t>10445961</t>
        </is>
      </c>
      <c r="B39" s="11" t="inlineStr">
        <is>
          <t>CASSEROLE ROUND GOLD MARBLE W/LID 33CM</t>
        </is>
      </c>
      <c r="C39" s="11" t="n"/>
      <c r="D39" s="11" t="n"/>
      <c r="E39" s="11" t="n"/>
      <c r="F39" s="11" t="inlineStr">
        <is>
          <t>GND-01</t>
        </is>
      </c>
      <c r="G39" s="11" t="n">
        <v>1</v>
      </c>
      <c r="H39" s="11" t="inlineStr">
        <is>
          <t>Rak</t>
        </is>
      </c>
      <c r="I39" s="12">
        <f>IF(F39="","",IFERROR(INDEX(DAFTAR_FIXTURE!$B$2:$B$51,MATCH(F39,DAFTAR_FIXTURE!$A$2:$A$51,0)),""))</f>
        <v/>
      </c>
      <c r="J39" s="12">
        <f>IF(A39="","","https://cdn.ruparupa.io/fit-in/850x850/ruparupa-com/image/upload/Products/"&amp;A39&amp;"_1.jpg")</f>
        <v/>
      </c>
      <c r="K39" s="12">
        <f>IF(OR(I39="",G39=""),"",IFERROR(INDEX(LAYOUT!$D$2:$D$34,MATCH(I39&amp;"|"&amp;G39,LAYOUT!$E$2:$E$34,0)),"zona tidak ada di layout"))</f>
        <v/>
      </c>
      <c r="L39" s="12">
        <f>IF(OR(F39="",A39=""),"",COUNTIFS($F$2:$F$500,F39,$G$2:$G$500,G39,$A$2:$A$500,"&lt;&gt;"))</f>
        <v/>
      </c>
      <c r="M39" s="12">
        <f>IF(AND(A39="",F39=""),"",IF(F39="","Belum ditempatkan",IF(I39="","CEK ID FIXTURE tidak ada di DAFTAR_FIXTURE",IF(G39="","CEK ZONA NO kosong",IF(K39="zona tidak ada di layout","CEK ZONA NO di luar layout",IF(H39&lt;&gt;K39,"CEK JENIS ZONA",IF(A39="","Zona kosong",IF(B39="","CEK SKU DESCRIPTION kosong","OK"))))))))</f>
        <v/>
      </c>
    </row>
    <row r="40">
      <c r="A40" s="10" t="inlineStr">
        <is>
          <t>10445962</t>
        </is>
      </c>
      <c r="B40" s="11" t="inlineStr">
        <is>
          <t>CASSEROLE SQUARE GOLD MARBLE W/LID 33CM</t>
        </is>
      </c>
      <c r="C40" s="11" t="n"/>
      <c r="D40" s="11" t="n"/>
      <c r="E40" s="11" t="n"/>
      <c r="F40" s="11" t="inlineStr">
        <is>
          <t>GND-01</t>
        </is>
      </c>
      <c r="G40" s="11" t="n">
        <v>2</v>
      </c>
      <c r="H40" s="11" t="inlineStr">
        <is>
          <t>Rak</t>
        </is>
      </c>
      <c r="I40" s="12">
        <f>IF(F40="","",IFERROR(INDEX(DAFTAR_FIXTURE!$B$2:$B$51,MATCH(F40,DAFTAR_FIXTURE!$A$2:$A$51,0)),""))</f>
        <v/>
      </c>
      <c r="J40" s="12">
        <f>IF(A40="","","https://cdn.ruparupa.io/fit-in/850x850/ruparupa-com/image/upload/Products/"&amp;A40&amp;"_1.jpg")</f>
        <v/>
      </c>
      <c r="K40" s="12">
        <f>IF(OR(I40="",G40=""),"",IFERROR(INDEX(LAYOUT!$D$2:$D$34,MATCH(I40&amp;"|"&amp;G40,LAYOUT!$E$2:$E$34,0)),"zona tidak ada di layout"))</f>
        <v/>
      </c>
      <c r="L40" s="12">
        <f>IF(OR(F40="",A40=""),"",COUNTIFS($F$2:$F$500,F40,$G$2:$G$500,G40,$A$2:$A$500,"&lt;&gt;"))</f>
        <v/>
      </c>
      <c r="M40" s="12">
        <f>IF(AND(A40="",F40=""),"",IF(F40="","Belum ditempatkan",IF(I40="","CEK ID FIXTURE tidak ada di DAFTAR_FIXTURE",IF(G40="","CEK ZONA NO kosong",IF(K40="zona tidak ada di layout","CEK ZONA NO di luar layout",IF(H40&lt;&gt;K40,"CEK JENIS ZONA",IF(A40="","Zona kosong",IF(B40="","CEK SKU DESCRIPTION kosong","OK"))))))))</f>
        <v/>
      </c>
    </row>
    <row r="41">
      <c r="A41" s="10" t="inlineStr">
        <is>
          <t>10470029</t>
        </is>
      </c>
      <c r="B41" s="11" t="inlineStr">
        <is>
          <t>SERVING SET W/RACK OCTAGON MARBLE (4)</t>
        </is>
      </c>
      <c r="C41" s="11" t="n"/>
      <c r="D41" s="11" t="n"/>
      <c r="E41" s="11" t="n"/>
      <c r="F41" s="11" t="inlineStr">
        <is>
          <t>GND-01</t>
        </is>
      </c>
      <c r="G41" s="11" t="n">
        <v>2</v>
      </c>
      <c r="H41" s="11" t="inlineStr">
        <is>
          <t>Rak</t>
        </is>
      </c>
      <c r="I41" s="12">
        <f>IF(F41="","",IFERROR(INDEX(DAFTAR_FIXTURE!$B$2:$B$51,MATCH(F41,DAFTAR_FIXTURE!$A$2:$A$51,0)),""))</f>
        <v/>
      </c>
      <c r="J41" s="12">
        <f>IF(A41="","","https://cdn.ruparupa.io/fit-in/850x850/ruparupa-com/image/upload/Products/"&amp;A41&amp;"_1.jpg")</f>
        <v/>
      </c>
      <c r="K41" s="12">
        <f>IF(OR(I41="",G41=""),"",IFERROR(INDEX(LAYOUT!$D$2:$D$34,MATCH(I41&amp;"|"&amp;G41,LAYOUT!$E$2:$E$34,0)),"zona tidak ada di layout"))</f>
        <v/>
      </c>
      <c r="L41" s="12">
        <f>IF(OR(F41="",A41=""),"",COUNTIFS($F$2:$F$500,F41,$G$2:$G$500,G41,$A$2:$A$500,"&lt;&gt;"))</f>
        <v/>
      </c>
      <c r="M41" s="12">
        <f>IF(AND(A41="",F41=""),"",IF(F41="","Belum ditempatkan",IF(I41="","CEK ID FIXTURE tidak ada di DAFTAR_FIXTURE",IF(G41="","CEK ZONA NO kosong",IF(K41="zona tidak ada di layout","CEK ZONA NO di luar layout",IF(H41&lt;&gt;K41,"CEK JENIS ZONA",IF(A41="","Zona kosong",IF(B41="","CEK SKU DESCRIPTION kosong","OK"))))))))</f>
        <v/>
      </c>
    </row>
    <row r="42">
      <c r="A42" s="10" t="inlineStr">
        <is>
          <t>10470030</t>
        </is>
      </c>
      <c r="B42" s="11" t="inlineStr">
        <is>
          <t>SERVING SET RND DETACHABLE MARBLE (2)</t>
        </is>
      </c>
      <c r="C42" s="11" t="n"/>
      <c r="D42" s="11" t="n"/>
      <c r="E42" s="11" t="n"/>
      <c r="F42" s="11" t="inlineStr">
        <is>
          <t>GND-01</t>
        </is>
      </c>
      <c r="G42" s="11" t="n">
        <v>2</v>
      </c>
      <c r="H42" s="11" t="inlineStr">
        <is>
          <t>Rak</t>
        </is>
      </c>
      <c r="I42" s="12">
        <f>IF(F42="","",IFERROR(INDEX(DAFTAR_FIXTURE!$B$2:$B$51,MATCH(F42,DAFTAR_FIXTURE!$A$2:$A$51,0)),""))</f>
        <v/>
      </c>
      <c r="J42" s="12">
        <f>IF(A42="","","https://cdn.ruparupa.io/fit-in/850x850/ruparupa-com/image/upload/Products/"&amp;A42&amp;"_1.jpg")</f>
        <v/>
      </c>
      <c r="K42" s="12">
        <f>IF(OR(I42="",G42=""),"",IFERROR(INDEX(LAYOUT!$D$2:$D$34,MATCH(I42&amp;"|"&amp;G42,LAYOUT!$E$2:$E$34,0)),"zona tidak ada di layout"))</f>
        <v/>
      </c>
      <c r="L42" s="12">
        <f>IF(OR(F42="",A42=""),"",COUNTIFS($F$2:$F$500,F42,$G$2:$G$500,G42,$A$2:$A$500,"&lt;&gt;"))</f>
        <v/>
      </c>
      <c r="M42" s="12">
        <f>IF(AND(A42="",F42=""),"",IF(F42="","Belum ditempatkan",IF(I42="","CEK ID FIXTURE tidak ada di DAFTAR_FIXTURE",IF(G42="","CEK ZONA NO kosong",IF(K42="zona tidak ada di layout","CEK ZONA NO di luar layout",IF(H42&lt;&gt;K42,"CEK JENIS ZONA",IF(A42="","Zona kosong",IF(B42="","CEK SKU DESCRIPTION kosong","OK"))))))))</f>
        <v/>
      </c>
    </row>
    <row r="43">
      <c r="A43" s="10" t="n"/>
      <c r="B43" s="11" t="n"/>
      <c r="C43" s="11" t="n"/>
      <c r="D43" s="11" t="n"/>
      <c r="E43" s="11" t="n"/>
      <c r="F43" s="11" t="inlineStr">
        <is>
          <t>GND-01</t>
        </is>
      </c>
      <c r="G43" s="11" t="n">
        <v>3</v>
      </c>
      <c r="H43" s="11" t="inlineStr">
        <is>
          <t>Rak</t>
        </is>
      </c>
      <c r="I43" s="12">
        <f>IF(F43="","",IFERROR(INDEX(DAFTAR_FIXTURE!$B$2:$B$51,MATCH(F43,DAFTAR_FIXTURE!$A$2:$A$51,0)),""))</f>
        <v/>
      </c>
      <c r="J43" s="12">
        <f>IF(A43="","","https://cdn.ruparupa.io/fit-in/850x850/ruparupa-com/image/upload/Products/"&amp;A43&amp;"_1.jpg")</f>
        <v/>
      </c>
      <c r="K43" s="12">
        <f>IF(OR(I43="",G43=""),"",IFERROR(INDEX(LAYOUT!$D$2:$D$34,MATCH(I43&amp;"|"&amp;G43,LAYOUT!$E$2:$E$34,0)),"zona tidak ada di layout"))</f>
        <v/>
      </c>
      <c r="L43" s="12">
        <f>IF(OR(F43="",A43=""),"",COUNTIFS($F$2:$F$500,F43,$G$2:$G$500,G43,$A$2:$A$500,"&lt;&gt;"))</f>
        <v/>
      </c>
      <c r="M43" s="12">
        <f>IF(AND(A43="",F43=""),"",IF(F43="","Belum ditempatkan",IF(I43="","CEK ID FIXTURE tidak ada di DAFTAR_FIXTURE",IF(G43="","CEK ZONA NO kosong",IF(K43="zona tidak ada di layout","CEK ZONA NO di luar layout",IF(H43&lt;&gt;K43,"CEK JENIS ZONA",IF(A43="","Zona kosong",IF(B43="","CEK SKU DESCRIPTION kosong","OK"))))))))</f>
        <v/>
      </c>
    </row>
    <row r="44">
      <c r="A44" s="10" t="n"/>
      <c r="B44" s="11" t="n"/>
      <c r="C44" s="11" t="n"/>
      <c r="D44" s="11" t="n"/>
      <c r="E44" s="11" t="n"/>
      <c r="F44" s="11" t="inlineStr">
        <is>
          <t>GND-01</t>
        </is>
      </c>
      <c r="G44" s="11" t="n">
        <v>4</v>
      </c>
      <c r="H44" s="11" t="inlineStr">
        <is>
          <t>Rak</t>
        </is>
      </c>
      <c r="I44" s="12">
        <f>IF(F44="","",IFERROR(INDEX(DAFTAR_FIXTURE!$B$2:$B$51,MATCH(F44,DAFTAR_FIXTURE!$A$2:$A$51,0)),""))</f>
        <v/>
      </c>
      <c r="J44" s="12">
        <f>IF(A44="","","https://cdn.ruparupa.io/fit-in/850x850/ruparupa-com/image/upload/Products/"&amp;A44&amp;"_1.jpg")</f>
        <v/>
      </c>
      <c r="K44" s="12">
        <f>IF(OR(I44="",G44=""),"",IFERROR(INDEX(LAYOUT!$D$2:$D$34,MATCH(I44&amp;"|"&amp;G44,LAYOUT!$E$2:$E$34,0)),"zona tidak ada di layout"))</f>
        <v/>
      </c>
      <c r="L44" s="12">
        <f>IF(OR(F44="",A44=""),"",COUNTIFS($F$2:$F$500,F44,$G$2:$G$500,G44,$A$2:$A$500,"&lt;&gt;"))</f>
        <v/>
      </c>
      <c r="M44" s="12">
        <f>IF(AND(A44="",F44=""),"",IF(F44="","Belum ditempatkan",IF(I44="","CEK ID FIXTURE tidak ada di DAFTAR_FIXTURE",IF(G44="","CEK ZONA NO kosong",IF(K44="zona tidak ada di layout","CEK ZONA NO di luar layout",IF(H44&lt;&gt;K44,"CEK JENIS ZONA",IF(A44="","Zona kosong",IF(B44="","CEK SKU DESCRIPTION kosong","OK"))))))))</f>
        <v/>
      </c>
    </row>
    <row r="45">
      <c r="A45" s="10" t="inlineStr">
        <is>
          <t>10198149</t>
        </is>
      </c>
      <c r="B45" s="11" t="inlineStr">
        <is>
          <t>TANTA STRAINER DIA 10CM</t>
        </is>
      </c>
      <c r="C45" s="11" t="n"/>
      <c r="D45" s="11" t="n"/>
      <c r="E45" s="11" t="n"/>
      <c r="F45" s="11" t="inlineStr">
        <is>
          <t>GND-02</t>
        </is>
      </c>
      <c r="G45" s="11" t="n">
        <v>1</v>
      </c>
      <c r="H45" s="11" t="inlineStr">
        <is>
          <t>Gantungan</t>
        </is>
      </c>
      <c r="I45" s="12">
        <f>IF(F45="","",IFERROR(INDEX(DAFTAR_FIXTURE!$B$2:$B$51,MATCH(F45,DAFTAR_FIXTURE!$A$2:$A$51,0)),""))</f>
        <v/>
      </c>
      <c r="J45" s="12">
        <f>IF(A45="","","https://cdn.ruparupa.io/fit-in/850x850/ruparupa-com/image/upload/Products/"&amp;A45&amp;"_1.jpg")</f>
        <v/>
      </c>
      <c r="K45" s="12">
        <f>IF(OR(I45="",G45=""),"",IFERROR(INDEX(LAYOUT!$D$2:$D$34,MATCH(I45&amp;"|"&amp;G45,LAYOUT!$E$2:$E$34,0)),"zona tidak ada di layout"))</f>
        <v/>
      </c>
      <c r="L45" s="12">
        <f>IF(OR(F45="",A45=""),"",COUNTIFS($F$2:$F$500,F45,$G$2:$G$500,G45,$A$2:$A$500,"&lt;&gt;"))</f>
        <v/>
      </c>
      <c r="M45" s="12">
        <f>IF(AND(A45="",F45=""),"",IF(F45="","Belum ditempatkan",IF(I45="","CEK ID FIXTURE tidak ada di DAFTAR_FIXTURE",IF(G45="","CEK ZONA NO kosong",IF(K45="zona tidak ada di layout","CEK ZONA NO di luar layout",IF(H45&lt;&gt;K45,"CEK JENIS ZONA",IF(A45="","Zona kosong",IF(B45="","CEK SKU DESCRIPTION kosong","OK"))))))))</f>
        <v/>
      </c>
    </row>
    <row r="46">
      <c r="A46" s="10" t="inlineStr">
        <is>
          <t>10198150</t>
        </is>
      </c>
      <c r="B46" s="11" t="inlineStr">
        <is>
          <t>TANTA NYLON TONGS 9 INCH</t>
        </is>
      </c>
      <c r="C46" s="11" t="n"/>
      <c r="D46" s="11" t="n"/>
      <c r="E46" s="11" t="n"/>
      <c r="F46" s="11" t="inlineStr">
        <is>
          <t>GND-02</t>
        </is>
      </c>
      <c r="G46" s="11" t="n">
        <v>1</v>
      </c>
      <c r="H46" s="11" t="inlineStr">
        <is>
          <t>Gantungan</t>
        </is>
      </c>
      <c r="I46" s="12">
        <f>IF(F46="","",IFERROR(INDEX(DAFTAR_FIXTURE!$B$2:$B$51,MATCH(F46,DAFTAR_FIXTURE!$A$2:$A$51,0)),""))</f>
        <v/>
      </c>
      <c r="J46" s="12">
        <f>IF(A46="","","https://cdn.ruparupa.io/fit-in/850x850/ruparupa-com/image/upload/Products/"&amp;A46&amp;"_1.jpg")</f>
        <v/>
      </c>
      <c r="K46" s="12">
        <f>IF(OR(I46="",G46=""),"",IFERROR(INDEX(LAYOUT!$D$2:$D$34,MATCH(I46&amp;"|"&amp;G46,LAYOUT!$E$2:$E$34,0)),"zona tidak ada di layout"))</f>
        <v/>
      </c>
      <c r="L46" s="12">
        <f>IF(OR(F46="",A46=""),"",COUNTIFS($F$2:$F$500,F46,$G$2:$G$500,G46,$A$2:$A$500,"&lt;&gt;"))</f>
        <v/>
      </c>
      <c r="M46" s="12">
        <f>IF(AND(A46="",F46=""),"",IF(F46="","Belum ditempatkan",IF(I46="","CEK ID FIXTURE tidak ada di DAFTAR_FIXTURE",IF(G46="","CEK ZONA NO kosong",IF(K46="zona tidak ada di layout","CEK ZONA NO di luar layout",IF(H46&lt;&gt;K46,"CEK JENIS ZONA",IF(A46="","Zona kosong",IF(B46="","CEK SKU DESCRIPTION kosong","OK"))))))))</f>
        <v/>
      </c>
    </row>
    <row r="47">
      <c r="A47" s="10" t="inlineStr">
        <is>
          <t>10198151</t>
        </is>
      </c>
      <c r="B47" s="11" t="inlineStr">
        <is>
          <t>TANTA NYLON TONGS 12 INCH</t>
        </is>
      </c>
      <c r="C47" s="11" t="n"/>
      <c r="D47" s="11" t="n"/>
      <c r="E47" s="11" t="n"/>
      <c r="F47" s="11" t="inlineStr">
        <is>
          <t>GND-02</t>
        </is>
      </c>
      <c r="G47" s="11" t="n">
        <v>1</v>
      </c>
      <c r="H47" s="11" t="inlineStr">
        <is>
          <t>Gantungan</t>
        </is>
      </c>
      <c r="I47" s="12">
        <f>IF(F47="","",IFERROR(INDEX(DAFTAR_FIXTURE!$B$2:$B$51,MATCH(F47,DAFTAR_FIXTURE!$A$2:$A$51,0)),""))</f>
        <v/>
      </c>
      <c r="J47" s="12">
        <f>IF(A47="","","https://cdn.ruparupa.io/fit-in/850x850/ruparupa-com/image/upload/Products/"&amp;A47&amp;"_1.jpg")</f>
        <v/>
      </c>
      <c r="K47" s="12">
        <f>IF(OR(I47="",G47=""),"",IFERROR(INDEX(LAYOUT!$D$2:$D$34,MATCH(I47&amp;"|"&amp;G47,LAYOUT!$E$2:$E$34,0)),"zona tidak ada di layout"))</f>
        <v/>
      </c>
      <c r="L47" s="12">
        <f>IF(OR(F47="",A47=""),"",COUNTIFS($F$2:$F$500,F47,$G$2:$G$500,G47,$A$2:$A$500,"&lt;&gt;"))</f>
        <v/>
      </c>
      <c r="M47" s="12">
        <f>IF(AND(A47="",F47=""),"",IF(F47="","Belum ditempatkan",IF(I47="","CEK ID FIXTURE tidak ada di DAFTAR_FIXTURE",IF(G47="","CEK ZONA NO kosong",IF(K47="zona tidak ada di layout","CEK ZONA NO di luar layout",IF(H47&lt;&gt;K47,"CEK JENIS ZONA",IF(A47="","Zona kosong",IF(B47="","CEK SKU DESCRIPTION kosong","OK"))))))))</f>
        <v/>
      </c>
    </row>
    <row r="48">
      <c r="A48" s="10" t="inlineStr">
        <is>
          <t>10198152</t>
        </is>
      </c>
      <c r="B48" s="11" t="inlineStr">
        <is>
          <t>TANTA S/S SOLID TURNER M</t>
        </is>
      </c>
      <c r="C48" s="11" t="n"/>
      <c r="D48" s="11" t="n"/>
      <c r="E48" s="11" t="n"/>
      <c r="F48" s="11" t="inlineStr">
        <is>
          <t>GND-02</t>
        </is>
      </c>
      <c r="G48" s="11" t="n">
        <v>1</v>
      </c>
      <c r="H48" s="11" t="inlineStr">
        <is>
          <t>Gantungan</t>
        </is>
      </c>
      <c r="I48" s="12">
        <f>IF(F48="","",IFERROR(INDEX(DAFTAR_FIXTURE!$B$2:$B$51,MATCH(F48,DAFTAR_FIXTURE!$A$2:$A$51,0)),""))</f>
        <v/>
      </c>
      <c r="J48" s="12">
        <f>IF(A48="","","https://cdn.ruparupa.io/fit-in/850x850/ruparupa-com/image/upload/Products/"&amp;A48&amp;"_1.jpg")</f>
        <v/>
      </c>
      <c r="K48" s="12">
        <f>IF(OR(I48="",G48=""),"",IFERROR(INDEX(LAYOUT!$D$2:$D$34,MATCH(I48&amp;"|"&amp;G48,LAYOUT!$E$2:$E$34,0)),"zona tidak ada di layout"))</f>
        <v/>
      </c>
      <c r="L48" s="12">
        <f>IF(OR(F48="",A48=""),"",COUNTIFS($F$2:$F$500,F48,$G$2:$G$500,G48,$A$2:$A$500,"&lt;&gt;"))</f>
        <v/>
      </c>
      <c r="M48" s="12">
        <f>IF(AND(A48="",F48=""),"",IF(F48="","Belum ditempatkan",IF(I48="","CEK ID FIXTURE tidak ada di DAFTAR_FIXTURE",IF(G48="","CEK ZONA NO kosong",IF(K48="zona tidak ada di layout","CEK ZONA NO di luar layout",IF(H48&lt;&gt;K48,"CEK JENIS ZONA",IF(A48="","Zona kosong",IF(B48="","CEK SKU DESCRIPTION kosong","OK"))))))))</f>
        <v/>
      </c>
    </row>
    <row r="49">
      <c r="A49" s="10" t="inlineStr">
        <is>
          <t>10198154</t>
        </is>
      </c>
      <c r="B49" s="11" t="inlineStr">
        <is>
          <t>TANTA S/S LADLE</t>
        </is>
      </c>
      <c r="C49" s="11" t="n"/>
      <c r="D49" s="11" t="n"/>
      <c r="E49" s="11" t="n"/>
      <c r="F49" s="11" t="inlineStr">
        <is>
          <t>GND-02</t>
        </is>
      </c>
      <c r="G49" s="11" t="n">
        <v>1</v>
      </c>
      <c r="H49" s="11" t="inlineStr">
        <is>
          <t>Gantungan</t>
        </is>
      </c>
      <c r="I49" s="12">
        <f>IF(F49="","",IFERROR(INDEX(DAFTAR_FIXTURE!$B$2:$B$51,MATCH(F49,DAFTAR_FIXTURE!$A$2:$A$51,0)),""))</f>
        <v/>
      </c>
      <c r="J49" s="12">
        <f>IF(A49="","","https://cdn.ruparupa.io/fit-in/850x850/ruparupa-com/image/upload/Products/"&amp;A49&amp;"_1.jpg")</f>
        <v/>
      </c>
      <c r="K49" s="12">
        <f>IF(OR(I49="",G49=""),"",IFERROR(INDEX(LAYOUT!$D$2:$D$34,MATCH(I49&amp;"|"&amp;G49,LAYOUT!$E$2:$E$34,0)),"zona tidak ada di layout"))</f>
        <v/>
      </c>
      <c r="L49" s="12">
        <f>IF(OR(F49="",A49=""),"",COUNTIFS($F$2:$F$500,F49,$G$2:$G$500,G49,$A$2:$A$500,"&lt;&gt;"))</f>
        <v/>
      </c>
      <c r="M49" s="12">
        <f>IF(AND(A49="",F49=""),"",IF(F49="","Belum ditempatkan",IF(I49="","CEK ID FIXTURE tidak ada di DAFTAR_FIXTURE",IF(G49="","CEK ZONA NO kosong",IF(K49="zona tidak ada di layout","CEK ZONA NO di luar layout",IF(H49&lt;&gt;K49,"CEK JENIS ZONA",IF(A49="","Zona kosong",IF(B49="","CEK SKU DESCRIPTION kosong","OK"))))))))</f>
        <v/>
      </c>
    </row>
    <row r="50">
      <c r="A50" s="10" t="inlineStr">
        <is>
          <t>10198156</t>
        </is>
      </c>
      <c r="B50" s="11" t="inlineStr">
        <is>
          <t>TANTA NYLON SLOTTED TURNER M</t>
        </is>
      </c>
      <c r="C50" s="11" t="n"/>
      <c r="D50" s="11" t="n"/>
      <c r="E50" s="11" t="n"/>
      <c r="F50" s="11" t="inlineStr">
        <is>
          <t>GND-02</t>
        </is>
      </c>
      <c r="G50" s="11" t="n">
        <v>1</v>
      </c>
      <c r="H50" s="11" t="inlineStr">
        <is>
          <t>Gantungan</t>
        </is>
      </c>
      <c r="I50" s="12">
        <f>IF(F50="","",IFERROR(INDEX(DAFTAR_FIXTURE!$B$2:$B$51,MATCH(F50,DAFTAR_FIXTURE!$A$2:$A$51,0)),""))</f>
        <v/>
      </c>
      <c r="J50" s="12">
        <f>IF(A50="","","https://cdn.ruparupa.io/fit-in/850x850/ruparupa-com/image/upload/Products/"&amp;A50&amp;"_1.jpg")</f>
        <v/>
      </c>
      <c r="K50" s="12">
        <f>IF(OR(I50="",G50=""),"",IFERROR(INDEX(LAYOUT!$D$2:$D$34,MATCH(I50&amp;"|"&amp;G50,LAYOUT!$E$2:$E$34,0)),"zona tidak ada di layout"))</f>
        <v/>
      </c>
      <c r="L50" s="12">
        <f>IF(OR(F50="",A50=""),"",COUNTIFS($F$2:$F$500,F50,$G$2:$G$500,G50,$A$2:$A$500,"&lt;&gt;"))</f>
        <v/>
      </c>
      <c r="M50" s="12">
        <f>IF(AND(A50="",F50=""),"",IF(F50="","Belum ditempatkan",IF(I50="","CEK ID FIXTURE tidak ada di DAFTAR_FIXTURE",IF(G50="","CEK ZONA NO kosong",IF(K50="zona tidak ada di layout","CEK ZONA NO di luar layout",IF(H50&lt;&gt;K50,"CEK JENIS ZONA",IF(A50="","Zona kosong",IF(B50="","CEK SKU DESCRIPTION kosong","OK"))))))))</f>
        <v/>
      </c>
    </row>
    <row r="51">
      <c r="A51" s="10" t="inlineStr">
        <is>
          <t>10198157</t>
        </is>
      </c>
      <c r="B51" s="11" t="inlineStr">
        <is>
          <t>TANTA NYLON SOLID TURNER L</t>
        </is>
      </c>
      <c r="C51" s="11" t="n"/>
      <c r="D51" s="11" t="n"/>
      <c r="E51" s="11" t="n"/>
      <c r="F51" s="11" t="inlineStr">
        <is>
          <t>GND-02</t>
        </is>
      </c>
      <c r="G51" s="11" t="n">
        <v>1</v>
      </c>
      <c r="H51" s="11" t="inlineStr">
        <is>
          <t>Gantungan</t>
        </is>
      </c>
      <c r="I51" s="12">
        <f>IF(F51="","",IFERROR(INDEX(DAFTAR_FIXTURE!$B$2:$B$51,MATCH(F51,DAFTAR_FIXTURE!$A$2:$A$51,0)),""))</f>
        <v/>
      </c>
      <c r="J51" s="12">
        <f>IF(A51="","","https://cdn.ruparupa.io/fit-in/850x850/ruparupa-com/image/upload/Products/"&amp;A51&amp;"_1.jpg")</f>
        <v/>
      </c>
      <c r="K51" s="12">
        <f>IF(OR(I51="",G51=""),"",IFERROR(INDEX(LAYOUT!$D$2:$D$34,MATCH(I51&amp;"|"&amp;G51,LAYOUT!$E$2:$E$34,0)),"zona tidak ada di layout"))</f>
        <v/>
      </c>
      <c r="L51" s="12">
        <f>IF(OR(F51="",A51=""),"",COUNTIFS($F$2:$F$500,F51,$G$2:$G$500,G51,$A$2:$A$500,"&lt;&gt;"))</f>
        <v/>
      </c>
      <c r="M51" s="12">
        <f>IF(AND(A51="",F51=""),"",IF(F51="","Belum ditempatkan",IF(I51="","CEK ID FIXTURE tidak ada di DAFTAR_FIXTURE",IF(G51="","CEK ZONA NO kosong",IF(K51="zona tidak ada di layout","CEK ZONA NO di luar layout",IF(H51&lt;&gt;K51,"CEK JENIS ZONA",IF(A51="","Zona kosong",IF(B51="","CEK SKU DESCRIPTION kosong","OK"))))))))</f>
        <v/>
      </c>
    </row>
    <row r="52">
      <c r="A52" s="10" t="inlineStr">
        <is>
          <t>10198159</t>
        </is>
      </c>
      <c r="B52" s="11" t="inlineStr">
        <is>
          <t>TANTA NYLON LADLE</t>
        </is>
      </c>
      <c r="C52" s="11" t="n"/>
      <c r="D52" s="11" t="n"/>
      <c r="E52" s="11" t="n"/>
      <c r="F52" s="11" t="inlineStr">
        <is>
          <t>GND-02</t>
        </is>
      </c>
      <c r="G52" s="11" t="n">
        <v>1</v>
      </c>
      <c r="H52" s="11" t="inlineStr">
        <is>
          <t>Gantungan</t>
        </is>
      </c>
      <c r="I52" s="12">
        <f>IF(F52="","",IFERROR(INDEX(DAFTAR_FIXTURE!$B$2:$B$51,MATCH(F52,DAFTAR_FIXTURE!$A$2:$A$51,0)),""))</f>
        <v/>
      </c>
      <c r="J52" s="12">
        <f>IF(A52="","","https://cdn.ruparupa.io/fit-in/850x850/ruparupa-com/image/upload/Products/"&amp;A52&amp;"_1.jpg")</f>
        <v/>
      </c>
      <c r="K52" s="12">
        <f>IF(OR(I52="",G52=""),"",IFERROR(INDEX(LAYOUT!$D$2:$D$34,MATCH(I52&amp;"|"&amp;G52,LAYOUT!$E$2:$E$34,0)),"zona tidak ada di layout"))</f>
        <v/>
      </c>
      <c r="L52" s="12">
        <f>IF(OR(F52="",A52=""),"",COUNTIFS($F$2:$F$500,F52,$G$2:$G$500,G52,$A$2:$A$500,"&lt;&gt;"))</f>
        <v/>
      </c>
      <c r="M52" s="12">
        <f>IF(AND(A52="",F52=""),"",IF(F52="","Belum ditempatkan",IF(I52="","CEK ID FIXTURE tidak ada di DAFTAR_FIXTURE",IF(G52="","CEK ZONA NO kosong",IF(K52="zona tidak ada di layout","CEK ZONA NO di luar layout",IF(H52&lt;&gt;K52,"CEK JENIS ZONA",IF(A52="","Zona kosong",IF(B52="","CEK SKU DESCRIPTION kosong","OK"))))))))</f>
        <v/>
      </c>
    </row>
    <row r="53">
      <c r="A53" s="10" t="inlineStr">
        <is>
          <t>10198160</t>
        </is>
      </c>
      <c r="B53" s="11" t="inlineStr">
        <is>
          <t>TANTA NYLON WHISK</t>
        </is>
      </c>
      <c r="C53" s="11" t="n"/>
      <c r="D53" s="11" t="n"/>
      <c r="E53" s="11" t="n"/>
      <c r="F53" s="11" t="inlineStr">
        <is>
          <t>GND-02</t>
        </is>
      </c>
      <c r="G53" s="11" t="n">
        <v>1</v>
      </c>
      <c r="H53" s="11" t="inlineStr">
        <is>
          <t>Gantungan</t>
        </is>
      </c>
      <c r="I53" s="12">
        <f>IF(F53="","",IFERROR(INDEX(DAFTAR_FIXTURE!$B$2:$B$51,MATCH(F53,DAFTAR_FIXTURE!$A$2:$A$51,0)),""))</f>
        <v/>
      </c>
      <c r="J53" s="12">
        <f>IF(A53="","","https://cdn.ruparupa.io/fit-in/850x850/ruparupa-com/image/upload/Products/"&amp;A53&amp;"_1.jpg")</f>
        <v/>
      </c>
      <c r="K53" s="12">
        <f>IF(OR(I53="",G53=""),"",IFERROR(INDEX(LAYOUT!$D$2:$D$34,MATCH(I53&amp;"|"&amp;G53,LAYOUT!$E$2:$E$34,0)),"zona tidak ada di layout"))</f>
        <v/>
      </c>
      <c r="L53" s="12">
        <f>IF(OR(F53="",A53=""),"",COUNTIFS($F$2:$F$500,F53,$G$2:$G$500,G53,$A$2:$A$500,"&lt;&gt;"))</f>
        <v/>
      </c>
      <c r="M53" s="12">
        <f>IF(AND(A53="",F53=""),"",IF(F53="","Belum ditempatkan",IF(I53="","CEK ID FIXTURE tidak ada di DAFTAR_FIXTURE",IF(G53="","CEK ZONA NO kosong",IF(K53="zona tidak ada di layout","CEK ZONA NO di luar layout",IF(H53&lt;&gt;K53,"CEK JENIS ZONA",IF(A53="","Zona kosong",IF(B53="","CEK SKU DESCRIPTION kosong","OK"))))))))</f>
        <v/>
      </c>
    </row>
    <row r="54">
      <c r="A54" s="10" t="inlineStr">
        <is>
          <t>10198149</t>
        </is>
      </c>
      <c r="B54" s="11" t="inlineStr">
        <is>
          <t>TANTA STRAINER DIA 10CM</t>
        </is>
      </c>
      <c r="C54" s="11" t="n"/>
      <c r="D54" s="11" t="n"/>
      <c r="E54" s="11" t="n"/>
      <c r="F54" s="11" t="inlineStr">
        <is>
          <t>GND-02</t>
        </is>
      </c>
      <c r="G54" s="11" t="n">
        <v>2</v>
      </c>
      <c r="H54" s="11" t="inlineStr">
        <is>
          <t>Gantungan</t>
        </is>
      </c>
      <c r="I54" s="12">
        <f>IF(F54="","",IFERROR(INDEX(DAFTAR_FIXTURE!$B$2:$B$51,MATCH(F54,DAFTAR_FIXTURE!$A$2:$A$51,0)),""))</f>
        <v/>
      </c>
      <c r="J54" s="12">
        <f>IF(A54="","","https://cdn.ruparupa.io/fit-in/850x850/ruparupa-com/image/upload/Products/"&amp;A54&amp;"_1.jpg")</f>
        <v/>
      </c>
      <c r="K54" s="12">
        <f>IF(OR(I54="",G54=""),"",IFERROR(INDEX(LAYOUT!$D$2:$D$34,MATCH(I54&amp;"|"&amp;G54,LAYOUT!$E$2:$E$34,0)),"zona tidak ada di layout"))</f>
        <v/>
      </c>
      <c r="L54" s="12">
        <f>IF(OR(F54="",A54=""),"",COUNTIFS($F$2:$F$500,F54,$G$2:$G$500,G54,$A$2:$A$500,"&lt;&gt;"))</f>
        <v/>
      </c>
      <c r="M54" s="12">
        <f>IF(AND(A54="",F54=""),"",IF(F54="","Belum ditempatkan",IF(I54="","CEK ID FIXTURE tidak ada di DAFTAR_FIXTURE",IF(G54="","CEK ZONA NO kosong",IF(K54="zona tidak ada di layout","CEK ZONA NO di luar layout",IF(H54&lt;&gt;K54,"CEK JENIS ZONA",IF(A54="","Zona kosong",IF(B54="","CEK SKU DESCRIPTION kosong","OK"))))))))</f>
        <v/>
      </c>
    </row>
    <row r="55">
      <c r="A55" s="10" t="inlineStr">
        <is>
          <t>10198150</t>
        </is>
      </c>
      <c r="B55" s="11" t="inlineStr">
        <is>
          <t>TANTA NYLON TONGS 9 INCH</t>
        </is>
      </c>
      <c r="C55" s="11" t="n"/>
      <c r="D55" s="11" t="n"/>
      <c r="E55" s="11" t="n"/>
      <c r="F55" s="11" t="inlineStr">
        <is>
          <t>GND-02</t>
        </is>
      </c>
      <c r="G55" s="11" t="n">
        <v>2</v>
      </c>
      <c r="H55" s="11" t="inlineStr">
        <is>
          <t>Gantungan</t>
        </is>
      </c>
      <c r="I55" s="12">
        <f>IF(F55="","",IFERROR(INDEX(DAFTAR_FIXTURE!$B$2:$B$51,MATCH(F55,DAFTAR_FIXTURE!$A$2:$A$51,0)),""))</f>
        <v/>
      </c>
      <c r="J55" s="12">
        <f>IF(A55="","","https://cdn.ruparupa.io/fit-in/850x850/ruparupa-com/image/upload/Products/"&amp;A55&amp;"_1.jpg")</f>
        <v/>
      </c>
      <c r="K55" s="12">
        <f>IF(OR(I55="",G55=""),"",IFERROR(INDEX(LAYOUT!$D$2:$D$34,MATCH(I55&amp;"|"&amp;G55,LAYOUT!$E$2:$E$34,0)),"zona tidak ada di layout"))</f>
        <v/>
      </c>
      <c r="L55" s="12">
        <f>IF(OR(F55="",A55=""),"",COUNTIFS($F$2:$F$500,F55,$G$2:$G$500,G55,$A$2:$A$500,"&lt;&gt;"))</f>
        <v/>
      </c>
      <c r="M55" s="12">
        <f>IF(AND(A55="",F55=""),"",IF(F55="","Belum ditempatkan",IF(I55="","CEK ID FIXTURE tidak ada di DAFTAR_FIXTURE",IF(G55="","CEK ZONA NO kosong",IF(K55="zona tidak ada di layout","CEK ZONA NO di luar layout",IF(H55&lt;&gt;K55,"CEK JENIS ZONA",IF(A55="","Zona kosong",IF(B55="","CEK SKU DESCRIPTION kosong","OK"))))))))</f>
        <v/>
      </c>
    </row>
    <row r="56">
      <c r="A56" s="10" t="inlineStr">
        <is>
          <t>10198151</t>
        </is>
      </c>
      <c r="B56" s="11" t="inlineStr">
        <is>
          <t>TANTA NYLON TONGS 12 INCH</t>
        </is>
      </c>
      <c r="C56" s="11" t="n"/>
      <c r="D56" s="11" t="n"/>
      <c r="E56" s="11" t="n"/>
      <c r="F56" s="11" t="inlineStr">
        <is>
          <t>GND-02</t>
        </is>
      </c>
      <c r="G56" s="11" t="n">
        <v>2</v>
      </c>
      <c r="H56" s="11" t="inlineStr">
        <is>
          <t>Gantungan</t>
        </is>
      </c>
      <c r="I56" s="12">
        <f>IF(F56="","",IFERROR(INDEX(DAFTAR_FIXTURE!$B$2:$B$51,MATCH(F56,DAFTAR_FIXTURE!$A$2:$A$51,0)),""))</f>
        <v/>
      </c>
      <c r="J56" s="12">
        <f>IF(A56="","","https://cdn.ruparupa.io/fit-in/850x850/ruparupa-com/image/upload/Products/"&amp;A56&amp;"_1.jpg")</f>
        <v/>
      </c>
      <c r="K56" s="12">
        <f>IF(OR(I56="",G56=""),"",IFERROR(INDEX(LAYOUT!$D$2:$D$34,MATCH(I56&amp;"|"&amp;G56,LAYOUT!$E$2:$E$34,0)),"zona tidak ada di layout"))</f>
        <v/>
      </c>
      <c r="L56" s="12">
        <f>IF(OR(F56="",A56=""),"",COUNTIFS($F$2:$F$500,F56,$G$2:$G$500,G56,$A$2:$A$500,"&lt;&gt;"))</f>
        <v/>
      </c>
      <c r="M56" s="12">
        <f>IF(AND(A56="",F56=""),"",IF(F56="","Belum ditempatkan",IF(I56="","CEK ID FIXTURE tidak ada di DAFTAR_FIXTURE",IF(G56="","CEK ZONA NO kosong",IF(K56="zona tidak ada di layout","CEK ZONA NO di luar layout",IF(H56&lt;&gt;K56,"CEK JENIS ZONA",IF(A56="","Zona kosong",IF(B56="","CEK SKU DESCRIPTION kosong","OK"))))))))</f>
        <v/>
      </c>
    </row>
    <row r="57">
      <c r="A57" s="10" t="inlineStr">
        <is>
          <t>10198152</t>
        </is>
      </c>
      <c r="B57" s="11" t="inlineStr">
        <is>
          <t>TANTA S/S SOLID TURNER M</t>
        </is>
      </c>
      <c r="C57" s="11" t="n"/>
      <c r="D57" s="11" t="n"/>
      <c r="E57" s="11" t="n"/>
      <c r="F57" s="11" t="inlineStr">
        <is>
          <t>GND-02</t>
        </is>
      </c>
      <c r="G57" s="11" t="n">
        <v>2</v>
      </c>
      <c r="H57" s="11" t="inlineStr">
        <is>
          <t>Gantungan</t>
        </is>
      </c>
      <c r="I57" s="12">
        <f>IF(F57="","",IFERROR(INDEX(DAFTAR_FIXTURE!$B$2:$B$51,MATCH(F57,DAFTAR_FIXTURE!$A$2:$A$51,0)),""))</f>
        <v/>
      </c>
      <c r="J57" s="12">
        <f>IF(A57="","","https://cdn.ruparupa.io/fit-in/850x850/ruparupa-com/image/upload/Products/"&amp;A57&amp;"_1.jpg")</f>
        <v/>
      </c>
      <c r="K57" s="12">
        <f>IF(OR(I57="",G57=""),"",IFERROR(INDEX(LAYOUT!$D$2:$D$34,MATCH(I57&amp;"|"&amp;G57,LAYOUT!$E$2:$E$34,0)),"zona tidak ada di layout"))</f>
        <v/>
      </c>
      <c r="L57" s="12">
        <f>IF(OR(F57="",A57=""),"",COUNTIFS($F$2:$F$500,F57,$G$2:$G$500,G57,$A$2:$A$500,"&lt;&gt;"))</f>
        <v/>
      </c>
      <c r="M57" s="12">
        <f>IF(AND(A57="",F57=""),"",IF(F57="","Belum ditempatkan",IF(I57="","CEK ID FIXTURE tidak ada di DAFTAR_FIXTURE",IF(G57="","CEK ZONA NO kosong",IF(K57="zona tidak ada di layout","CEK ZONA NO di luar layout",IF(H57&lt;&gt;K57,"CEK JENIS ZONA",IF(A57="","Zona kosong",IF(B57="","CEK SKU DESCRIPTION kosong","OK"))))))))</f>
        <v/>
      </c>
    </row>
    <row r="58">
      <c r="A58" s="10" t="inlineStr">
        <is>
          <t>10198154</t>
        </is>
      </c>
      <c r="B58" s="11" t="inlineStr">
        <is>
          <t>TANTA S/S LADLE</t>
        </is>
      </c>
      <c r="C58" s="11" t="n"/>
      <c r="D58" s="11" t="n"/>
      <c r="E58" s="11" t="n"/>
      <c r="F58" s="11" t="inlineStr">
        <is>
          <t>GND-02</t>
        </is>
      </c>
      <c r="G58" s="11" t="n">
        <v>2</v>
      </c>
      <c r="H58" s="11" t="inlineStr">
        <is>
          <t>Gantungan</t>
        </is>
      </c>
      <c r="I58" s="12">
        <f>IF(F58="","",IFERROR(INDEX(DAFTAR_FIXTURE!$B$2:$B$51,MATCH(F58,DAFTAR_FIXTURE!$A$2:$A$51,0)),""))</f>
        <v/>
      </c>
      <c r="J58" s="12">
        <f>IF(A58="","","https://cdn.ruparupa.io/fit-in/850x850/ruparupa-com/image/upload/Products/"&amp;A58&amp;"_1.jpg")</f>
        <v/>
      </c>
      <c r="K58" s="12">
        <f>IF(OR(I58="",G58=""),"",IFERROR(INDEX(LAYOUT!$D$2:$D$34,MATCH(I58&amp;"|"&amp;G58,LAYOUT!$E$2:$E$34,0)),"zona tidak ada di layout"))</f>
        <v/>
      </c>
      <c r="L58" s="12">
        <f>IF(OR(F58="",A58=""),"",COUNTIFS($F$2:$F$500,F58,$G$2:$G$500,G58,$A$2:$A$500,"&lt;&gt;"))</f>
        <v/>
      </c>
      <c r="M58" s="12">
        <f>IF(AND(A58="",F58=""),"",IF(F58="","Belum ditempatkan",IF(I58="","CEK ID FIXTURE tidak ada di DAFTAR_FIXTURE",IF(G58="","CEK ZONA NO kosong",IF(K58="zona tidak ada di layout","CEK ZONA NO di luar layout",IF(H58&lt;&gt;K58,"CEK JENIS ZONA",IF(A58="","Zona kosong",IF(B58="","CEK SKU DESCRIPTION kosong","OK"))))))))</f>
        <v/>
      </c>
    </row>
    <row r="59">
      <c r="A59" s="10" t="inlineStr">
        <is>
          <t>10198156</t>
        </is>
      </c>
      <c r="B59" s="11" t="inlineStr">
        <is>
          <t>TANTA NYLON SLOTTED TURNER M</t>
        </is>
      </c>
      <c r="C59" s="11" t="n"/>
      <c r="D59" s="11" t="n"/>
      <c r="E59" s="11" t="n"/>
      <c r="F59" s="11" t="inlineStr">
        <is>
          <t>GND-02</t>
        </is>
      </c>
      <c r="G59" s="11" t="n">
        <v>2</v>
      </c>
      <c r="H59" s="11" t="inlineStr">
        <is>
          <t>Gantungan</t>
        </is>
      </c>
      <c r="I59" s="12">
        <f>IF(F59="","",IFERROR(INDEX(DAFTAR_FIXTURE!$B$2:$B$51,MATCH(F59,DAFTAR_FIXTURE!$A$2:$A$51,0)),""))</f>
        <v/>
      </c>
      <c r="J59" s="12">
        <f>IF(A59="","","https://cdn.ruparupa.io/fit-in/850x850/ruparupa-com/image/upload/Products/"&amp;A59&amp;"_1.jpg")</f>
        <v/>
      </c>
      <c r="K59" s="12">
        <f>IF(OR(I59="",G59=""),"",IFERROR(INDEX(LAYOUT!$D$2:$D$34,MATCH(I59&amp;"|"&amp;G59,LAYOUT!$E$2:$E$34,0)),"zona tidak ada di layout"))</f>
        <v/>
      </c>
      <c r="L59" s="12">
        <f>IF(OR(F59="",A59=""),"",COUNTIFS($F$2:$F$500,F59,$G$2:$G$500,G59,$A$2:$A$500,"&lt;&gt;"))</f>
        <v/>
      </c>
      <c r="M59" s="12">
        <f>IF(AND(A59="",F59=""),"",IF(F59="","Belum ditempatkan",IF(I59="","CEK ID FIXTURE tidak ada di DAFTAR_FIXTURE",IF(G59="","CEK ZONA NO kosong",IF(K59="zona tidak ada di layout","CEK ZONA NO di luar layout",IF(H59&lt;&gt;K59,"CEK JENIS ZONA",IF(A59="","Zona kosong",IF(B59="","CEK SKU DESCRIPTION kosong","OK"))))))))</f>
        <v/>
      </c>
    </row>
    <row r="60">
      <c r="A60" s="10" t="inlineStr">
        <is>
          <t>10198157</t>
        </is>
      </c>
      <c r="B60" s="11" t="inlineStr">
        <is>
          <t>TANTA NYLON SOLID TURNER L</t>
        </is>
      </c>
      <c r="C60" s="11" t="n"/>
      <c r="D60" s="11" t="n"/>
      <c r="E60" s="11" t="n"/>
      <c r="F60" s="11" t="inlineStr">
        <is>
          <t>GND-02</t>
        </is>
      </c>
      <c r="G60" s="11" t="n">
        <v>2</v>
      </c>
      <c r="H60" s="11" t="inlineStr">
        <is>
          <t>Gantungan</t>
        </is>
      </c>
      <c r="I60" s="12">
        <f>IF(F60="","",IFERROR(INDEX(DAFTAR_FIXTURE!$B$2:$B$51,MATCH(F60,DAFTAR_FIXTURE!$A$2:$A$51,0)),""))</f>
        <v/>
      </c>
      <c r="J60" s="12">
        <f>IF(A60="","","https://cdn.ruparupa.io/fit-in/850x850/ruparupa-com/image/upload/Products/"&amp;A60&amp;"_1.jpg")</f>
        <v/>
      </c>
      <c r="K60" s="12">
        <f>IF(OR(I60="",G60=""),"",IFERROR(INDEX(LAYOUT!$D$2:$D$34,MATCH(I60&amp;"|"&amp;G60,LAYOUT!$E$2:$E$34,0)),"zona tidak ada di layout"))</f>
        <v/>
      </c>
      <c r="L60" s="12">
        <f>IF(OR(F60="",A60=""),"",COUNTIFS($F$2:$F$500,F60,$G$2:$G$500,G60,$A$2:$A$500,"&lt;&gt;"))</f>
        <v/>
      </c>
      <c r="M60" s="12">
        <f>IF(AND(A60="",F60=""),"",IF(F60="","Belum ditempatkan",IF(I60="","CEK ID FIXTURE tidak ada di DAFTAR_FIXTURE",IF(G60="","CEK ZONA NO kosong",IF(K60="zona tidak ada di layout","CEK ZONA NO di luar layout",IF(H60&lt;&gt;K60,"CEK JENIS ZONA",IF(A60="","Zona kosong",IF(B60="","CEK SKU DESCRIPTION kosong","OK"))))))))</f>
        <v/>
      </c>
    </row>
    <row r="61">
      <c r="A61" s="10" t="inlineStr">
        <is>
          <t>10198159</t>
        </is>
      </c>
      <c r="B61" s="11" t="inlineStr">
        <is>
          <t>TANTA NYLON LADLE</t>
        </is>
      </c>
      <c r="C61" s="11" t="n"/>
      <c r="D61" s="11" t="n"/>
      <c r="E61" s="11" t="n"/>
      <c r="F61" s="11" t="inlineStr">
        <is>
          <t>GND-02</t>
        </is>
      </c>
      <c r="G61" s="11" t="n">
        <v>2</v>
      </c>
      <c r="H61" s="11" t="inlineStr">
        <is>
          <t>Gantungan</t>
        </is>
      </c>
      <c r="I61" s="12">
        <f>IF(F61="","",IFERROR(INDEX(DAFTAR_FIXTURE!$B$2:$B$51,MATCH(F61,DAFTAR_FIXTURE!$A$2:$A$51,0)),""))</f>
        <v/>
      </c>
      <c r="J61" s="12">
        <f>IF(A61="","","https://cdn.ruparupa.io/fit-in/850x850/ruparupa-com/image/upload/Products/"&amp;A61&amp;"_1.jpg")</f>
        <v/>
      </c>
      <c r="K61" s="12">
        <f>IF(OR(I61="",G61=""),"",IFERROR(INDEX(LAYOUT!$D$2:$D$34,MATCH(I61&amp;"|"&amp;G61,LAYOUT!$E$2:$E$34,0)),"zona tidak ada di layout"))</f>
        <v/>
      </c>
      <c r="L61" s="12">
        <f>IF(OR(F61="",A61=""),"",COUNTIFS($F$2:$F$500,F61,$G$2:$G$500,G61,$A$2:$A$500,"&lt;&gt;"))</f>
        <v/>
      </c>
      <c r="M61" s="12">
        <f>IF(AND(A61="",F61=""),"",IF(F61="","Belum ditempatkan",IF(I61="","CEK ID FIXTURE tidak ada di DAFTAR_FIXTURE",IF(G61="","CEK ZONA NO kosong",IF(K61="zona tidak ada di layout","CEK ZONA NO di luar layout",IF(H61&lt;&gt;K61,"CEK JENIS ZONA",IF(A61="","Zona kosong",IF(B61="","CEK SKU DESCRIPTION kosong","OK"))))))))</f>
        <v/>
      </c>
    </row>
    <row r="62">
      <c r="A62" s="10" t="inlineStr">
        <is>
          <t>10198160</t>
        </is>
      </c>
      <c r="B62" s="11" t="inlineStr">
        <is>
          <t>TANTA NYLON WHISK</t>
        </is>
      </c>
      <c r="C62" s="11" t="n"/>
      <c r="D62" s="11" t="n"/>
      <c r="E62" s="11" t="n"/>
      <c r="F62" s="11" t="inlineStr">
        <is>
          <t>GND-02</t>
        </is>
      </c>
      <c r="G62" s="11" t="n">
        <v>2</v>
      </c>
      <c r="H62" s="11" t="inlineStr">
        <is>
          <t>Gantungan</t>
        </is>
      </c>
      <c r="I62" s="12">
        <f>IF(F62="","",IFERROR(INDEX(DAFTAR_FIXTURE!$B$2:$B$51,MATCH(F62,DAFTAR_FIXTURE!$A$2:$A$51,0)),""))</f>
        <v/>
      </c>
      <c r="J62" s="12">
        <f>IF(A62="","","https://cdn.ruparupa.io/fit-in/850x850/ruparupa-com/image/upload/Products/"&amp;A62&amp;"_1.jpg")</f>
        <v/>
      </c>
      <c r="K62" s="12">
        <f>IF(OR(I62="",G62=""),"",IFERROR(INDEX(LAYOUT!$D$2:$D$34,MATCH(I62&amp;"|"&amp;G62,LAYOUT!$E$2:$E$34,0)),"zona tidak ada di layout"))</f>
        <v/>
      </c>
      <c r="L62" s="12">
        <f>IF(OR(F62="",A62=""),"",COUNTIFS($F$2:$F$500,F62,$G$2:$G$500,G62,$A$2:$A$500,"&lt;&gt;"))</f>
        <v/>
      </c>
      <c r="M62" s="12">
        <f>IF(AND(A62="",F62=""),"",IF(F62="","Belum ditempatkan",IF(I62="","CEK ID FIXTURE tidak ada di DAFTAR_FIXTURE",IF(G62="","CEK ZONA NO kosong",IF(K62="zona tidak ada di layout","CEK ZONA NO di luar layout",IF(H62&lt;&gt;K62,"CEK JENIS ZONA",IF(A62="","Zona kosong",IF(B62="","CEK SKU DESCRIPTION kosong","OK"))))))))</f>
        <v/>
      </c>
    </row>
    <row r="63">
      <c r="A63" s="10" t="inlineStr">
        <is>
          <t>10198149</t>
        </is>
      </c>
      <c r="B63" s="11" t="inlineStr">
        <is>
          <t>TANTA STRAINER DIA 10CM</t>
        </is>
      </c>
      <c r="C63" s="11" t="n"/>
      <c r="D63" s="11" t="n"/>
      <c r="E63" s="11" t="n"/>
      <c r="F63" s="11" t="inlineStr">
        <is>
          <t>GND-02</t>
        </is>
      </c>
      <c r="G63" s="11" t="n">
        <v>3</v>
      </c>
      <c r="H63" s="11" t="inlineStr">
        <is>
          <t>Gantungan</t>
        </is>
      </c>
      <c r="I63" s="12">
        <f>IF(F63="","",IFERROR(INDEX(DAFTAR_FIXTURE!$B$2:$B$51,MATCH(F63,DAFTAR_FIXTURE!$A$2:$A$51,0)),""))</f>
        <v/>
      </c>
      <c r="J63" s="12">
        <f>IF(A63="","","https://cdn.ruparupa.io/fit-in/850x850/ruparupa-com/image/upload/Products/"&amp;A63&amp;"_1.jpg")</f>
        <v/>
      </c>
      <c r="K63" s="12">
        <f>IF(OR(I63="",G63=""),"",IFERROR(INDEX(LAYOUT!$D$2:$D$34,MATCH(I63&amp;"|"&amp;G63,LAYOUT!$E$2:$E$34,0)),"zona tidak ada di layout"))</f>
        <v/>
      </c>
      <c r="L63" s="12">
        <f>IF(OR(F63="",A63=""),"",COUNTIFS($F$2:$F$500,F63,$G$2:$G$500,G63,$A$2:$A$500,"&lt;&gt;"))</f>
        <v/>
      </c>
      <c r="M63" s="12">
        <f>IF(AND(A63="",F63=""),"",IF(F63="","Belum ditempatkan",IF(I63="","CEK ID FIXTURE tidak ada di DAFTAR_FIXTURE",IF(G63="","CEK ZONA NO kosong",IF(K63="zona tidak ada di layout","CEK ZONA NO di luar layout",IF(H63&lt;&gt;K63,"CEK JENIS ZONA",IF(A63="","Zona kosong",IF(B63="","CEK SKU DESCRIPTION kosong","OK"))))))))</f>
        <v/>
      </c>
    </row>
    <row r="64">
      <c r="A64" s="10" t="inlineStr">
        <is>
          <t>10198150</t>
        </is>
      </c>
      <c r="B64" s="11" t="inlineStr">
        <is>
          <t>TANTA NYLON TONGS 9 INCH</t>
        </is>
      </c>
      <c r="C64" s="11" t="n"/>
      <c r="D64" s="11" t="n"/>
      <c r="E64" s="11" t="n"/>
      <c r="F64" s="11" t="inlineStr">
        <is>
          <t>GND-02</t>
        </is>
      </c>
      <c r="G64" s="11" t="n">
        <v>3</v>
      </c>
      <c r="H64" s="11" t="inlineStr">
        <is>
          <t>Gantungan</t>
        </is>
      </c>
      <c r="I64" s="12">
        <f>IF(F64="","",IFERROR(INDEX(DAFTAR_FIXTURE!$B$2:$B$51,MATCH(F64,DAFTAR_FIXTURE!$A$2:$A$51,0)),""))</f>
        <v/>
      </c>
      <c r="J64" s="12">
        <f>IF(A64="","","https://cdn.ruparupa.io/fit-in/850x850/ruparupa-com/image/upload/Products/"&amp;A64&amp;"_1.jpg")</f>
        <v/>
      </c>
      <c r="K64" s="12">
        <f>IF(OR(I64="",G64=""),"",IFERROR(INDEX(LAYOUT!$D$2:$D$34,MATCH(I64&amp;"|"&amp;G64,LAYOUT!$E$2:$E$34,0)),"zona tidak ada di layout"))</f>
        <v/>
      </c>
      <c r="L64" s="12">
        <f>IF(OR(F64="",A64=""),"",COUNTIFS($F$2:$F$500,F64,$G$2:$G$500,G64,$A$2:$A$500,"&lt;&gt;"))</f>
        <v/>
      </c>
      <c r="M64" s="12">
        <f>IF(AND(A64="",F64=""),"",IF(F64="","Belum ditempatkan",IF(I64="","CEK ID FIXTURE tidak ada di DAFTAR_FIXTURE",IF(G64="","CEK ZONA NO kosong",IF(K64="zona tidak ada di layout","CEK ZONA NO di luar layout",IF(H64&lt;&gt;K64,"CEK JENIS ZONA",IF(A64="","Zona kosong",IF(B64="","CEK SKU DESCRIPTION kosong","OK"))))))))</f>
        <v/>
      </c>
    </row>
    <row r="65">
      <c r="A65" s="10" t="inlineStr">
        <is>
          <t>10198151</t>
        </is>
      </c>
      <c r="B65" s="11" t="inlineStr">
        <is>
          <t>TANTA NYLON TONGS 12 INCH</t>
        </is>
      </c>
      <c r="C65" s="11" t="n"/>
      <c r="D65" s="11" t="n"/>
      <c r="E65" s="11" t="n"/>
      <c r="F65" s="11" t="inlineStr">
        <is>
          <t>GND-02</t>
        </is>
      </c>
      <c r="G65" s="11" t="n">
        <v>3</v>
      </c>
      <c r="H65" s="11" t="inlineStr">
        <is>
          <t>Gantungan</t>
        </is>
      </c>
      <c r="I65" s="12">
        <f>IF(F65="","",IFERROR(INDEX(DAFTAR_FIXTURE!$B$2:$B$51,MATCH(F65,DAFTAR_FIXTURE!$A$2:$A$51,0)),""))</f>
        <v/>
      </c>
      <c r="J65" s="12">
        <f>IF(A65="","","https://cdn.ruparupa.io/fit-in/850x850/ruparupa-com/image/upload/Products/"&amp;A65&amp;"_1.jpg")</f>
        <v/>
      </c>
      <c r="K65" s="12">
        <f>IF(OR(I65="",G65=""),"",IFERROR(INDEX(LAYOUT!$D$2:$D$34,MATCH(I65&amp;"|"&amp;G65,LAYOUT!$E$2:$E$34,0)),"zona tidak ada di layout"))</f>
        <v/>
      </c>
      <c r="L65" s="12">
        <f>IF(OR(F65="",A65=""),"",COUNTIFS($F$2:$F$500,F65,$G$2:$G$500,G65,$A$2:$A$500,"&lt;&gt;"))</f>
        <v/>
      </c>
      <c r="M65" s="12">
        <f>IF(AND(A65="",F65=""),"",IF(F65="","Belum ditempatkan",IF(I65="","CEK ID FIXTURE tidak ada di DAFTAR_FIXTURE",IF(G65="","CEK ZONA NO kosong",IF(K65="zona tidak ada di layout","CEK ZONA NO di luar layout",IF(H65&lt;&gt;K65,"CEK JENIS ZONA",IF(A65="","Zona kosong",IF(B65="","CEK SKU DESCRIPTION kosong","OK"))))))))</f>
        <v/>
      </c>
    </row>
    <row r="66">
      <c r="A66" s="10" t="inlineStr">
        <is>
          <t>10198152</t>
        </is>
      </c>
      <c r="B66" s="11" t="inlineStr">
        <is>
          <t>TANTA S/S SOLID TURNER M</t>
        </is>
      </c>
      <c r="C66" s="11" t="n"/>
      <c r="D66" s="11" t="n"/>
      <c r="E66" s="11" t="n"/>
      <c r="F66" s="11" t="inlineStr">
        <is>
          <t>GND-02</t>
        </is>
      </c>
      <c r="G66" s="11" t="n">
        <v>3</v>
      </c>
      <c r="H66" s="11" t="inlineStr">
        <is>
          <t>Gantungan</t>
        </is>
      </c>
      <c r="I66" s="12">
        <f>IF(F66="","",IFERROR(INDEX(DAFTAR_FIXTURE!$B$2:$B$51,MATCH(F66,DAFTAR_FIXTURE!$A$2:$A$51,0)),""))</f>
        <v/>
      </c>
      <c r="J66" s="12">
        <f>IF(A66="","","https://cdn.ruparupa.io/fit-in/850x850/ruparupa-com/image/upload/Products/"&amp;A66&amp;"_1.jpg")</f>
        <v/>
      </c>
      <c r="K66" s="12">
        <f>IF(OR(I66="",G66=""),"",IFERROR(INDEX(LAYOUT!$D$2:$D$34,MATCH(I66&amp;"|"&amp;G66,LAYOUT!$E$2:$E$34,0)),"zona tidak ada di layout"))</f>
        <v/>
      </c>
      <c r="L66" s="12">
        <f>IF(OR(F66="",A66=""),"",COUNTIFS($F$2:$F$500,F66,$G$2:$G$500,G66,$A$2:$A$500,"&lt;&gt;"))</f>
        <v/>
      </c>
      <c r="M66" s="12">
        <f>IF(AND(A66="",F66=""),"",IF(F66="","Belum ditempatkan",IF(I66="","CEK ID FIXTURE tidak ada di DAFTAR_FIXTURE",IF(G66="","CEK ZONA NO kosong",IF(K66="zona tidak ada di layout","CEK ZONA NO di luar layout",IF(H66&lt;&gt;K66,"CEK JENIS ZONA",IF(A66="","Zona kosong",IF(B66="","CEK SKU DESCRIPTION kosong","OK"))))))))</f>
        <v/>
      </c>
    </row>
    <row r="67">
      <c r="A67" s="10" t="inlineStr">
        <is>
          <t>10198154</t>
        </is>
      </c>
      <c r="B67" s="11" t="inlineStr">
        <is>
          <t>TANTA S/S LADLE</t>
        </is>
      </c>
      <c r="C67" s="11" t="n"/>
      <c r="D67" s="11" t="n"/>
      <c r="E67" s="11" t="n"/>
      <c r="F67" s="11" t="inlineStr">
        <is>
          <t>GND-02</t>
        </is>
      </c>
      <c r="G67" s="11" t="n">
        <v>3</v>
      </c>
      <c r="H67" s="11" t="inlineStr">
        <is>
          <t>Gantungan</t>
        </is>
      </c>
      <c r="I67" s="12">
        <f>IF(F67="","",IFERROR(INDEX(DAFTAR_FIXTURE!$B$2:$B$51,MATCH(F67,DAFTAR_FIXTURE!$A$2:$A$51,0)),""))</f>
        <v/>
      </c>
      <c r="J67" s="12">
        <f>IF(A67="","","https://cdn.ruparupa.io/fit-in/850x850/ruparupa-com/image/upload/Products/"&amp;A67&amp;"_1.jpg")</f>
        <v/>
      </c>
      <c r="K67" s="12">
        <f>IF(OR(I67="",G67=""),"",IFERROR(INDEX(LAYOUT!$D$2:$D$34,MATCH(I67&amp;"|"&amp;G67,LAYOUT!$E$2:$E$34,0)),"zona tidak ada di layout"))</f>
        <v/>
      </c>
      <c r="L67" s="12">
        <f>IF(OR(F67="",A67=""),"",COUNTIFS($F$2:$F$500,F67,$G$2:$G$500,G67,$A$2:$A$500,"&lt;&gt;"))</f>
        <v/>
      </c>
      <c r="M67" s="12">
        <f>IF(AND(A67="",F67=""),"",IF(F67="","Belum ditempatkan",IF(I67="","CEK ID FIXTURE tidak ada di DAFTAR_FIXTURE",IF(G67="","CEK ZONA NO kosong",IF(K67="zona tidak ada di layout","CEK ZONA NO di luar layout",IF(H67&lt;&gt;K67,"CEK JENIS ZONA",IF(A67="","Zona kosong",IF(B67="","CEK SKU DESCRIPTION kosong","OK"))))))))</f>
        <v/>
      </c>
    </row>
    <row r="68">
      <c r="A68" s="10" t="inlineStr">
        <is>
          <t>10198156</t>
        </is>
      </c>
      <c r="B68" s="11" t="inlineStr">
        <is>
          <t>TANTA NYLON SLOTTED TURNER M</t>
        </is>
      </c>
      <c r="C68" s="11" t="n"/>
      <c r="D68" s="11" t="n"/>
      <c r="E68" s="11" t="n"/>
      <c r="F68" s="11" t="inlineStr">
        <is>
          <t>GND-02</t>
        </is>
      </c>
      <c r="G68" s="11" t="n">
        <v>3</v>
      </c>
      <c r="H68" s="11" t="inlineStr">
        <is>
          <t>Gantungan</t>
        </is>
      </c>
      <c r="I68" s="12">
        <f>IF(F68="","",IFERROR(INDEX(DAFTAR_FIXTURE!$B$2:$B$51,MATCH(F68,DAFTAR_FIXTURE!$A$2:$A$51,0)),""))</f>
        <v/>
      </c>
      <c r="J68" s="12">
        <f>IF(A68="","","https://cdn.ruparupa.io/fit-in/850x850/ruparupa-com/image/upload/Products/"&amp;A68&amp;"_1.jpg")</f>
        <v/>
      </c>
      <c r="K68" s="12">
        <f>IF(OR(I68="",G68=""),"",IFERROR(INDEX(LAYOUT!$D$2:$D$34,MATCH(I68&amp;"|"&amp;G68,LAYOUT!$E$2:$E$34,0)),"zona tidak ada di layout"))</f>
        <v/>
      </c>
      <c r="L68" s="12">
        <f>IF(OR(F68="",A68=""),"",COUNTIFS($F$2:$F$500,F68,$G$2:$G$500,G68,$A$2:$A$500,"&lt;&gt;"))</f>
        <v/>
      </c>
      <c r="M68" s="12">
        <f>IF(AND(A68="",F68=""),"",IF(F68="","Belum ditempatkan",IF(I68="","CEK ID FIXTURE tidak ada di DAFTAR_FIXTURE",IF(G68="","CEK ZONA NO kosong",IF(K68="zona tidak ada di layout","CEK ZONA NO di luar layout",IF(H68&lt;&gt;K68,"CEK JENIS ZONA",IF(A68="","Zona kosong",IF(B68="","CEK SKU DESCRIPTION kosong","OK"))))))))</f>
        <v/>
      </c>
    </row>
    <row r="69">
      <c r="A69" s="10" t="inlineStr">
        <is>
          <t>10198157</t>
        </is>
      </c>
      <c r="B69" s="11" t="inlineStr">
        <is>
          <t>TANTA NYLON SOLID TURNER L</t>
        </is>
      </c>
      <c r="C69" s="11" t="n"/>
      <c r="D69" s="11" t="n"/>
      <c r="E69" s="11" t="n"/>
      <c r="F69" s="11" t="inlineStr">
        <is>
          <t>GND-02</t>
        </is>
      </c>
      <c r="G69" s="11" t="n">
        <v>3</v>
      </c>
      <c r="H69" s="11" t="inlineStr">
        <is>
          <t>Gantungan</t>
        </is>
      </c>
      <c r="I69" s="12">
        <f>IF(F69="","",IFERROR(INDEX(DAFTAR_FIXTURE!$B$2:$B$51,MATCH(F69,DAFTAR_FIXTURE!$A$2:$A$51,0)),""))</f>
        <v/>
      </c>
      <c r="J69" s="12">
        <f>IF(A69="","","https://cdn.ruparupa.io/fit-in/850x850/ruparupa-com/image/upload/Products/"&amp;A69&amp;"_1.jpg")</f>
        <v/>
      </c>
      <c r="K69" s="12">
        <f>IF(OR(I69="",G69=""),"",IFERROR(INDEX(LAYOUT!$D$2:$D$34,MATCH(I69&amp;"|"&amp;G69,LAYOUT!$E$2:$E$34,0)),"zona tidak ada di layout"))</f>
        <v/>
      </c>
      <c r="L69" s="12">
        <f>IF(OR(F69="",A69=""),"",COUNTIFS($F$2:$F$500,F69,$G$2:$G$500,G69,$A$2:$A$500,"&lt;&gt;"))</f>
        <v/>
      </c>
      <c r="M69" s="12">
        <f>IF(AND(A69="",F69=""),"",IF(F69="","Belum ditempatkan",IF(I69="","CEK ID FIXTURE tidak ada di DAFTAR_FIXTURE",IF(G69="","CEK ZONA NO kosong",IF(K69="zona tidak ada di layout","CEK ZONA NO di luar layout",IF(H69&lt;&gt;K69,"CEK JENIS ZONA",IF(A69="","Zona kosong",IF(B69="","CEK SKU DESCRIPTION kosong","OK"))))))))</f>
        <v/>
      </c>
    </row>
    <row r="70">
      <c r="A70" s="10" t="inlineStr">
        <is>
          <t>10198159</t>
        </is>
      </c>
      <c r="B70" s="11" t="inlineStr">
        <is>
          <t>TANTA NYLON LADLE</t>
        </is>
      </c>
      <c r="C70" s="11" t="n"/>
      <c r="D70" s="11" t="n"/>
      <c r="E70" s="11" t="n"/>
      <c r="F70" s="11" t="inlineStr">
        <is>
          <t>GND-02</t>
        </is>
      </c>
      <c r="G70" s="11" t="n">
        <v>3</v>
      </c>
      <c r="H70" s="11" t="inlineStr">
        <is>
          <t>Gantungan</t>
        </is>
      </c>
      <c r="I70" s="12">
        <f>IF(F70="","",IFERROR(INDEX(DAFTAR_FIXTURE!$B$2:$B$51,MATCH(F70,DAFTAR_FIXTURE!$A$2:$A$51,0)),""))</f>
        <v/>
      </c>
      <c r="J70" s="12">
        <f>IF(A70="","","https://cdn.ruparupa.io/fit-in/850x850/ruparupa-com/image/upload/Products/"&amp;A70&amp;"_1.jpg")</f>
        <v/>
      </c>
      <c r="K70" s="12">
        <f>IF(OR(I70="",G70=""),"",IFERROR(INDEX(LAYOUT!$D$2:$D$34,MATCH(I70&amp;"|"&amp;G70,LAYOUT!$E$2:$E$34,0)),"zona tidak ada di layout"))</f>
        <v/>
      </c>
      <c r="L70" s="12">
        <f>IF(OR(F70="",A70=""),"",COUNTIFS($F$2:$F$500,F70,$G$2:$G$500,G70,$A$2:$A$500,"&lt;&gt;"))</f>
        <v/>
      </c>
      <c r="M70" s="12">
        <f>IF(AND(A70="",F70=""),"",IF(F70="","Belum ditempatkan",IF(I70="","CEK ID FIXTURE tidak ada di DAFTAR_FIXTURE",IF(G70="","CEK ZONA NO kosong",IF(K70="zona tidak ada di layout","CEK ZONA NO di luar layout",IF(H70&lt;&gt;K70,"CEK JENIS ZONA",IF(A70="","Zona kosong",IF(B70="","CEK SKU DESCRIPTION kosong","OK"))))))))</f>
        <v/>
      </c>
    </row>
    <row r="71">
      <c r="A71" s="10" t="inlineStr">
        <is>
          <t>10198160</t>
        </is>
      </c>
      <c r="B71" s="11" t="inlineStr">
        <is>
          <t>TANTA NYLON WHISK</t>
        </is>
      </c>
      <c r="C71" s="11" t="n"/>
      <c r="D71" s="11" t="n"/>
      <c r="E71" s="11" t="n"/>
      <c r="F71" s="11" t="inlineStr">
        <is>
          <t>GND-02</t>
        </is>
      </c>
      <c r="G71" s="11" t="n">
        <v>3</v>
      </c>
      <c r="H71" s="11" t="inlineStr">
        <is>
          <t>Gantungan</t>
        </is>
      </c>
      <c r="I71" s="12">
        <f>IF(F71="","",IFERROR(INDEX(DAFTAR_FIXTURE!$B$2:$B$51,MATCH(F71,DAFTAR_FIXTURE!$A$2:$A$51,0)),""))</f>
        <v/>
      </c>
      <c r="J71" s="12">
        <f>IF(A71="","","https://cdn.ruparupa.io/fit-in/850x850/ruparupa-com/image/upload/Products/"&amp;A71&amp;"_1.jpg")</f>
        <v/>
      </c>
      <c r="K71" s="12">
        <f>IF(OR(I71="",G71=""),"",IFERROR(INDEX(LAYOUT!$D$2:$D$34,MATCH(I71&amp;"|"&amp;G71,LAYOUT!$E$2:$E$34,0)),"zona tidak ada di layout"))</f>
        <v/>
      </c>
      <c r="L71" s="12">
        <f>IF(OR(F71="",A71=""),"",COUNTIFS($F$2:$F$500,F71,$G$2:$G$500,G71,$A$2:$A$500,"&lt;&gt;"))</f>
        <v/>
      </c>
      <c r="M71" s="12">
        <f>IF(AND(A71="",F71=""),"",IF(F71="","Belum ditempatkan",IF(I71="","CEK ID FIXTURE tidak ada di DAFTAR_FIXTURE",IF(G71="","CEK ZONA NO kosong",IF(K71="zona tidak ada di layout","CEK ZONA NO di luar layout",IF(H71&lt;&gt;K71,"CEK JENIS ZONA",IF(A71="","Zona kosong",IF(B71="","CEK SKU DESCRIPTION kosong","OK"))))))))</f>
        <v/>
      </c>
    </row>
    <row r="72">
      <c r="A72" s="10" t="inlineStr">
        <is>
          <t>10198149</t>
        </is>
      </c>
      <c r="B72" s="11" t="inlineStr">
        <is>
          <t>TANTA STRAINER DIA 10CM</t>
        </is>
      </c>
      <c r="C72" s="11" t="n"/>
      <c r="D72" s="11" t="n"/>
      <c r="E72" s="11" t="n"/>
      <c r="F72" s="11" t="inlineStr">
        <is>
          <t>GND-02</t>
        </is>
      </c>
      <c r="G72" s="11" t="n">
        <v>4</v>
      </c>
      <c r="H72" s="11" t="inlineStr">
        <is>
          <t>Gantungan</t>
        </is>
      </c>
      <c r="I72" s="12">
        <f>IF(F72="","",IFERROR(INDEX(DAFTAR_FIXTURE!$B$2:$B$51,MATCH(F72,DAFTAR_FIXTURE!$A$2:$A$51,0)),""))</f>
        <v/>
      </c>
      <c r="J72" s="12">
        <f>IF(A72="","","https://cdn.ruparupa.io/fit-in/850x850/ruparupa-com/image/upload/Products/"&amp;A72&amp;"_1.jpg")</f>
        <v/>
      </c>
      <c r="K72" s="12">
        <f>IF(OR(I72="",G72=""),"",IFERROR(INDEX(LAYOUT!$D$2:$D$34,MATCH(I72&amp;"|"&amp;G72,LAYOUT!$E$2:$E$34,0)),"zona tidak ada di layout"))</f>
        <v/>
      </c>
      <c r="L72" s="12">
        <f>IF(OR(F72="",A72=""),"",COUNTIFS($F$2:$F$500,F72,$G$2:$G$500,G72,$A$2:$A$500,"&lt;&gt;"))</f>
        <v/>
      </c>
      <c r="M72" s="12">
        <f>IF(AND(A72="",F72=""),"",IF(F72="","Belum ditempatkan",IF(I72="","CEK ID FIXTURE tidak ada di DAFTAR_FIXTURE",IF(G72="","CEK ZONA NO kosong",IF(K72="zona tidak ada di layout","CEK ZONA NO di luar layout",IF(H72&lt;&gt;K72,"CEK JENIS ZONA",IF(A72="","Zona kosong",IF(B72="","CEK SKU DESCRIPTION kosong","OK"))))))))</f>
        <v/>
      </c>
    </row>
    <row r="73">
      <c r="A73" s="10" t="inlineStr">
        <is>
          <t>10198150</t>
        </is>
      </c>
      <c r="B73" s="11" t="inlineStr">
        <is>
          <t>TANTA NYLON TONGS 9 INCH</t>
        </is>
      </c>
      <c r="C73" s="11" t="n"/>
      <c r="D73" s="11" t="n"/>
      <c r="E73" s="11" t="n"/>
      <c r="F73" s="11" t="inlineStr">
        <is>
          <t>GND-02</t>
        </is>
      </c>
      <c r="G73" s="11" t="n">
        <v>4</v>
      </c>
      <c r="H73" s="11" t="inlineStr">
        <is>
          <t>Gantungan</t>
        </is>
      </c>
      <c r="I73" s="12">
        <f>IF(F73="","",IFERROR(INDEX(DAFTAR_FIXTURE!$B$2:$B$51,MATCH(F73,DAFTAR_FIXTURE!$A$2:$A$51,0)),""))</f>
        <v/>
      </c>
      <c r="J73" s="12">
        <f>IF(A73="","","https://cdn.ruparupa.io/fit-in/850x850/ruparupa-com/image/upload/Products/"&amp;A73&amp;"_1.jpg")</f>
        <v/>
      </c>
      <c r="K73" s="12">
        <f>IF(OR(I73="",G73=""),"",IFERROR(INDEX(LAYOUT!$D$2:$D$34,MATCH(I73&amp;"|"&amp;G73,LAYOUT!$E$2:$E$34,0)),"zona tidak ada di layout"))</f>
        <v/>
      </c>
      <c r="L73" s="12">
        <f>IF(OR(F73="",A73=""),"",COUNTIFS($F$2:$F$500,F73,$G$2:$G$500,G73,$A$2:$A$500,"&lt;&gt;"))</f>
        <v/>
      </c>
      <c r="M73" s="12">
        <f>IF(AND(A73="",F73=""),"",IF(F73="","Belum ditempatkan",IF(I73="","CEK ID FIXTURE tidak ada di DAFTAR_FIXTURE",IF(G73="","CEK ZONA NO kosong",IF(K73="zona tidak ada di layout","CEK ZONA NO di luar layout",IF(H73&lt;&gt;K73,"CEK JENIS ZONA",IF(A73="","Zona kosong",IF(B73="","CEK SKU DESCRIPTION kosong","OK"))))))))</f>
        <v/>
      </c>
    </row>
    <row r="74">
      <c r="A74" s="10" t="inlineStr">
        <is>
          <t>10198151</t>
        </is>
      </c>
      <c r="B74" s="11" t="inlineStr">
        <is>
          <t>TANTA NYLON TONGS 12 INCH</t>
        </is>
      </c>
      <c r="C74" s="11" t="n"/>
      <c r="D74" s="11" t="n"/>
      <c r="E74" s="11" t="n"/>
      <c r="F74" s="11" t="inlineStr">
        <is>
          <t>GND-02</t>
        </is>
      </c>
      <c r="G74" s="11" t="n">
        <v>4</v>
      </c>
      <c r="H74" s="11" t="inlineStr">
        <is>
          <t>Gantungan</t>
        </is>
      </c>
      <c r="I74" s="12">
        <f>IF(F74="","",IFERROR(INDEX(DAFTAR_FIXTURE!$B$2:$B$51,MATCH(F74,DAFTAR_FIXTURE!$A$2:$A$51,0)),""))</f>
        <v/>
      </c>
      <c r="J74" s="12">
        <f>IF(A74="","","https://cdn.ruparupa.io/fit-in/850x850/ruparupa-com/image/upload/Products/"&amp;A74&amp;"_1.jpg")</f>
        <v/>
      </c>
      <c r="K74" s="12">
        <f>IF(OR(I74="",G74=""),"",IFERROR(INDEX(LAYOUT!$D$2:$D$34,MATCH(I74&amp;"|"&amp;G74,LAYOUT!$E$2:$E$34,0)),"zona tidak ada di layout"))</f>
        <v/>
      </c>
      <c r="L74" s="12">
        <f>IF(OR(F74="",A74=""),"",COUNTIFS($F$2:$F$500,F74,$G$2:$G$500,G74,$A$2:$A$500,"&lt;&gt;"))</f>
        <v/>
      </c>
      <c r="M74" s="12">
        <f>IF(AND(A74="",F74=""),"",IF(F74="","Belum ditempatkan",IF(I74="","CEK ID FIXTURE tidak ada di DAFTAR_FIXTURE",IF(G74="","CEK ZONA NO kosong",IF(K74="zona tidak ada di layout","CEK ZONA NO di luar layout",IF(H74&lt;&gt;K74,"CEK JENIS ZONA",IF(A74="","Zona kosong",IF(B74="","CEK SKU DESCRIPTION kosong","OK"))))))))</f>
        <v/>
      </c>
    </row>
    <row r="75">
      <c r="A75" s="10" t="inlineStr">
        <is>
          <t>10198152</t>
        </is>
      </c>
      <c r="B75" s="11" t="inlineStr">
        <is>
          <t>TANTA S/S SOLID TURNER M</t>
        </is>
      </c>
      <c r="C75" s="11" t="n"/>
      <c r="D75" s="11" t="n"/>
      <c r="E75" s="11" t="n"/>
      <c r="F75" s="11" t="inlineStr">
        <is>
          <t>GND-02</t>
        </is>
      </c>
      <c r="G75" s="11" t="n">
        <v>4</v>
      </c>
      <c r="H75" s="11" t="inlineStr">
        <is>
          <t>Gantungan</t>
        </is>
      </c>
      <c r="I75" s="12">
        <f>IF(F75="","",IFERROR(INDEX(DAFTAR_FIXTURE!$B$2:$B$51,MATCH(F75,DAFTAR_FIXTURE!$A$2:$A$51,0)),""))</f>
        <v/>
      </c>
      <c r="J75" s="12">
        <f>IF(A75="","","https://cdn.ruparupa.io/fit-in/850x850/ruparupa-com/image/upload/Products/"&amp;A75&amp;"_1.jpg")</f>
        <v/>
      </c>
      <c r="K75" s="12">
        <f>IF(OR(I75="",G75=""),"",IFERROR(INDEX(LAYOUT!$D$2:$D$34,MATCH(I75&amp;"|"&amp;G75,LAYOUT!$E$2:$E$34,0)),"zona tidak ada di layout"))</f>
        <v/>
      </c>
      <c r="L75" s="12">
        <f>IF(OR(F75="",A75=""),"",COUNTIFS($F$2:$F$500,F75,$G$2:$G$500,G75,$A$2:$A$500,"&lt;&gt;"))</f>
        <v/>
      </c>
      <c r="M75" s="12">
        <f>IF(AND(A75="",F75=""),"",IF(F75="","Belum ditempatkan",IF(I75="","CEK ID FIXTURE tidak ada di DAFTAR_FIXTURE",IF(G75="","CEK ZONA NO kosong",IF(K75="zona tidak ada di layout","CEK ZONA NO di luar layout",IF(H75&lt;&gt;K75,"CEK JENIS ZONA",IF(A75="","Zona kosong",IF(B75="","CEK SKU DESCRIPTION kosong","OK"))))))))</f>
        <v/>
      </c>
    </row>
    <row r="76">
      <c r="A76" s="10" t="inlineStr">
        <is>
          <t>10198154</t>
        </is>
      </c>
      <c r="B76" s="11" t="inlineStr">
        <is>
          <t>TANTA S/S LADLE</t>
        </is>
      </c>
      <c r="C76" s="11" t="n"/>
      <c r="D76" s="11" t="n"/>
      <c r="E76" s="11" t="n"/>
      <c r="F76" s="11" t="inlineStr">
        <is>
          <t>GND-02</t>
        </is>
      </c>
      <c r="G76" s="11" t="n">
        <v>4</v>
      </c>
      <c r="H76" s="11" t="inlineStr">
        <is>
          <t>Gantungan</t>
        </is>
      </c>
      <c r="I76" s="12">
        <f>IF(F76="","",IFERROR(INDEX(DAFTAR_FIXTURE!$B$2:$B$51,MATCH(F76,DAFTAR_FIXTURE!$A$2:$A$51,0)),""))</f>
        <v/>
      </c>
      <c r="J76" s="12">
        <f>IF(A76="","","https://cdn.ruparupa.io/fit-in/850x850/ruparupa-com/image/upload/Products/"&amp;A76&amp;"_1.jpg")</f>
        <v/>
      </c>
      <c r="K76" s="12">
        <f>IF(OR(I76="",G76=""),"",IFERROR(INDEX(LAYOUT!$D$2:$D$34,MATCH(I76&amp;"|"&amp;G76,LAYOUT!$E$2:$E$34,0)),"zona tidak ada di layout"))</f>
        <v/>
      </c>
      <c r="L76" s="12">
        <f>IF(OR(F76="",A76=""),"",COUNTIFS($F$2:$F$500,F76,$G$2:$G$500,G76,$A$2:$A$500,"&lt;&gt;"))</f>
        <v/>
      </c>
      <c r="M76" s="12">
        <f>IF(AND(A76="",F76=""),"",IF(F76="","Belum ditempatkan",IF(I76="","CEK ID FIXTURE tidak ada di DAFTAR_FIXTURE",IF(G76="","CEK ZONA NO kosong",IF(K76="zona tidak ada di layout","CEK ZONA NO di luar layout",IF(H76&lt;&gt;K76,"CEK JENIS ZONA",IF(A76="","Zona kosong",IF(B76="","CEK SKU DESCRIPTION kosong","OK"))))))))</f>
        <v/>
      </c>
    </row>
    <row r="77">
      <c r="A77" s="10" t="inlineStr">
        <is>
          <t>10198156</t>
        </is>
      </c>
      <c r="B77" s="11" t="inlineStr">
        <is>
          <t>TANTA NYLON SLOTTED TURNER M</t>
        </is>
      </c>
      <c r="C77" s="11" t="n"/>
      <c r="D77" s="11" t="n"/>
      <c r="E77" s="11" t="n"/>
      <c r="F77" s="11" t="inlineStr">
        <is>
          <t>GND-02</t>
        </is>
      </c>
      <c r="G77" s="11" t="n">
        <v>4</v>
      </c>
      <c r="H77" s="11" t="inlineStr">
        <is>
          <t>Gantungan</t>
        </is>
      </c>
      <c r="I77" s="12">
        <f>IF(F77="","",IFERROR(INDEX(DAFTAR_FIXTURE!$B$2:$B$51,MATCH(F77,DAFTAR_FIXTURE!$A$2:$A$51,0)),""))</f>
        <v/>
      </c>
      <c r="J77" s="12">
        <f>IF(A77="","","https://cdn.ruparupa.io/fit-in/850x850/ruparupa-com/image/upload/Products/"&amp;A77&amp;"_1.jpg")</f>
        <v/>
      </c>
      <c r="K77" s="12">
        <f>IF(OR(I77="",G77=""),"",IFERROR(INDEX(LAYOUT!$D$2:$D$34,MATCH(I77&amp;"|"&amp;G77,LAYOUT!$E$2:$E$34,0)),"zona tidak ada di layout"))</f>
        <v/>
      </c>
      <c r="L77" s="12">
        <f>IF(OR(F77="",A77=""),"",COUNTIFS($F$2:$F$500,F77,$G$2:$G$500,G77,$A$2:$A$500,"&lt;&gt;"))</f>
        <v/>
      </c>
      <c r="M77" s="12">
        <f>IF(AND(A77="",F77=""),"",IF(F77="","Belum ditempatkan",IF(I77="","CEK ID FIXTURE tidak ada di DAFTAR_FIXTURE",IF(G77="","CEK ZONA NO kosong",IF(K77="zona tidak ada di layout","CEK ZONA NO di luar layout",IF(H77&lt;&gt;K77,"CEK JENIS ZONA",IF(A77="","Zona kosong",IF(B77="","CEK SKU DESCRIPTION kosong","OK"))))))))</f>
        <v/>
      </c>
    </row>
    <row r="78">
      <c r="A78" s="10" t="inlineStr">
        <is>
          <t>10198157</t>
        </is>
      </c>
      <c r="B78" s="11" t="inlineStr">
        <is>
          <t>TANTA NYLON SOLID TURNER L</t>
        </is>
      </c>
      <c r="C78" s="11" t="n"/>
      <c r="D78" s="11" t="n"/>
      <c r="E78" s="11" t="n"/>
      <c r="F78" s="11" t="inlineStr">
        <is>
          <t>GND-02</t>
        </is>
      </c>
      <c r="G78" s="11" t="n">
        <v>4</v>
      </c>
      <c r="H78" s="11" t="inlineStr">
        <is>
          <t>Gantungan</t>
        </is>
      </c>
      <c r="I78" s="12">
        <f>IF(F78="","",IFERROR(INDEX(DAFTAR_FIXTURE!$B$2:$B$51,MATCH(F78,DAFTAR_FIXTURE!$A$2:$A$51,0)),""))</f>
        <v/>
      </c>
      <c r="J78" s="12">
        <f>IF(A78="","","https://cdn.ruparupa.io/fit-in/850x850/ruparupa-com/image/upload/Products/"&amp;A78&amp;"_1.jpg")</f>
        <v/>
      </c>
      <c r="K78" s="12">
        <f>IF(OR(I78="",G78=""),"",IFERROR(INDEX(LAYOUT!$D$2:$D$34,MATCH(I78&amp;"|"&amp;G78,LAYOUT!$E$2:$E$34,0)),"zona tidak ada di layout"))</f>
        <v/>
      </c>
      <c r="L78" s="12">
        <f>IF(OR(F78="",A78=""),"",COUNTIFS($F$2:$F$500,F78,$G$2:$G$500,G78,$A$2:$A$500,"&lt;&gt;"))</f>
        <v/>
      </c>
      <c r="M78" s="12">
        <f>IF(AND(A78="",F78=""),"",IF(F78="","Belum ditempatkan",IF(I78="","CEK ID FIXTURE tidak ada di DAFTAR_FIXTURE",IF(G78="","CEK ZONA NO kosong",IF(K78="zona tidak ada di layout","CEK ZONA NO di luar layout",IF(H78&lt;&gt;K78,"CEK JENIS ZONA",IF(A78="","Zona kosong",IF(B78="","CEK SKU DESCRIPTION kosong","OK"))))))))</f>
        <v/>
      </c>
    </row>
    <row r="79">
      <c r="A79" s="10" t="inlineStr">
        <is>
          <t>10198159</t>
        </is>
      </c>
      <c r="B79" s="11" t="inlineStr">
        <is>
          <t>TANTA NYLON LADLE</t>
        </is>
      </c>
      <c r="C79" s="11" t="n"/>
      <c r="D79" s="11" t="n"/>
      <c r="E79" s="11" t="n"/>
      <c r="F79" s="11" t="inlineStr">
        <is>
          <t>GND-02</t>
        </is>
      </c>
      <c r="G79" s="11" t="n">
        <v>4</v>
      </c>
      <c r="H79" s="11" t="inlineStr">
        <is>
          <t>Gantungan</t>
        </is>
      </c>
      <c r="I79" s="12">
        <f>IF(F79="","",IFERROR(INDEX(DAFTAR_FIXTURE!$B$2:$B$51,MATCH(F79,DAFTAR_FIXTURE!$A$2:$A$51,0)),""))</f>
        <v/>
      </c>
      <c r="J79" s="12">
        <f>IF(A79="","","https://cdn.ruparupa.io/fit-in/850x850/ruparupa-com/image/upload/Products/"&amp;A79&amp;"_1.jpg")</f>
        <v/>
      </c>
      <c r="K79" s="12">
        <f>IF(OR(I79="",G79=""),"",IFERROR(INDEX(LAYOUT!$D$2:$D$34,MATCH(I79&amp;"|"&amp;G79,LAYOUT!$E$2:$E$34,0)),"zona tidak ada di layout"))</f>
        <v/>
      </c>
      <c r="L79" s="12">
        <f>IF(OR(F79="",A79=""),"",COUNTIFS($F$2:$F$500,F79,$G$2:$G$500,G79,$A$2:$A$500,"&lt;&gt;"))</f>
        <v/>
      </c>
      <c r="M79" s="12">
        <f>IF(AND(A79="",F79=""),"",IF(F79="","Belum ditempatkan",IF(I79="","CEK ID FIXTURE tidak ada di DAFTAR_FIXTURE",IF(G79="","CEK ZONA NO kosong",IF(K79="zona tidak ada di layout","CEK ZONA NO di luar layout",IF(H79&lt;&gt;K79,"CEK JENIS ZONA",IF(A79="","Zona kosong",IF(B79="","CEK SKU DESCRIPTION kosong","OK"))))))))</f>
        <v/>
      </c>
    </row>
    <row r="80">
      <c r="A80" s="10" t="inlineStr">
        <is>
          <t>10198160</t>
        </is>
      </c>
      <c r="B80" s="11" t="inlineStr">
        <is>
          <t>TANTA NYLON WHISK</t>
        </is>
      </c>
      <c r="C80" s="11" t="n"/>
      <c r="D80" s="11" t="n"/>
      <c r="E80" s="11" t="n"/>
      <c r="F80" s="11" t="inlineStr">
        <is>
          <t>GND-02</t>
        </is>
      </c>
      <c r="G80" s="11" t="n">
        <v>4</v>
      </c>
      <c r="H80" s="11" t="inlineStr">
        <is>
          <t>Gantungan</t>
        </is>
      </c>
      <c r="I80" s="12">
        <f>IF(F80="","",IFERROR(INDEX(DAFTAR_FIXTURE!$B$2:$B$51,MATCH(F80,DAFTAR_FIXTURE!$A$2:$A$51,0)),""))</f>
        <v/>
      </c>
      <c r="J80" s="12">
        <f>IF(A80="","","https://cdn.ruparupa.io/fit-in/850x850/ruparupa-com/image/upload/Products/"&amp;A80&amp;"_1.jpg")</f>
        <v/>
      </c>
      <c r="K80" s="12">
        <f>IF(OR(I80="",G80=""),"",IFERROR(INDEX(LAYOUT!$D$2:$D$34,MATCH(I80&amp;"|"&amp;G80,LAYOUT!$E$2:$E$34,0)),"zona tidak ada di layout"))</f>
        <v/>
      </c>
      <c r="L80" s="12">
        <f>IF(OR(F80="",A80=""),"",COUNTIFS($F$2:$F$500,F80,$G$2:$G$500,G80,$A$2:$A$500,"&lt;&gt;"))</f>
        <v/>
      </c>
      <c r="M80" s="12">
        <f>IF(AND(A80="",F80=""),"",IF(F80="","Belum ditempatkan",IF(I80="","CEK ID FIXTURE tidak ada di DAFTAR_FIXTURE",IF(G80="","CEK ZONA NO kosong",IF(K80="zona tidak ada di layout","CEK ZONA NO di luar layout",IF(H80&lt;&gt;K80,"CEK JENIS ZONA",IF(A80="","Zona kosong",IF(B80="","CEK SKU DESCRIPTION kosong","OK"))))))))</f>
        <v/>
      </c>
    </row>
    <row r="81">
      <c r="A81" s="10" t="inlineStr">
        <is>
          <t>10421603</t>
        </is>
      </c>
      <c r="B81" s="11" t="inlineStr">
        <is>
          <t>KINGSTON SAUCEPAN WITH LID 16CM GREEN</t>
        </is>
      </c>
      <c r="C81" s="11" t="n"/>
      <c r="D81" s="11" t="n"/>
      <c r="E81" s="11" t="n"/>
      <c r="F81" s="11" t="inlineStr">
        <is>
          <t>GND-03</t>
        </is>
      </c>
      <c r="G81" s="11" t="n">
        <v>1</v>
      </c>
      <c r="H81" s="11" t="inlineStr">
        <is>
          <t>Gantungan</t>
        </is>
      </c>
      <c r="I81" s="12">
        <f>IF(F81="","",IFERROR(INDEX(DAFTAR_FIXTURE!$B$2:$B$51,MATCH(F81,DAFTAR_FIXTURE!$A$2:$A$51,0)),""))</f>
        <v/>
      </c>
      <c r="J81" s="12">
        <f>IF(A81="","","https://cdn.ruparupa.io/fit-in/850x850/ruparupa-com/image/upload/Products/"&amp;A81&amp;"_1.jpg")</f>
        <v/>
      </c>
      <c r="K81" s="12">
        <f>IF(OR(I81="",G81=""),"",IFERROR(INDEX(LAYOUT!$D$2:$D$34,MATCH(I81&amp;"|"&amp;G81,LAYOUT!$E$2:$E$34,0)),"zona tidak ada di layout"))</f>
        <v/>
      </c>
      <c r="L81" s="12">
        <f>IF(OR(F81="",A81=""),"",COUNTIFS($F$2:$F$500,F81,$G$2:$G$500,G81,$A$2:$A$500,"&lt;&gt;"))</f>
        <v/>
      </c>
      <c r="M81" s="12">
        <f>IF(AND(A81="",F81=""),"",IF(F81="","Belum ditempatkan",IF(I81="","CEK ID FIXTURE tidak ada di DAFTAR_FIXTURE",IF(G81="","CEK ZONA NO kosong",IF(K81="zona tidak ada di layout","CEK ZONA NO di luar layout",IF(H81&lt;&gt;K81,"CEK JENIS ZONA",IF(A81="","Zona kosong",IF(B81="","CEK SKU DESCRIPTION kosong","OK"))))))))</f>
        <v/>
      </c>
    </row>
    <row r="82">
      <c r="A82" s="10" t="inlineStr">
        <is>
          <t>10421608</t>
        </is>
      </c>
      <c r="B82" s="11" t="inlineStr">
        <is>
          <t>KINGSTON CASSEROLE WITH LID 20 CM GREEN</t>
        </is>
      </c>
      <c r="C82" s="11" t="n"/>
      <c r="D82" s="11" t="n"/>
      <c r="E82" s="11" t="n"/>
      <c r="F82" s="11" t="inlineStr">
        <is>
          <t>GND-03</t>
        </is>
      </c>
      <c r="G82" s="11" t="n">
        <v>1</v>
      </c>
      <c r="H82" s="11" t="inlineStr">
        <is>
          <t>Gantungan</t>
        </is>
      </c>
      <c r="I82" s="12">
        <f>IF(F82="","",IFERROR(INDEX(DAFTAR_FIXTURE!$B$2:$B$51,MATCH(F82,DAFTAR_FIXTURE!$A$2:$A$51,0)),""))</f>
        <v/>
      </c>
      <c r="J82" s="12">
        <f>IF(A82="","","https://cdn.ruparupa.io/fit-in/850x850/ruparupa-com/image/upload/Products/"&amp;A82&amp;"_1.jpg")</f>
        <v/>
      </c>
      <c r="K82" s="12">
        <f>IF(OR(I82="",G82=""),"",IFERROR(INDEX(LAYOUT!$D$2:$D$34,MATCH(I82&amp;"|"&amp;G82,LAYOUT!$E$2:$E$34,0)),"zona tidak ada di layout"))</f>
        <v/>
      </c>
      <c r="L82" s="12">
        <f>IF(OR(F82="",A82=""),"",COUNTIFS($F$2:$F$500,F82,$G$2:$G$500,G82,$A$2:$A$500,"&lt;&gt;"))</f>
        <v/>
      </c>
      <c r="M82" s="12">
        <f>IF(AND(A82="",F82=""),"",IF(F82="","Belum ditempatkan",IF(I82="","CEK ID FIXTURE tidak ada di DAFTAR_FIXTURE",IF(G82="","CEK ZONA NO kosong",IF(K82="zona tidak ada di layout","CEK ZONA NO di luar layout",IF(H82&lt;&gt;K82,"CEK JENIS ZONA",IF(A82="","Zona kosong",IF(B82="","CEK SKU DESCRIPTION kosong","OK"))))))))</f>
        <v/>
      </c>
    </row>
    <row r="83">
      <c r="A83" s="10" t="inlineStr">
        <is>
          <t>10421610</t>
        </is>
      </c>
      <c r="B83" s="11" t="inlineStr">
        <is>
          <t>KINGSTON GRILL PAN 24CM GREEN</t>
        </is>
      </c>
      <c r="C83" s="11" t="n"/>
      <c r="D83" s="11" t="n"/>
      <c r="E83" s="11" t="n"/>
      <c r="F83" s="11" t="inlineStr">
        <is>
          <t>GND-03</t>
        </is>
      </c>
      <c r="G83" s="11" t="n">
        <v>1</v>
      </c>
      <c r="H83" s="11" t="inlineStr">
        <is>
          <t>Gantungan</t>
        </is>
      </c>
      <c r="I83" s="12">
        <f>IF(F83="","",IFERROR(INDEX(DAFTAR_FIXTURE!$B$2:$B$51,MATCH(F83,DAFTAR_FIXTURE!$A$2:$A$51,0)),""))</f>
        <v/>
      </c>
      <c r="J83" s="12">
        <f>IF(A83="","","https://cdn.ruparupa.io/fit-in/850x850/ruparupa-com/image/upload/Products/"&amp;A83&amp;"_1.jpg")</f>
        <v/>
      </c>
      <c r="K83" s="12">
        <f>IF(OR(I83="",G83=""),"",IFERROR(INDEX(LAYOUT!$D$2:$D$34,MATCH(I83&amp;"|"&amp;G83,LAYOUT!$E$2:$E$34,0)),"zona tidak ada di layout"))</f>
        <v/>
      </c>
      <c r="L83" s="12">
        <f>IF(OR(F83="",A83=""),"",COUNTIFS($F$2:$F$500,F83,$G$2:$G$500,G83,$A$2:$A$500,"&lt;&gt;"))</f>
        <v/>
      </c>
      <c r="M83" s="12">
        <f>IF(AND(A83="",F83=""),"",IF(F83="","Belum ditempatkan",IF(I83="","CEK ID FIXTURE tidak ada di DAFTAR_FIXTURE",IF(G83="","CEK ZONA NO kosong",IF(K83="zona tidak ada di layout","CEK ZONA NO di luar layout",IF(H83&lt;&gt;K83,"CEK JENIS ZONA",IF(A83="","Zona kosong",IF(B83="","CEK SKU DESCRIPTION kosong","OK"))))))))</f>
        <v/>
      </c>
    </row>
    <row r="84">
      <c r="A84" s="10" t="inlineStr">
        <is>
          <t>10421614</t>
        </is>
      </c>
      <c r="B84" s="11" t="inlineStr">
        <is>
          <t>KIRA WOK 2 HANDLE W LID AND UTENSIL BRN</t>
        </is>
      </c>
      <c r="C84" s="11" t="n"/>
      <c r="D84" s="11" t="n"/>
      <c r="E84" s="11" t="n"/>
      <c r="F84" s="11" t="inlineStr">
        <is>
          <t>GND-03</t>
        </is>
      </c>
      <c r="G84" s="11" t="n">
        <v>1</v>
      </c>
      <c r="H84" s="11" t="inlineStr">
        <is>
          <t>Gantungan</t>
        </is>
      </c>
      <c r="I84" s="12">
        <f>IF(F84="","",IFERROR(INDEX(DAFTAR_FIXTURE!$B$2:$B$51,MATCH(F84,DAFTAR_FIXTURE!$A$2:$A$51,0)),""))</f>
        <v/>
      </c>
      <c r="J84" s="12">
        <f>IF(A84="","","https://cdn.ruparupa.io/fit-in/850x850/ruparupa-com/image/upload/Products/"&amp;A84&amp;"_1.jpg")</f>
        <v/>
      </c>
      <c r="K84" s="12">
        <f>IF(OR(I84="",G84=""),"",IFERROR(INDEX(LAYOUT!$D$2:$D$34,MATCH(I84&amp;"|"&amp;G84,LAYOUT!$E$2:$E$34,0)),"zona tidak ada di layout"))</f>
        <v/>
      </c>
      <c r="L84" s="12">
        <f>IF(OR(F84="",A84=""),"",COUNTIFS($F$2:$F$500,F84,$G$2:$G$500,G84,$A$2:$A$500,"&lt;&gt;"))</f>
        <v/>
      </c>
      <c r="M84" s="12">
        <f>IF(AND(A84="",F84=""),"",IF(F84="","Belum ditempatkan",IF(I84="","CEK ID FIXTURE tidak ada di DAFTAR_FIXTURE",IF(G84="","CEK ZONA NO kosong",IF(K84="zona tidak ada di layout","CEK ZONA NO di luar layout",IF(H84&lt;&gt;K84,"CEK JENIS ZONA",IF(A84="","Zona kosong",IF(B84="","CEK SKU DESCRIPTION kosong","OK"))))))))</f>
        <v/>
      </c>
    </row>
    <row r="85">
      <c r="A85" s="10" t="inlineStr">
        <is>
          <t>10198149</t>
        </is>
      </c>
      <c r="B85" s="11" t="inlineStr">
        <is>
          <t>TANTA STRAINER DIA 10CM</t>
        </is>
      </c>
      <c r="C85" s="11" t="n"/>
      <c r="D85" s="11" t="n"/>
      <c r="E85" s="11" t="n"/>
      <c r="F85" s="11" t="inlineStr">
        <is>
          <t>GND-02</t>
        </is>
      </c>
      <c r="G85" s="11" t="n">
        <v>2</v>
      </c>
      <c r="H85" s="11" t="inlineStr">
        <is>
          <t>Gantungan</t>
        </is>
      </c>
      <c r="I85" s="12">
        <f>IF(F85="","",IFERROR(INDEX(DAFTAR_FIXTURE!$B$2:$B$51,MATCH(F85,DAFTAR_FIXTURE!$A$2:$A$51,0)),""))</f>
        <v/>
      </c>
      <c r="J85" s="12">
        <f>IF(A85="","","https://cdn.ruparupa.io/fit-in/850x850/ruparupa-com/image/upload/Products/"&amp;A85&amp;"_1.jpg")</f>
        <v/>
      </c>
      <c r="K85" s="12">
        <f>IF(OR(I85="",G85=""),"",IFERROR(INDEX(LAYOUT!$D$2:$D$34,MATCH(I85&amp;"|"&amp;G85,LAYOUT!$E$2:$E$34,0)),"zona tidak ada di layout"))</f>
        <v/>
      </c>
      <c r="L85" s="12">
        <f>IF(OR(F85="",A85=""),"",COUNTIFS($F$2:$F$500,F85,$G$2:$G$500,G85,$A$2:$A$500,"&lt;&gt;"))</f>
        <v/>
      </c>
      <c r="M85" s="12">
        <f>IF(AND(A85="",F85=""),"",IF(F85="","Belum ditempatkan",IF(I85="","CEK ID FIXTURE tidak ada di DAFTAR_FIXTURE",IF(G85="","CEK ZONA NO kosong",IF(K85="zona tidak ada di layout","CEK ZONA NO di luar layout",IF(H85&lt;&gt;K85,"CEK JENIS ZONA",IF(A85="","Zona kosong",IF(B85="","CEK SKU DESCRIPTION kosong","OK"))))))))</f>
        <v/>
      </c>
    </row>
    <row r="86">
      <c r="A86" s="10" t="inlineStr">
        <is>
          <t>10198150</t>
        </is>
      </c>
      <c r="B86" s="11" t="inlineStr">
        <is>
          <t>TANTA NYLON TONGS 9 INCH</t>
        </is>
      </c>
      <c r="C86" s="11" t="n"/>
      <c r="D86" s="11" t="n"/>
      <c r="E86" s="11" t="n"/>
      <c r="F86" s="11" t="inlineStr">
        <is>
          <t>GND-02</t>
        </is>
      </c>
      <c r="G86" s="11" t="n">
        <v>2</v>
      </c>
      <c r="H86" s="11" t="inlineStr">
        <is>
          <t>Gantungan</t>
        </is>
      </c>
      <c r="I86" s="12">
        <f>IF(F86="","",IFERROR(INDEX(DAFTAR_FIXTURE!$B$2:$B$51,MATCH(F86,DAFTAR_FIXTURE!$A$2:$A$51,0)),""))</f>
        <v/>
      </c>
      <c r="J86" s="12">
        <f>IF(A86="","","https://cdn.ruparupa.io/fit-in/850x850/ruparupa-com/image/upload/Products/"&amp;A86&amp;"_1.jpg")</f>
        <v/>
      </c>
      <c r="K86" s="12">
        <f>IF(OR(I86="",G86=""),"",IFERROR(INDEX(LAYOUT!$D$2:$D$34,MATCH(I86&amp;"|"&amp;G86,LAYOUT!$E$2:$E$34,0)),"zona tidak ada di layout"))</f>
        <v/>
      </c>
      <c r="L86" s="12">
        <f>IF(OR(F86="",A86=""),"",COUNTIFS($F$2:$F$500,F86,$G$2:$G$500,G86,$A$2:$A$500,"&lt;&gt;"))</f>
        <v/>
      </c>
      <c r="M86" s="12">
        <f>IF(AND(A86="",F86=""),"",IF(F86="","Belum ditempatkan",IF(I86="","CEK ID FIXTURE tidak ada di DAFTAR_FIXTURE",IF(G86="","CEK ZONA NO kosong",IF(K86="zona tidak ada di layout","CEK ZONA NO di luar layout",IF(H86&lt;&gt;K86,"CEK JENIS ZONA",IF(A86="","Zona kosong",IF(B86="","CEK SKU DESCRIPTION kosong","OK"))))))))</f>
        <v/>
      </c>
    </row>
    <row r="87">
      <c r="A87" s="10" t="inlineStr">
        <is>
          <t>10198151</t>
        </is>
      </c>
      <c r="B87" s="11" t="inlineStr">
        <is>
          <t>TANTA NYLON TONGS 12 INCH</t>
        </is>
      </c>
      <c r="C87" s="11" t="n"/>
      <c r="D87" s="11" t="n"/>
      <c r="E87" s="11" t="n"/>
      <c r="F87" s="11" t="inlineStr">
        <is>
          <t>GND-02</t>
        </is>
      </c>
      <c r="G87" s="11" t="n">
        <v>2</v>
      </c>
      <c r="H87" s="11" t="inlineStr">
        <is>
          <t>Gantungan</t>
        </is>
      </c>
      <c r="I87" s="12">
        <f>IF(F87="","",IFERROR(INDEX(DAFTAR_FIXTURE!$B$2:$B$51,MATCH(F87,DAFTAR_FIXTURE!$A$2:$A$51,0)),""))</f>
        <v/>
      </c>
      <c r="J87" s="12">
        <f>IF(A87="","","https://cdn.ruparupa.io/fit-in/850x850/ruparupa-com/image/upload/Products/"&amp;A87&amp;"_1.jpg")</f>
        <v/>
      </c>
      <c r="K87" s="12">
        <f>IF(OR(I87="",G87=""),"",IFERROR(INDEX(LAYOUT!$D$2:$D$34,MATCH(I87&amp;"|"&amp;G87,LAYOUT!$E$2:$E$34,0)),"zona tidak ada di layout"))</f>
        <v/>
      </c>
      <c r="L87" s="12">
        <f>IF(OR(F87="",A87=""),"",COUNTIFS($F$2:$F$500,F87,$G$2:$G$500,G87,$A$2:$A$500,"&lt;&gt;"))</f>
        <v/>
      </c>
      <c r="M87" s="12">
        <f>IF(AND(A87="",F87=""),"",IF(F87="","Belum ditempatkan",IF(I87="","CEK ID FIXTURE tidak ada di DAFTAR_FIXTURE",IF(G87="","CEK ZONA NO kosong",IF(K87="zona tidak ada di layout","CEK ZONA NO di luar layout",IF(H87&lt;&gt;K87,"CEK JENIS ZONA",IF(A87="","Zona kosong",IF(B87="","CEK SKU DESCRIPTION kosong","OK"))))))))</f>
        <v/>
      </c>
    </row>
    <row r="88">
      <c r="A88" s="10" t="inlineStr">
        <is>
          <t>10198152</t>
        </is>
      </c>
      <c r="B88" s="11" t="inlineStr">
        <is>
          <t>TANTA S/S SOLID TURNER M</t>
        </is>
      </c>
      <c r="C88" s="11" t="n"/>
      <c r="D88" s="11" t="n"/>
      <c r="E88" s="11" t="n"/>
      <c r="F88" s="11" t="inlineStr">
        <is>
          <t>GND-02</t>
        </is>
      </c>
      <c r="G88" s="11" t="n">
        <v>2</v>
      </c>
      <c r="H88" s="11" t="inlineStr">
        <is>
          <t>Gantungan</t>
        </is>
      </c>
      <c r="I88" s="12">
        <f>IF(F88="","",IFERROR(INDEX(DAFTAR_FIXTURE!$B$2:$B$51,MATCH(F88,DAFTAR_FIXTURE!$A$2:$A$51,0)),""))</f>
        <v/>
      </c>
      <c r="J88" s="12">
        <f>IF(A88="","","https://cdn.ruparupa.io/fit-in/850x850/ruparupa-com/image/upload/Products/"&amp;A88&amp;"_1.jpg")</f>
        <v/>
      </c>
      <c r="K88" s="12">
        <f>IF(OR(I88="",G88=""),"",IFERROR(INDEX(LAYOUT!$D$2:$D$34,MATCH(I88&amp;"|"&amp;G88,LAYOUT!$E$2:$E$34,0)),"zona tidak ada di layout"))</f>
        <v/>
      </c>
      <c r="L88" s="12">
        <f>IF(OR(F88="",A88=""),"",COUNTIFS($F$2:$F$500,F88,$G$2:$G$500,G88,$A$2:$A$500,"&lt;&gt;"))</f>
        <v/>
      </c>
      <c r="M88" s="12">
        <f>IF(AND(A88="",F88=""),"",IF(F88="","Belum ditempatkan",IF(I88="","CEK ID FIXTURE tidak ada di DAFTAR_FIXTURE",IF(G88="","CEK ZONA NO kosong",IF(K88="zona tidak ada di layout","CEK ZONA NO di luar layout",IF(H88&lt;&gt;K88,"CEK JENIS ZONA",IF(A88="","Zona kosong",IF(B88="","CEK SKU DESCRIPTION kosong","OK"))))))))</f>
        <v/>
      </c>
    </row>
    <row r="89">
      <c r="A89" s="10" t="inlineStr">
        <is>
          <t>10198154</t>
        </is>
      </c>
      <c r="B89" s="11" t="inlineStr">
        <is>
          <t>TANTA S/S LADLE</t>
        </is>
      </c>
      <c r="C89" s="11" t="n"/>
      <c r="D89" s="11" t="n"/>
      <c r="E89" s="11" t="n"/>
      <c r="F89" s="11" t="inlineStr">
        <is>
          <t>GND-02</t>
        </is>
      </c>
      <c r="G89" s="11" t="n">
        <v>2</v>
      </c>
      <c r="H89" s="11" t="inlineStr">
        <is>
          <t>Gantungan</t>
        </is>
      </c>
      <c r="I89" s="12">
        <f>IF(F89="","",IFERROR(INDEX(DAFTAR_FIXTURE!$B$2:$B$51,MATCH(F89,DAFTAR_FIXTURE!$A$2:$A$51,0)),""))</f>
        <v/>
      </c>
      <c r="J89" s="12">
        <f>IF(A89="","","https://cdn.ruparupa.io/fit-in/850x850/ruparupa-com/image/upload/Products/"&amp;A89&amp;"_1.jpg")</f>
        <v/>
      </c>
      <c r="K89" s="12">
        <f>IF(OR(I89="",G89=""),"",IFERROR(INDEX(LAYOUT!$D$2:$D$34,MATCH(I89&amp;"|"&amp;G89,LAYOUT!$E$2:$E$34,0)),"zona tidak ada di layout"))</f>
        <v/>
      </c>
      <c r="L89" s="12">
        <f>IF(OR(F89="",A89=""),"",COUNTIFS($F$2:$F$500,F89,$G$2:$G$500,G89,$A$2:$A$500,"&lt;&gt;"))</f>
        <v/>
      </c>
      <c r="M89" s="12">
        <f>IF(AND(A89="",F89=""),"",IF(F89="","Belum ditempatkan",IF(I89="","CEK ID FIXTURE tidak ada di DAFTAR_FIXTURE",IF(G89="","CEK ZONA NO kosong",IF(K89="zona tidak ada di layout","CEK ZONA NO di luar layout",IF(H89&lt;&gt;K89,"CEK JENIS ZONA",IF(A89="","Zona kosong",IF(B89="","CEK SKU DESCRIPTION kosong","OK"))))))))</f>
        <v/>
      </c>
    </row>
    <row r="90">
      <c r="A90" s="10" t="inlineStr">
        <is>
          <t>10198156</t>
        </is>
      </c>
      <c r="B90" s="11" t="inlineStr">
        <is>
          <t>TANTA NYLON SLOTTED TURNER M</t>
        </is>
      </c>
      <c r="C90" s="11" t="n"/>
      <c r="D90" s="11" t="n"/>
      <c r="E90" s="11" t="n"/>
      <c r="F90" s="11" t="inlineStr">
        <is>
          <t>GND-02</t>
        </is>
      </c>
      <c r="G90" s="11" t="n">
        <v>2</v>
      </c>
      <c r="H90" s="11" t="inlineStr">
        <is>
          <t>Gantungan</t>
        </is>
      </c>
      <c r="I90" s="12">
        <f>IF(F90="","",IFERROR(INDEX(DAFTAR_FIXTURE!$B$2:$B$51,MATCH(F90,DAFTAR_FIXTURE!$A$2:$A$51,0)),""))</f>
        <v/>
      </c>
      <c r="J90" s="12">
        <f>IF(A90="","","https://cdn.ruparupa.io/fit-in/850x850/ruparupa-com/image/upload/Products/"&amp;A90&amp;"_1.jpg")</f>
        <v/>
      </c>
      <c r="K90" s="12">
        <f>IF(OR(I90="",G90=""),"",IFERROR(INDEX(LAYOUT!$D$2:$D$34,MATCH(I90&amp;"|"&amp;G90,LAYOUT!$E$2:$E$34,0)),"zona tidak ada di layout"))</f>
        <v/>
      </c>
      <c r="L90" s="12">
        <f>IF(OR(F90="",A90=""),"",COUNTIFS($F$2:$F$500,F90,$G$2:$G$500,G90,$A$2:$A$500,"&lt;&gt;"))</f>
        <v/>
      </c>
      <c r="M90" s="12">
        <f>IF(AND(A90="",F90=""),"",IF(F90="","Belum ditempatkan",IF(I90="","CEK ID FIXTURE tidak ada di DAFTAR_FIXTURE",IF(G90="","CEK ZONA NO kosong",IF(K90="zona tidak ada di layout","CEK ZONA NO di luar layout",IF(H90&lt;&gt;K90,"CEK JENIS ZONA",IF(A90="","Zona kosong",IF(B90="","CEK SKU DESCRIPTION kosong","OK"))))))))</f>
        <v/>
      </c>
    </row>
    <row r="91">
      <c r="A91" s="10" t="inlineStr">
        <is>
          <t>10198157</t>
        </is>
      </c>
      <c r="B91" s="11" t="inlineStr">
        <is>
          <t>TANTA NYLON SOLID TURNER L</t>
        </is>
      </c>
      <c r="C91" s="11" t="n"/>
      <c r="D91" s="11" t="n"/>
      <c r="E91" s="11" t="n"/>
      <c r="F91" s="11" t="inlineStr">
        <is>
          <t>GND-02</t>
        </is>
      </c>
      <c r="G91" s="11" t="n">
        <v>2</v>
      </c>
      <c r="H91" s="11" t="inlineStr">
        <is>
          <t>Gantungan</t>
        </is>
      </c>
      <c r="I91" s="12">
        <f>IF(F91="","",IFERROR(INDEX(DAFTAR_FIXTURE!$B$2:$B$51,MATCH(F91,DAFTAR_FIXTURE!$A$2:$A$51,0)),""))</f>
        <v/>
      </c>
      <c r="J91" s="12">
        <f>IF(A91="","","https://cdn.ruparupa.io/fit-in/850x850/ruparupa-com/image/upload/Products/"&amp;A91&amp;"_1.jpg")</f>
        <v/>
      </c>
      <c r="K91" s="12">
        <f>IF(OR(I91="",G91=""),"",IFERROR(INDEX(LAYOUT!$D$2:$D$34,MATCH(I91&amp;"|"&amp;G91,LAYOUT!$E$2:$E$34,0)),"zona tidak ada di layout"))</f>
        <v/>
      </c>
      <c r="L91" s="12">
        <f>IF(OR(F91="",A91=""),"",COUNTIFS($F$2:$F$500,F91,$G$2:$G$500,G91,$A$2:$A$500,"&lt;&gt;"))</f>
        <v/>
      </c>
      <c r="M91" s="12">
        <f>IF(AND(A91="",F91=""),"",IF(F91="","Belum ditempatkan",IF(I91="","CEK ID FIXTURE tidak ada di DAFTAR_FIXTURE",IF(G91="","CEK ZONA NO kosong",IF(K91="zona tidak ada di layout","CEK ZONA NO di luar layout",IF(H91&lt;&gt;K91,"CEK JENIS ZONA",IF(A91="","Zona kosong",IF(B91="","CEK SKU DESCRIPTION kosong","OK"))))))))</f>
        <v/>
      </c>
    </row>
    <row r="92">
      <c r="A92" s="10" t="inlineStr">
        <is>
          <t>10198159</t>
        </is>
      </c>
      <c r="B92" s="11" t="inlineStr">
        <is>
          <t>TANTA NYLON LADLE</t>
        </is>
      </c>
      <c r="C92" s="11" t="n"/>
      <c r="D92" s="11" t="n"/>
      <c r="E92" s="11" t="n"/>
      <c r="F92" s="11" t="inlineStr">
        <is>
          <t>GND-02</t>
        </is>
      </c>
      <c r="G92" s="11" t="n">
        <v>2</v>
      </c>
      <c r="H92" s="11" t="inlineStr">
        <is>
          <t>Gantungan</t>
        </is>
      </c>
      <c r="I92" s="12">
        <f>IF(F92="","",IFERROR(INDEX(DAFTAR_FIXTURE!$B$2:$B$51,MATCH(F92,DAFTAR_FIXTURE!$A$2:$A$51,0)),""))</f>
        <v/>
      </c>
      <c r="J92" s="12">
        <f>IF(A92="","","https://cdn.ruparupa.io/fit-in/850x850/ruparupa-com/image/upload/Products/"&amp;A92&amp;"_1.jpg")</f>
        <v/>
      </c>
      <c r="K92" s="12">
        <f>IF(OR(I92="",G92=""),"",IFERROR(INDEX(LAYOUT!$D$2:$D$34,MATCH(I92&amp;"|"&amp;G92,LAYOUT!$E$2:$E$34,0)),"zona tidak ada di layout"))</f>
        <v/>
      </c>
      <c r="L92" s="12">
        <f>IF(OR(F92="",A92=""),"",COUNTIFS($F$2:$F$500,F92,$G$2:$G$500,G92,$A$2:$A$500,"&lt;&gt;"))</f>
        <v/>
      </c>
      <c r="M92" s="12">
        <f>IF(AND(A92="",F92=""),"",IF(F92="","Belum ditempatkan",IF(I92="","CEK ID FIXTURE tidak ada di DAFTAR_FIXTURE",IF(G92="","CEK ZONA NO kosong",IF(K92="zona tidak ada di layout","CEK ZONA NO di luar layout",IF(H92&lt;&gt;K92,"CEK JENIS ZONA",IF(A92="","Zona kosong",IF(B92="","CEK SKU DESCRIPTION kosong","OK"))))))))</f>
        <v/>
      </c>
    </row>
    <row r="93">
      <c r="A93" s="10" t="inlineStr">
        <is>
          <t>10198160</t>
        </is>
      </c>
      <c r="B93" s="11" t="inlineStr">
        <is>
          <t>TANTA NYLON WHISK</t>
        </is>
      </c>
      <c r="C93" s="11" t="n"/>
      <c r="D93" s="11" t="n"/>
      <c r="E93" s="11" t="n"/>
      <c r="F93" s="11" t="inlineStr">
        <is>
          <t>GND-02</t>
        </is>
      </c>
      <c r="G93" s="11" t="n">
        <v>2</v>
      </c>
      <c r="H93" s="11" t="inlineStr">
        <is>
          <t>Gantungan</t>
        </is>
      </c>
      <c r="I93" s="12">
        <f>IF(F93="","",IFERROR(INDEX(DAFTAR_FIXTURE!$B$2:$B$51,MATCH(F93,DAFTAR_FIXTURE!$A$2:$A$51,0)),""))</f>
        <v/>
      </c>
      <c r="J93" s="12">
        <f>IF(A93="","","https://cdn.ruparupa.io/fit-in/850x850/ruparupa-com/image/upload/Products/"&amp;A93&amp;"_1.jpg")</f>
        <v/>
      </c>
      <c r="K93" s="12">
        <f>IF(OR(I93="",G93=""),"",IFERROR(INDEX(LAYOUT!$D$2:$D$34,MATCH(I93&amp;"|"&amp;G93,LAYOUT!$E$2:$E$34,0)),"zona tidak ada di layout"))</f>
        <v/>
      </c>
      <c r="L93" s="12">
        <f>IF(OR(F93="",A93=""),"",COUNTIFS($F$2:$F$500,F93,$G$2:$G$500,G93,$A$2:$A$500,"&lt;&gt;"))</f>
        <v/>
      </c>
      <c r="M93" s="12">
        <f>IF(AND(A93="",F93=""),"",IF(F93="","Belum ditempatkan",IF(I93="","CEK ID FIXTURE tidak ada di DAFTAR_FIXTURE",IF(G93="","CEK ZONA NO kosong",IF(K93="zona tidak ada di layout","CEK ZONA NO di luar layout",IF(H93&lt;&gt;K93,"CEK JENIS ZONA",IF(A93="","Zona kosong",IF(B93="","CEK SKU DESCRIPTION kosong","OK"))))))))</f>
        <v/>
      </c>
    </row>
    <row r="94">
      <c r="A94" s="10" t="inlineStr">
        <is>
          <t>10198149</t>
        </is>
      </c>
      <c r="B94" s="11" t="inlineStr">
        <is>
          <t>TANTA STRAINER DIA 10CM</t>
        </is>
      </c>
      <c r="C94" s="11" t="n"/>
      <c r="D94" s="11" t="n"/>
      <c r="E94" s="11" t="n"/>
      <c r="F94" s="11" t="inlineStr">
        <is>
          <t>GND-02</t>
        </is>
      </c>
      <c r="G94" s="11" t="n">
        <v>3</v>
      </c>
      <c r="H94" s="11" t="inlineStr">
        <is>
          <t>Gantungan</t>
        </is>
      </c>
      <c r="I94" s="12">
        <f>IF(F94="","",IFERROR(INDEX(DAFTAR_FIXTURE!$B$2:$B$51,MATCH(F94,DAFTAR_FIXTURE!$A$2:$A$51,0)),""))</f>
        <v/>
      </c>
      <c r="J94" s="12">
        <f>IF(A94="","","https://cdn.ruparupa.io/fit-in/850x850/ruparupa-com/image/upload/Products/"&amp;A94&amp;"_1.jpg")</f>
        <v/>
      </c>
      <c r="K94" s="12">
        <f>IF(OR(I94="",G94=""),"",IFERROR(INDEX(LAYOUT!$D$2:$D$34,MATCH(I94&amp;"|"&amp;G94,LAYOUT!$E$2:$E$34,0)),"zona tidak ada di layout"))</f>
        <v/>
      </c>
      <c r="L94" s="12">
        <f>IF(OR(F94="",A94=""),"",COUNTIFS($F$2:$F$500,F94,$G$2:$G$500,G94,$A$2:$A$500,"&lt;&gt;"))</f>
        <v/>
      </c>
      <c r="M94" s="12">
        <f>IF(AND(A94="",F94=""),"",IF(F94="","Belum ditempatkan",IF(I94="","CEK ID FIXTURE tidak ada di DAFTAR_FIXTURE",IF(G94="","CEK ZONA NO kosong",IF(K94="zona tidak ada di layout","CEK ZONA NO di luar layout",IF(H94&lt;&gt;K94,"CEK JENIS ZONA",IF(A94="","Zona kosong",IF(B94="","CEK SKU DESCRIPTION kosong","OK"))))))))</f>
        <v/>
      </c>
    </row>
    <row r="95">
      <c r="A95" s="10" t="inlineStr">
        <is>
          <t>10198150</t>
        </is>
      </c>
      <c r="B95" s="11" t="inlineStr">
        <is>
          <t>TANTA NYLON TONGS 9 INCH</t>
        </is>
      </c>
      <c r="C95" s="11" t="n"/>
      <c r="D95" s="11" t="n"/>
      <c r="E95" s="11" t="n"/>
      <c r="F95" s="11" t="inlineStr">
        <is>
          <t>GND-02</t>
        </is>
      </c>
      <c r="G95" s="11" t="n">
        <v>3</v>
      </c>
      <c r="H95" s="11" t="inlineStr">
        <is>
          <t>Gantungan</t>
        </is>
      </c>
      <c r="I95" s="12">
        <f>IF(F95="","",IFERROR(INDEX(DAFTAR_FIXTURE!$B$2:$B$51,MATCH(F95,DAFTAR_FIXTURE!$A$2:$A$51,0)),""))</f>
        <v/>
      </c>
      <c r="J95" s="12">
        <f>IF(A95="","","https://cdn.ruparupa.io/fit-in/850x850/ruparupa-com/image/upload/Products/"&amp;A95&amp;"_1.jpg")</f>
        <v/>
      </c>
      <c r="K95" s="12">
        <f>IF(OR(I95="",G95=""),"",IFERROR(INDEX(LAYOUT!$D$2:$D$34,MATCH(I95&amp;"|"&amp;G95,LAYOUT!$E$2:$E$34,0)),"zona tidak ada di layout"))</f>
        <v/>
      </c>
      <c r="L95" s="12">
        <f>IF(OR(F95="",A95=""),"",COUNTIFS($F$2:$F$500,F95,$G$2:$G$500,G95,$A$2:$A$500,"&lt;&gt;"))</f>
        <v/>
      </c>
      <c r="M95" s="12">
        <f>IF(AND(A95="",F95=""),"",IF(F95="","Belum ditempatkan",IF(I95="","CEK ID FIXTURE tidak ada di DAFTAR_FIXTURE",IF(G95="","CEK ZONA NO kosong",IF(K95="zona tidak ada di layout","CEK ZONA NO di luar layout",IF(H95&lt;&gt;K95,"CEK JENIS ZONA",IF(A95="","Zona kosong",IF(B95="","CEK SKU DESCRIPTION kosong","OK"))))))))</f>
        <v/>
      </c>
    </row>
    <row r="96">
      <c r="A96" s="10" t="inlineStr">
        <is>
          <t>10198151</t>
        </is>
      </c>
      <c r="B96" s="11" t="inlineStr">
        <is>
          <t>TANTA NYLON TONGS 12 INCH</t>
        </is>
      </c>
      <c r="C96" s="11" t="n"/>
      <c r="D96" s="11" t="n"/>
      <c r="E96" s="11" t="n"/>
      <c r="F96" s="11" t="inlineStr">
        <is>
          <t>GND-02</t>
        </is>
      </c>
      <c r="G96" s="11" t="n">
        <v>3</v>
      </c>
      <c r="H96" s="11" t="inlineStr">
        <is>
          <t>Gantungan</t>
        </is>
      </c>
      <c r="I96" s="12">
        <f>IF(F96="","",IFERROR(INDEX(DAFTAR_FIXTURE!$B$2:$B$51,MATCH(F96,DAFTAR_FIXTURE!$A$2:$A$51,0)),""))</f>
        <v/>
      </c>
      <c r="J96" s="12">
        <f>IF(A96="","","https://cdn.ruparupa.io/fit-in/850x850/ruparupa-com/image/upload/Products/"&amp;A96&amp;"_1.jpg")</f>
        <v/>
      </c>
      <c r="K96" s="12">
        <f>IF(OR(I96="",G96=""),"",IFERROR(INDEX(LAYOUT!$D$2:$D$34,MATCH(I96&amp;"|"&amp;G96,LAYOUT!$E$2:$E$34,0)),"zona tidak ada di layout"))</f>
        <v/>
      </c>
      <c r="L96" s="12">
        <f>IF(OR(F96="",A96=""),"",COUNTIFS($F$2:$F$500,F96,$G$2:$G$500,G96,$A$2:$A$500,"&lt;&gt;"))</f>
        <v/>
      </c>
      <c r="M96" s="12">
        <f>IF(AND(A96="",F96=""),"",IF(F96="","Belum ditempatkan",IF(I96="","CEK ID FIXTURE tidak ada di DAFTAR_FIXTURE",IF(G96="","CEK ZONA NO kosong",IF(K96="zona tidak ada di layout","CEK ZONA NO di luar layout",IF(H96&lt;&gt;K96,"CEK JENIS ZONA",IF(A96="","Zona kosong",IF(B96="","CEK SKU DESCRIPTION kosong","OK"))))))))</f>
        <v/>
      </c>
    </row>
    <row r="97">
      <c r="A97" s="10" t="inlineStr">
        <is>
          <t>10198152</t>
        </is>
      </c>
      <c r="B97" s="11" t="inlineStr">
        <is>
          <t>TANTA S/S SOLID TURNER M</t>
        </is>
      </c>
      <c r="C97" s="11" t="n"/>
      <c r="D97" s="11" t="n"/>
      <c r="E97" s="11" t="n"/>
      <c r="F97" s="11" t="inlineStr">
        <is>
          <t>GND-02</t>
        </is>
      </c>
      <c r="G97" s="11" t="n">
        <v>3</v>
      </c>
      <c r="H97" s="11" t="inlineStr">
        <is>
          <t>Gantungan</t>
        </is>
      </c>
      <c r="I97" s="12">
        <f>IF(F97="","",IFERROR(INDEX(DAFTAR_FIXTURE!$B$2:$B$51,MATCH(F97,DAFTAR_FIXTURE!$A$2:$A$51,0)),""))</f>
        <v/>
      </c>
      <c r="J97" s="12">
        <f>IF(A97="","","https://cdn.ruparupa.io/fit-in/850x850/ruparupa-com/image/upload/Products/"&amp;A97&amp;"_1.jpg")</f>
        <v/>
      </c>
      <c r="K97" s="12">
        <f>IF(OR(I97="",G97=""),"",IFERROR(INDEX(LAYOUT!$D$2:$D$34,MATCH(I97&amp;"|"&amp;G97,LAYOUT!$E$2:$E$34,0)),"zona tidak ada di layout"))</f>
        <v/>
      </c>
      <c r="L97" s="12">
        <f>IF(OR(F97="",A97=""),"",COUNTIFS($F$2:$F$500,F97,$G$2:$G$500,G97,$A$2:$A$500,"&lt;&gt;"))</f>
        <v/>
      </c>
      <c r="M97" s="12">
        <f>IF(AND(A97="",F97=""),"",IF(F97="","Belum ditempatkan",IF(I97="","CEK ID FIXTURE tidak ada di DAFTAR_FIXTURE",IF(G97="","CEK ZONA NO kosong",IF(K97="zona tidak ada di layout","CEK ZONA NO di luar layout",IF(H97&lt;&gt;K97,"CEK JENIS ZONA",IF(A97="","Zona kosong",IF(B97="","CEK SKU DESCRIPTION kosong","OK"))))))))</f>
        <v/>
      </c>
    </row>
    <row r="98">
      <c r="A98" s="10" t="inlineStr">
        <is>
          <t>10198154</t>
        </is>
      </c>
      <c r="B98" s="11" t="inlineStr">
        <is>
          <t>TANTA S/S LADLE</t>
        </is>
      </c>
      <c r="C98" s="11" t="n"/>
      <c r="D98" s="11" t="n"/>
      <c r="E98" s="11" t="n"/>
      <c r="F98" s="11" t="inlineStr">
        <is>
          <t>GND-02</t>
        </is>
      </c>
      <c r="G98" s="11" t="n">
        <v>3</v>
      </c>
      <c r="H98" s="11" t="inlineStr">
        <is>
          <t>Gantungan</t>
        </is>
      </c>
      <c r="I98" s="12">
        <f>IF(F98="","",IFERROR(INDEX(DAFTAR_FIXTURE!$B$2:$B$51,MATCH(F98,DAFTAR_FIXTURE!$A$2:$A$51,0)),""))</f>
        <v/>
      </c>
      <c r="J98" s="12">
        <f>IF(A98="","","https://cdn.ruparupa.io/fit-in/850x850/ruparupa-com/image/upload/Products/"&amp;A98&amp;"_1.jpg")</f>
        <v/>
      </c>
      <c r="K98" s="12">
        <f>IF(OR(I98="",G98=""),"",IFERROR(INDEX(LAYOUT!$D$2:$D$34,MATCH(I98&amp;"|"&amp;G98,LAYOUT!$E$2:$E$34,0)),"zona tidak ada di layout"))</f>
        <v/>
      </c>
      <c r="L98" s="12">
        <f>IF(OR(F98="",A98=""),"",COUNTIFS($F$2:$F$500,F98,$G$2:$G$500,G98,$A$2:$A$500,"&lt;&gt;"))</f>
        <v/>
      </c>
      <c r="M98" s="12">
        <f>IF(AND(A98="",F98=""),"",IF(F98="","Belum ditempatkan",IF(I98="","CEK ID FIXTURE tidak ada di DAFTAR_FIXTURE",IF(G98="","CEK ZONA NO kosong",IF(K98="zona tidak ada di layout","CEK ZONA NO di luar layout",IF(H98&lt;&gt;K98,"CEK JENIS ZONA",IF(A98="","Zona kosong",IF(B98="","CEK SKU DESCRIPTION kosong","OK"))))))))</f>
        <v/>
      </c>
    </row>
    <row r="99">
      <c r="A99" s="10" t="inlineStr">
        <is>
          <t>10198156</t>
        </is>
      </c>
      <c r="B99" s="11" t="inlineStr">
        <is>
          <t>TANTA NYLON SLOTTED TURNER M</t>
        </is>
      </c>
      <c r="C99" s="11" t="n"/>
      <c r="D99" s="11" t="n"/>
      <c r="E99" s="11" t="n"/>
      <c r="F99" s="11" t="inlineStr">
        <is>
          <t>GND-02</t>
        </is>
      </c>
      <c r="G99" s="11" t="n">
        <v>3</v>
      </c>
      <c r="H99" s="11" t="inlineStr">
        <is>
          <t>Gantungan</t>
        </is>
      </c>
      <c r="I99" s="12">
        <f>IF(F99="","",IFERROR(INDEX(DAFTAR_FIXTURE!$B$2:$B$51,MATCH(F99,DAFTAR_FIXTURE!$A$2:$A$51,0)),""))</f>
        <v/>
      </c>
      <c r="J99" s="12">
        <f>IF(A99="","","https://cdn.ruparupa.io/fit-in/850x850/ruparupa-com/image/upload/Products/"&amp;A99&amp;"_1.jpg")</f>
        <v/>
      </c>
      <c r="K99" s="12">
        <f>IF(OR(I99="",G99=""),"",IFERROR(INDEX(LAYOUT!$D$2:$D$34,MATCH(I99&amp;"|"&amp;G99,LAYOUT!$E$2:$E$34,0)),"zona tidak ada di layout"))</f>
        <v/>
      </c>
      <c r="L99" s="12">
        <f>IF(OR(F99="",A99=""),"",COUNTIFS($F$2:$F$500,F99,$G$2:$G$500,G99,$A$2:$A$500,"&lt;&gt;"))</f>
        <v/>
      </c>
      <c r="M99" s="12">
        <f>IF(AND(A99="",F99=""),"",IF(F99="","Belum ditempatkan",IF(I99="","CEK ID FIXTURE tidak ada di DAFTAR_FIXTURE",IF(G99="","CEK ZONA NO kosong",IF(K99="zona tidak ada di layout","CEK ZONA NO di luar layout",IF(H99&lt;&gt;K99,"CEK JENIS ZONA",IF(A99="","Zona kosong",IF(B99="","CEK SKU DESCRIPTION kosong","OK"))))))))</f>
        <v/>
      </c>
    </row>
    <row r="100">
      <c r="A100" s="10" t="inlineStr">
        <is>
          <t>10198157</t>
        </is>
      </c>
      <c r="B100" s="11" t="inlineStr">
        <is>
          <t>TANTA NYLON SOLID TURNER L</t>
        </is>
      </c>
      <c r="C100" s="11" t="n"/>
      <c r="D100" s="11" t="n"/>
      <c r="E100" s="11" t="n"/>
      <c r="F100" s="11" t="inlineStr">
        <is>
          <t>GND-02</t>
        </is>
      </c>
      <c r="G100" s="11" t="n">
        <v>3</v>
      </c>
      <c r="H100" s="11" t="inlineStr">
        <is>
          <t>Gantungan</t>
        </is>
      </c>
      <c r="I100" s="12">
        <f>IF(F100="","",IFERROR(INDEX(DAFTAR_FIXTURE!$B$2:$B$51,MATCH(F100,DAFTAR_FIXTURE!$A$2:$A$51,0)),""))</f>
        <v/>
      </c>
      <c r="J100" s="12">
        <f>IF(A100="","","https://cdn.ruparupa.io/fit-in/850x850/ruparupa-com/image/upload/Products/"&amp;A100&amp;"_1.jpg")</f>
        <v/>
      </c>
      <c r="K100" s="12">
        <f>IF(OR(I100="",G100=""),"",IFERROR(INDEX(LAYOUT!$D$2:$D$34,MATCH(I100&amp;"|"&amp;G100,LAYOUT!$E$2:$E$34,0)),"zona tidak ada di layout"))</f>
        <v/>
      </c>
      <c r="L100" s="12">
        <f>IF(OR(F100="",A100=""),"",COUNTIFS($F$2:$F$500,F100,$G$2:$G$500,G100,$A$2:$A$500,"&lt;&gt;"))</f>
        <v/>
      </c>
      <c r="M100" s="12">
        <f>IF(AND(A100="",F100=""),"",IF(F100="","Belum ditempatkan",IF(I100="","CEK ID FIXTURE tidak ada di DAFTAR_FIXTURE",IF(G100="","CEK ZONA NO kosong",IF(K100="zona tidak ada di layout","CEK ZONA NO di luar layout",IF(H100&lt;&gt;K100,"CEK JENIS ZONA",IF(A100="","Zona kosong",IF(B100="","CEK SKU DESCRIPTION kosong","OK"))))))))</f>
        <v/>
      </c>
    </row>
    <row r="101">
      <c r="A101" s="10" t="inlineStr">
        <is>
          <t>10198159</t>
        </is>
      </c>
      <c r="B101" s="11" t="inlineStr">
        <is>
          <t>TANTA NYLON LADLE</t>
        </is>
      </c>
      <c r="C101" s="11" t="n"/>
      <c r="D101" s="11" t="n"/>
      <c r="E101" s="11" t="n"/>
      <c r="F101" s="11" t="inlineStr">
        <is>
          <t>GND-02</t>
        </is>
      </c>
      <c r="G101" s="11" t="n">
        <v>3</v>
      </c>
      <c r="H101" s="11" t="inlineStr">
        <is>
          <t>Gantungan</t>
        </is>
      </c>
      <c r="I101" s="12">
        <f>IF(F101="","",IFERROR(INDEX(DAFTAR_FIXTURE!$B$2:$B$51,MATCH(F101,DAFTAR_FIXTURE!$A$2:$A$51,0)),""))</f>
        <v/>
      </c>
      <c r="J101" s="12">
        <f>IF(A101="","","https://cdn.ruparupa.io/fit-in/850x850/ruparupa-com/image/upload/Products/"&amp;A101&amp;"_1.jpg")</f>
        <v/>
      </c>
      <c r="K101" s="12">
        <f>IF(OR(I101="",G101=""),"",IFERROR(INDEX(LAYOUT!$D$2:$D$34,MATCH(I101&amp;"|"&amp;G101,LAYOUT!$E$2:$E$34,0)),"zona tidak ada di layout"))</f>
        <v/>
      </c>
      <c r="L101" s="12">
        <f>IF(OR(F101="",A101=""),"",COUNTIFS($F$2:$F$500,F101,$G$2:$G$500,G101,$A$2:$A$500,"&lt;&gt;"))</f>
        <v/>
      </c>
      <c r="M101" s="12">
        <f>IF(AND(A101="",F101=""),"",IF(F101="","Belum ditempatkan",IF(I101="","CEK ID FIXTURE tidak ada di DAFTAR_FIXTURE",IF(G101="","CEK ZONA NO kosong",IF(K101="zona tidak ada di layout","CEK ZONA NO di luar layout",IF(H101&lt;&gt;K101,"CEK JENIS ZONA",IF(A101="","Zona kosong",IF(B101="","CEK SKU DESCRIPTION kosong","OK"))))))))</f>
        <v/>
      </c>
    </row>
    <row r="102">
      <c r="A102" s="10" t="inlineStr">
        <is>
          <t>10198160</t>
        </is>
      </c>
      <c r="B102" s="11" t="inlineStr">
        <is>
          <t>TANTA NYLON WHISK</t>
        </is>
      </c>
      <c r="C102" s="11" t="n"/>
      <c r="D102" s="11" t="n"/>
      <c r="E102" s="11" t="n"/>
      <c r="F102" s="11" t="inlineStr">
        <is>
          <t>GND-02</t>
        </is>
      </c>
      <c r="G102" s="11" t="n">
        <v>3</v>
      </c>
      <c r="H102" s="11" t="inlineStr">
        <is>
          <t>Gantungan</t>
        </is>
      </c>
      <c r="I102" s="12">
        <f>IF(F102="","",IFERROR(INDEX(DAFTAR_FIXTURE!$B$2:$B$51,MATCH(F102,DAFTAR_FIXTURE!$A$2:$A$51,0)),""))</f>
        <v/>
      </c>
      <c r="J102" s="12">
        <f>IF(A102="","","https://cdn.ruparupa.io/fit-in/850x850/ruparupa-com/image/upload/Products/"&amp;A102&amp;"_1.jpg")</f>
        <v/>
      </c>
      <c r="K102" s="12">
        <f>IF(OR(I102="",G102=""),"",IFERROR(INDEX(LAYOUT!$D$2:$D$34,MATCH(I102&amp;"|"&amp;G102,LAYOUT!$E$2:$E$34,0)),"zona tidak ada di layout"))</f>
        <v/>
      </c>
      <c r="L102" s="12">
        <f>IF(OR(F102="",A102=""),"",COUNTIFS($F$2:$F$500,F102,$G$2:$G$500,G102,$A$2:$A$500,"&lt;&gt;"))</f>
        <v/>
      </c>
      <c r="M102" s="12">
        <f>IF(AND(A102="",F102=""),"",IF(F102="","Belum ditempatkan",IF(I102="","CEK ID FIXTURE tidak ada di DAFTAR_FIXTURE",IF(G102="","CEK ZONA NO kosong",IF(K102="zona tidak ada di layout","CEK ZONA NO di luar layout",IF(H102&lt;&gt;K102,"CEK JENIS ZONA",IF(A102="","Zona kosong",IF(B102="","CEK SKU DESCRIPTION kosong","OK"))))))))</f>
        <v/>
      </c>
    </row>
    <row r="103">
      <c r="A103" s="10" t="inlineStr">
        <is>
          <t>10198149</t>
        </is>
      </c>
      <c r="B103" s="11" t="inlineStr">
        <is>
          <t>TANTA STRAINER DIA 10CM</t>
        </is>
      </c>
      <c r="C103" s="11" t="n"/>
      <c r="D103" s="11" t="n"/>
      <c r="E103" s="11" t="n"/>
      <c r="F103" s="11" t="inlineStr">
        <is>
          <t>GND-02</t>
        </is>
      </c>
      <c r="G103" s="11" t="n">
        <v>4</v>
      </c>
      <c r="H103" s="11" t="inlineStr">
        <is>
          <t>Gantungan</t>
        </is>
      </c>
      <c r="I103" s="12">
        <f>IF(F103="","",IFERROR(INDEX(DAFTAR_FIXTURE!$B$2:$B$51,MATCH(F103,DAFTAR_FIXTURE!$A$2:$A$51,0)),""))</f>
        <v/>
      </c>
      <c r="J103" s="12">
        <f>IF(A103="","","https://cdn.ruparupa.io/fit-in/850x850/ruparupa-com/image/upload/Products/"&amp;A103&amp;"_1.jpg")</f>
        <v/>
      </c>
      <c r="K103" s="12">
        <f>IF(OR(I103="",G103=""),"",IFERROR(INDEX(LAYOUT!$D$2:$D$34,MATCH(I103&amp;"|"&amp;G103,LAYOUT!$E$2:$E$34,0)),"zona tidak ada di layout"))</f>
        <v/>
      </c>
      <c r="L103" s="12">
        <f>IF(OR(F103="",A103=""),"",COUNTIFS($F$2:$F$500,F103,$G$2:$G$500,G103,$A$2:$A$500,"&lt;&gt;"))</f>
        <v/>
      </c>
      <c r="M103" s="12">
        <f>IF(AND(A103="",F103=""),"",IF(F103="","Belum ditempatkan",IF(I103="","CEK ID FIXTURE tidak ada di DAFTAR_FIXTURE",IF(G103="","CEK ZONA NO kosong",IF(K103="zona tidak ada di layout","CEK ZONA NO di luar layout",IF(H103&lt;&gt;K103,"CEK JENIS ZONA",IF(A103="","Zona kosong",IF(B103="","CEK SKU DESCRIPTION kosong","OK"))))))))</f>
        <v/>
      </c>
    </row>
    <row r="104">
      <c r="A104" s="10" t="inlineStr">
        <is>
          <t>10198150</t>
        </is>
      </c>
      <c r="B104" s="11" t="inlineStr">
        <is>
          <t>TANTA NYLON TONGS 9 INCH</t>
        </is>
      </c>
      <c r="C104" s="11" t="n"/>
      <c r="D104" s="11" t="n"/>
      <c r="E104" s="11" t="n"/>
      <c r="F104" s="11" t="inlineStr">
        <is>
          <t>GND-02</t>
        </is>
      </c>
      <c r="G104" s="11" t="n">
        <v>4</v>
      </c>
      <c r="H104" s="11" t="inlineStr">
        <is>
          <t>Gantungan</t>
        </is>
      </c>
      <c r="I104" s="12">
        <f>IF(F104="","",IFERROR(INDEX(DAFTAR_FIXTURE!$B$2:$B$51,MATCH(F104,DAFTAR_FIXTURE!$A$2:$A$51,0)),""))</f>
        <v/>
      </c>
      <c r="J104" s="12">
        <f>IF(A104="","","https://cdn.ruparupa.io/fit-in/850x850/ruparupa-com/image/upload/Products/"&amp;A104&amp;"_1.jpg")</f>
        <v/>
      </c>
      <c r="K104" s="12">
        <f>IF(OR(I104="",G104=""),"",IFERROR(INDEX(LAYOUT!$D$2:$D$34,MATCH(I104&amp;"|"&amp;G104,LAYOUT!$E$2:$E$34,0)),"zona tidak ada di layout"))</f>
        <v/>
      </c>
      <c r="L104" s="12">
        <f>IF(OR(F104="",A104=""),"",COUNTIFS($F$2:$F$500,F104,$G$2:$G$500,G104,$A$2:$A$500,"&lt;&gt;"))</f>
        <v/>
      </c>
      <c r="M104" s="12">
        <f>IF(AND(A104="",F104=""),"",IF(F104="","Belum ditempatkan",IF(I104="","CEK ID FIXTURE tidak ada di DAFTAR_FIXTURE",IF(G104="","CEK ZONA NO kosong",IF(K104="zona tidak ada di layout","CEK ZONA NO di luar layout",IF(H104&lt;&gt;K104,"CEK JENIS ZONA",IF(A104="","Zona kosong",IF(B104="","CEK SKU DESCRIPTION kosong","OK"))))))))</f>
        <v/>
      </c>
    </row>
    <row r="105">
      <c r="A105" s="10" t="inlineStr">
        <is>
          <t>10198151</t>
        </is>
      </c>
      <c r="B105" s="11" t="inlineStr">
        <is>
          <t>TANTA NYLON TONGS 12 INCH</t>
        </is>
      </c>
      <c r="C105" s="11" t="n"/>
      <c r="D105" s="11" t="n"/>
      <c r="E105" s="11" t="n"/>
      <c r="F105" s="11" t="inlineStr">
        <is>
          <t>GND-02</t>
        </is>
      </c>
      <c r="G105" s="11" t="n">
        <v>4</v>
      </c>
      <c r="H105" s="11" t="inlineStr">
        <is>
          <t>Gantungan</t>
        </is>
      </c>
      <c r="I105" s="12">
        <f>IF(F105="","",IFERROR(INDEX(DAFTAR_FIXTURE!$B$2:$B$51,MATCH(F105,DAFTAR_FIXTURE!$A$2:$A$51,0)),""))</f>
        <v/>
      </c>
      <c r="J105" s="12">
        <f>IF(A105="","","https://cdn.ruparupa.io/fit-in/850x850/ruparupa-com/image/upload/Products/"&amp;A105&amp;"_1.jpg")</f>
        <v/>
      </c>
      <c r="K105" s="12">
        <f>IF(OR(I105="",G105=""),"",IFERROR(INDEX(LAYOUT!$D$2:$D$34,MATCH(I105&amp;"|"&amp;G105,LAYOUT!$E$2:$E$34,0)),"zona tidak ada di layout"))</f>
        <v/>
      </c>
      <c r="L105" s="12">
        <f>IF(OR(F105="",A105=""),"",COUNTIFS($F$2:$F$500,F105,$G$2:$G$500,G105,$A$2:$A$500,"&lt;&gt;"))</f>
        <v/>
      </c>
      <c r="M105" s="12">
        <f>IF(AND(A105="",F105=""),"",IF(F105="","Belum ditempatkan",IF(I105="","CEK ID FIXTURE tidak ada di DAFTAR_FIXTURE",IF(G105="","CEK ZONA NO kosong",IF(K105="zona tidak ada di layout","CEK ZONA NO di luar layout",IF(H105&lt;&gt;K105,"CEK JENIS ZONA",IF(A105="","Zona kosong",IF(B105="","CEK SKU DESCRIPTION kosong","OK"))))))))</f>
        <v/>
      </c>
    </row>
    <row r="106">
      <c r="A106" s="10" t="inlineStr">
        <is>
          <t>10198152</t>
        </is>
      </c>
      <c r="B106" s="11" t="inlineStr">
        <is>
          <t>TANTA S/S SOLID TURNER M</t>
        </is>
      </c>
      <c r="C106" s="11" t="n"/>
      <c r="D106" s="11" t="n"/>
      <c r="E106" s="11" t="n"/>
      <c r="F106" s="11" t="inlineStr">
        <is>
          <t>GND-02</t>
        </is>
      </c>
      <c r="G106" s="11" t="n">
        <v>4</v>
      </c>
      <c r="H106" s="11" t="inlineStr">
        <is>
          <t>Gantungan</t>
        </is>
      </c>
      <c r="I106" s="12">
        <f>IF(F106="","",IFERROR(INDEX(DAFTAR_FIXTURE!$B$2:$B$51,MATCH(F106,DAFTAR_FIXTURE!$A$2:$A$51,0)),""))</f>
        <v/>
      </c>
      <c r="J106" s="12">
        <f>IF(A106="","","https://cdn.ruparupa.io/fit-in/850x850/ruparupa-com/image/upload/Products/"&amp;A106&amp;"_1.jpg")</f>
        <v/>
      </c>
      <c r="K106" s="12">
        <f>IF(OR(I106="",G106=""),"",IFERROR(INDEX(LAYOUT!$D$2:$D$34,MATCH(I106&amp;"|"&amp;G106,LAYOUT!$E$2:$E$34,0)),"zona tidak ada di layout"))</f>
        <v/>
      </c>
      <c r="L106" s="12">
        <f>IF(OR(F106="",A106=""),"",COUNTIFS($F$2:$F$500,F106,$G$2:$G$500,G106,$A$2:$A$500,"&lt;&gt;"))</f>
        <v/>
      </c>
      <c r="M106" s="12">
        <f>IF(AND(A106="",F106=""),"",IF(F106="","Belum ditempatkan",IF(I106="","CEK ID FIXTURE tidak ada di DAFTAR_FIXTURE",IF(G106="","CEK ZONA NO kosong",IF(K106="zona tidak ada di layout","CEK ZONA NO di luar layout",IF(H106&lt;&gt;K106,"CEK JENIS ZONA",IF(A106="","Zona kosong",IF(B106="","CEK SKU DESCRIPTION kosong","OK"))))))))</f>
        <v/>
      </c>
    </row>
    <row r="107">
      <c r="A107" s="10" t="inlineStr">
        <is>
          <t>10198154</t>
        </is>
      </c>
      <c r="B107" s="11" t="inlineStr">
        <is>
          <t>TANTA S/S LADLE</t>
        </is>
      </c>
      <c r="C107" s="11" t="n"/>
      <c r="D107" s="11" t="n"/>
      <c r="E107" s="11" t="n"/>
      <c r="F107" s="11" t="inlineStr">
        <is>
          <t>GND-02</t>
        </is>
      </c>
      <c r="G107" s="11" t="n">
        <v>4</v>
      </c>
      <c r="H107" s="11" t="inlineStr">
        <is>
          <t>Gantungan</t>
        </is>
      </c>
      <c r="I107" s="12">
        <f>IF(F107="","",IFERROR(INDEX(DAFTAR_FIXTURE!$B$2:$B$51,MATCH(F107,DAFTAR_FIXTURE!$A$2:$A$51,0)),""))</f>
        <v/>
      </c>
      <c r="J107" s="12">
        <f>IF(A107="","","https://cdn.ruparupa.io/fit-in/850x850/ruparupa-com/image/upload/Products/"&amp;A107&amp;"_1.jpg")</f>
        <v/>
      </c>
      <c r="K107" s="12">
        <f>IF(OR(I107="",G107=""),"",IFERROR(INDEX(LAYOUT!$D$2:$D$34,MATCH(I107&amp;"|"&amp;G107,LAYOUT!$E$2:$E$34,0)),"zona tidak ada di layout"))</f>
        <v/>
      </c>
      <c r="L107" s="12">
        <f>IF(OR(F107="",A107=""),"",COUNTIFS($F$2:$F$500,F107,$G$2:$G$500,G107,$A$2:$A$500,"&lt;&gt;"))</f>
        <v/>
      </c>
      <c r="M107" s="12">
        <f>IF(AND(A107="",F107=""),"",IF(F107="","Belum ditempatkan",IF(I107="","CEK ID FIXTURE tidak ada di DAFTAR_FIXTURE",IF(G107="","CEK ZONA NO kosong",IF(K107="zona tidak ada di layout","CEK ZONA NO di luar layout",IF(H107&lt;&gt;K107,"CEK JENIS ZONA",IF(A107="","Zona kosong",IF(B107="","CEK SKU DESCRIPTION kosong","OK"))))))))</f>
        <v/>
      </c>
    </row>
    <row r="108">
      <c r="A108" s="10" t="inlineStr">
        <is>
          <t>10198156</t>
        </is>
      </c>
      <c r="B108" s="11" t="inlineStr">
        <is>
          <t>TANTA NYLON SLOTTED TURNER M</t>
        </is>
      </c>
      <c r="C108" s="11" t="n"/>
      <c r="D108" s="11" t="n"/>
      <c r="E108" s="11" t="n"/>
      <c r="F108" s="11" t="inlineStr">
        <is>
          <t>GND-02</t>
        </is>
      </c>
      <c r="G108" s="11" t="n">
        <v>4</v>
      </c>
      <c r="H108" s="11" t="inlineStr">
        <is>
          <t>Gantungan</t>
        </is>
      </c>
      <c r="I108" s="12">
        <f>IF(F108="","",IFERROR(INDEX(DAFTAR_FIXTURE!$B$2:$B$51,MATCH(F108,DAFTAR_FIXTURE!$A$2:$A$51,0)),""))</f>
        <v/>
      </c>
      <c r="J108" s="12">
        <f>IF(A108="","","https://cdn.ruparupa.io/fit-in/850x850/ruparupa-com/image/upload/Products/"&amp;A108&amp;"_1.jpg")</f>
        <v/>
      </c>
      <c r="K108" s="12">
        <f>IF(OR(I108="",G108=""),"",IFERROR(INDEX(LAYOUT!$D$2:$D$34,MATCH(I108&amp;"|"&amp;G108,LAYOUT!$E$2:$E$34,0)),"zona tidak ada di layout"))</f>
        <v/>
      </c>
      <c r="L108" s="12">
        <f>IF(OR(F108="",A108=""),"",COUNTIFS($F$2:$F$500,F108,$G$2:$G$500,G108,$A$2:$A$500,"&lt;&gt;"))</f>
        <v/>
      </c>
      <c r="M108" s="12">
        <f>IF(AND(A108="",F108=""),"",IF(F108="","Belum ditempatkan",IF(I108="","CEK ID FIXTURE tidak ada di DAFTAR_FIXTURE",IF(G108="","CEK ZONA NO kosong",IF(K108="zona tidak ada di layout","CEK ZONA NO di luar layout",IF(H108&lt;&gt;K108,"CEK JENIS ZONA",IF(A108="","Zona kosong",IF(B108="","CEK SKU DESCRIPTION kosong","OK"))))))))</f>
        <v/>
      </c>
    </row>
    <row r="109">
      <c r="A109" s="10" t="inlineStr">
        <is>
          <t>10198157</t>
        </is>
      </c>
      <c r="B109" s="11" t="inlineStr">
        <is>
          <t>TANTA NYLON SOLID TURNER L</t>
        </is>
      </c>
      <c r="C109" s="11" t="n"/>
      <c r="D109" s="11" t="n"/>
      <c r="E109" s="11" t="n"/>
      <c r="F109" s="11" t="inlineStr">
        <is>
          <t>GND-02</t>
        </is>
      </c>
      <c r="G109" s="11" t="n">
        <v>4</v>
      </c>
      <c r="H109" s="11" t="inlineStr">
        <is>
          <t>Gantungan</t>
        </is>
      </c>
      <c r="I109" s="12">
        <f>IF(F109="","",IFERROR(INDEX(DAFTAR_FIXTURE!$B$2:$B$51,MATCH(F109,DAFTAR_FIXTURE!$A$2:$A$51,0)),""))</f>
        <v/>
      </c>
      <c r="J109" s="12">
        <f>IF(A109="","","https://cdn.ruparupa.io/fit-in/850x850/ruparupa-com/image/upload/Products/"&amp;A109&amp;"_1.jpg")</f>
        <v/>
      </c>
      <c r="K109" s="12">
        <f>IF(OR(I109="",G109=""),"",IFERROR(INDEX(LAYOUT!$D$2:$D$34,MATCH(I109&amp;"|"&amp;G109,LAYOUT!$E$2:$E$34,0)),"zona tidak ada di layout"))</f>
        <v/>
      </c>
      <c r="L109" s="12">
        <f>IF(OR(F109="",A109=""),"",COUNTIFS($F$2:$F$500,F109,$G$2:$G$500,G109,$A$2:$A$500,"&lt;&gt;"))</f>
        <v/>
      </c>
      <c r="M109" s="12">
        <f>IF(AND(A109="",F109=""),"",IF(F109="","Belum ditempatkan",IF(I109="","CEK ID FIXTURE tidak ada di DAFTAR_FIXTURE",IF(G109="","CEK ZONA NO kosong",IF(K109="zona tidak ada di layout","CEK ZONA NO di luar layout",IF(H109&lt;&gt;K109,"CEK JENIS ZONA",IF(A109="","Zona kosong",IF(B109="","CEK SKU DESCRIPTION kosong","OK"))))))))</f>
        <v/>
      </c>
    </row>
    <row r="110">
      <c r="A110" s="10" t="inlineStr">
        <is>
          <t>10198159</t>
        </is>
      </c>
      <c r="B110" s="11" t="inlineStr">
        <is>
          <t>TANTA NYLON LADLE</t>
        </is>
      </c>
      <c r="C110" s="11" t="n"/>
      <c r="D110" s="11" t="n"/>
      <c r="E110" s="11" t="n"/>
      <c r="F110" s="11" t="inlineStr">
        <is>
          <t>GND-02</t>
        </is>
      </c>
      <c r="G110" s="11" t="n">
        <v>4</v>
      </c>
      <c r="H110" s="11" t="inlineStr">
        <is>
          <t>Gantungan</t>
        </is>
      </c>
      <c r="I110" s="12">
        <f>IF(F110="","",IFERROR(INDEX(DAFTAR_FIXTURE!$B$2:$B$51,MATCH(F110,DAFTAR_FIXTURE!$A$2:$A$51,0)),""))</f>
        <v/>
      </c>
      <c r="J110" s="12">
        <f>IF(A110="","","https://cdn.ruparupa.io/fit-in/850x850/ruparupa-com/image/upload/Products/"&amp;A110&amp;"_1.jpg")</f>
        <v/>
      </c>
      <c r="K110" s="12">
        <f>IF(OR(I110="",G110=""),"",IFERROR(INDEX(LAYOUT!$D$2:$D$34,MATCH(I110&amp;"|"&amp;G110,LAYOUT!$E$2:$E$34,0)),"zona tidak ada di layout"))</f>
        <v/>
      </c>
      <c r="L110" s="12">
        <f>IF(OR(F110="",A110=""),"",COUNTIFS($F$2:$F$500,F110,$G$2:$G$500,G110,$A$2:$A$500,"&lt;&gt;"))</f>
        <v/>
      </c>
      <c r="M110" s="12">
        <f>IF(AND(A110="",F110=""),"",IF(F110="","Belum ditempatkan",IF(I110="","CEK ID FIXTURE tidak ada di DAFTAR_FIXTURE",IF(G110="","CEK ZONA NO kosong",IF(K110="zona tidak ada di layout","CEK ZONA NO di luar layout",IF(H110&lt;&gt;K110,"CEK JENIS ZONA",IF(A110="","Zona kosong",IF(B110="","CEK SKU DESCRIPTION kosong","OK"))))))))</f>
        <v/>
      </c>
    </row>
    <row r="111">
      <c r="A111" s="10" t="inlineStr">
        <is>
          <t>10198160</t>
        </is>
      </c>
      <c r="B111" s="11" t="inlineStr">
        <is>
          <t>TANTA NYLON WHISK</t>
        </is>
      </c>
      <c r="C111" s="11" t="n"/>
      <c r="D111" s="11" t="n"/>
      <c r="E111" s="11" t="n"/>
      <c r="F111" s="11" t="inlineStr">
        <is>
          <t>GND-02</t>
        </is>
      </c>
      <c r="G111" s="11" t="n">
        <v>4</v>
      </c>
      <c r="H111" s="11" t="inlineStr">
        <is>
          <t>Gantungan</t>
        </is>
      </c>
      <c r="I111" s="12">
        <f>IF(F111="","",IFERROR(INDEX(DAFTAR_FIXTURE!$B$2:$B$51,MATCH(F111,DAFTAR_FIXTURE!$A$2:$A$51,0)),""))</f>
        <v/>
      </c>
      <c r="J111" s="12">
        <f>IF(A111="","","https://cdn.ruparupa.io/fit-in/850x850/ruparupa-com/image/upload/Products/"&amp;A111&amp;"_1.jpg")</f>
        <v/>
      </c>
      <c r="K111" s="12">
        <f>IF(OR(I111="",G111=""),"",IFERROR(INDEX(LAYOUT!$D$2:$D$34,MATCH(I111&amp;"|"&amp;G111,LAYOUT!$E$2:$E$34,0)),"zona tidak ada di layout"))</f>
        <v/>
      </c>
      <c r="L111" s="12">
        <f>IF(OR(F111="",A111=""),"",COUNTIFS($F$2:$F$500,F111,$G$2:$G$500,G111,$A$2:$A$500,"&lt;&gt;"))</f>
        <v/>
      </c>
      <c r="M111" s="12">
        <f>IF(AND(A111="",F111=""),"",IF(F111="","Belum ditempatkan",IF(I111="","CEK ID FIXTURE tidak ada di DAFTAR_FIXTURE",IF(G111="","CEK ZONA NO kosong",IF(K111="zona tidak ada di layout","CEK ZONA NO di luar layout",IF(H111&lt;&gt;K111,"CEK JENIS ZONA",IF(A111="","Zona kosong",IF(B111="","CEK SKU DESCRIPTION kosong","OK"))))))))</f>
        <v/>
      </c>
    </row>
    <row r="112">
      <c r="A112" s="10" t="inlineStr">
        <is>
          <t>10421603</t>
        </is>
      </c>
      <c r="B112" s="11" t="inlineStr">
        <is>
          <t>KINGSTON SAUCEPAN WITH LID 16CM GREEN</t>
        </is>
      </c>
      <c r="C112" s="11" t="n"/>
      <c r="D112" s="11" t="n"/>
      <c r="E112" s="11" t="n"/>
      <c r="F112" s="11" t="inlineStr">
        <is>
          <t>END-01</t>
        </is>
      </c>
      <c r="G112" s="11" t="n">
        <v>1</v>
      </c>
      <c r="H112" s="11" t="inlineStr">
        <is>
          <t>Rak</t>
        </is>
      </c>
      <c r="I112" s="12">
        <f>IF(F112="","",IFERROR(INDEX(DAFTAR_FIXTURE!$B$2:$B$51,MATCH(F112,DAFTAR_FIXTURE!$A$2:$A$51,0)),""))</f>
        <v/>
      </c>
      <c r="J112" s="12">
        <f>IF(A112="","","https://cdn.ruparupa.io/fit-in/850x850/ruparupa-com/image/upload/Products/"&amp;A112&amp;"_1.jpg")</f>
        <v/>
      </c>
      <c r="K112" s="12">
        <f>IF(OR(I112="",G112=""),"",IFERROR(INDEX(LAYOUT!$D$2:$D$34,MATCH(I112&amp;"|"&amp;G112,LAYOUT!$E$2:$E$34,0)),"zona tidak ada di layout"))</f>
        <v/>
      </c>
      <c r="L112" s="12">
        <f>IF(OR(F112="",A112=""),"",COUNTIFS($F$2:$F$500,F112,$G$2:$G$500,G112,$A$2:$A$500,"&lt;&gt;"))</f>
        <v/>
      </c>
      <c r="M112" s="12">
        <f>IF(AND(A112="",F112=""),"",IF(F112="","Belum ditempatkan",IF(I112="","CEK ID FIXTURE tidak ada di DAFTAR_FIXTURE",IF(G112="","CEK ZONA NO kosong",IF(K112="zona tidak ada di layout","CEK ZONA NO di luar layout",IF(H112&lt;&gt;K112,"CEK JENIS ZONA",IF(A112="","Zona kosong",IF(B112="","CEK SKU DESCRIPTION kosong","OK"))))))))</f>
        <v/>
      </c>
    </row>
    <row r="113">
      <c r="A113" s="10" t="inlineStr">
        <is>
          <t>10421608</t>
        </is>
      </c>
      <c r="B113" s="11" t="inlineStr">
        <is>
          <t>KINGSTON CASSEROLE WITH LID 20 CM GREEN</t>
        </is>
      </c>
      <c r="C113" s="11" t="n"/>
      <c r="D113" s="11" t="n"/>
      <c r="E113" s="11" t="n"/>
      <c r="F113" s="11" t="inlineStr">
        <is>
          <t>END-01</t>
        </is>
      </c>
      <c r="G113" s="11" t="n">
        <v>2</v>
      </c>
      <c r="H113" s="11" t="inlineStr">
        <is>
          <t>Rak</t>
        </is>
      </c>
      <c r="I113" s="12">
        <f>IF(F113="","",IFERROR(INDEX(DAFTAR_FIXTURE!$B$2:$B$51,MATCH(F113,DAFTAR_FIXTURE!$A$2:$A$51,0)),""))</f>
        <v/>
      </c>
      <c r="J113" s="12">
        <f>IF(A113="","","https://cdn.ruparupa.io/fit-in/850x850/ruparupa-com/image/upload/Products/"&amp;A113&amp;"_1.jpg")</f>
        <v/>
      </c>
      <c r="K113" s="12">
        <f>IF(OR(I113="",G113=""),"",IFERROR(INDEX(LAYOUT!$D$2:$D$34,MATCH(I113&amp;"|"&amp;G113,LAYOUT!$E$2:$E$34,0)),"zona tidak ada di layout"))</f>
        <v/>
      </c>
      <c r="L113" s="12">
        <f>IF(OR(F113="",A113=""),"",COUNTIFS($F$2:$F$500,F113,$G$2:$G$500,G113,$A$2:$A$500,"&lt;&gt;"))</f>
        <v/>
      </c>
      <c r="M113" s="12">
        <f>IF(AND(A113="",F113=""),"",IF(F113="","Belum ditempatkan",IF(I113="","CEK ID FIXTURE tidak ada di DAFTAR_FIXTURE",IF(G113="","CEK ZONA NO kosong",IF(K113="zona tidak ada di layout","CEK ZONA NO di luar layout",IF(H113&lt;&gt;K113,"CEK JENIS ZONA",IF(A113="","Zona kosong",IF(B113="","CEK SKU DESCRIPTION kosong","OK"))))))))</f>
        <v/>
      </c>
    </row>
    <row r="114">
      <c r="A114" s="10" t="inlineStr">
        <is>
          <t>10421610</t>
        </is>
      </c>
      <c r="B114" s="11" t="inlineStr">
        <is>
          <t>KINGSTON GRILL PAN 24CM GREEN</t>
        </is>
      </c>
      <c r="C114" s="11" t="n"/>
      <c r="D114" s="11" t="n"/>
      <c r="E114" s="11" t="n"/>
      <c r="F114" s="11" t="inlineStr">
        <is>
          <t>END-01</t>
        </is>
      </c>
      <c r="G114" s="11" t="n">
        <v>3</v>
      </c>
      <c r="H114" s="11" t="inlineStr">
        <is>
          <t>Rak</t>
        </is>
      </c>
      <c r="I114" s="12">
        <f>IF(F114="","",IFERROR(INDEX(DAFTAR_FIXTURE!$B$2:$B$51,MATCH(F114,DAFTAR_FIXTURE!$A$2:$A$51,0)),""))</f>
        <v/>
      </c>
      <c r="J114" s="12">
        <f>IF(A114="","","https://cdn.ruparupa.io/fit-in/850x850/ruparupa-com/image/upload/Products/"&amp;A114&amp;"_1.jpg")</f>
        <v/>
      </c>
      <c r="K114" s="12">
        <f>IF(OR(I114="",G114=""),"",IFERROR(INDEX(LAYOUT!$D$2:$D$34,MATCH(I114&amp;"|"&amp;G114,LAYOUT!$E$2:$E$34,0)),"zona tidak ada di layout"))</f>
        <v/>
      </c>
      <c r="L114" s="12">
        <f>IF(OR(F114="",A114=""),"",COUNTIFS($F$2:$F$500,F114,$G$2:$G$500,G114,$A$2:$A$500,"&lt;&gt;"))</f>
        <v/>
      </c>
      <c r="M114" s="12">
        <f>IF(AND(A114="",F114=""),"",IF(F114="","Belum ditempatkan",IF(I114="","CEK ID FIXTURE tidak ada di DAFTAR_FIXTURE",IF(G114="","CEK ZONA NO kosong",IF(K114="zona tidak ada di layout","CEK ZONA NO di luar layout",IF(H114&lt;&gt;K114,"CEK JENIS ZONA",IF(A114="","Zona kosong",IF(B114="","CEK SKU DESCRIPTION kosong","OK"))))))))</f>
        <v/>
      </c>
    </row>
    <row r="115">
      <c r="A115" s="10" t="inlineStr">
        <is>
          <t>10421614</t>
        </is>
      </c>
      <c r="B115" s="11" t="inlineStr">
        <is>
          <t>KIRA WOK 2 HANDLE W LID AND UTENSIL BRN</t>
        </is>
      </c>
      <c r="C115" s="11" t="n"/>
      <c r="D115" s="11" t="n"/>
      <c r="E115" s="11" t="n"/>
      <c r="F115" s="11" t="inlineStr">
        <is>
          <t>END-01</t>
        </is>
      </c>
      <c r="G115" s="11" t="n">
        <v>4</v>
      </c>
      <c r="H115" s="11" t="inlineStr">
        <is>
          <t>Rak</t>
        </is>
      </c>
      <c r="I115" s="12">
        <f>IF(F115="","",IFERROR(INDEX(DAFTAR_FIXTURE!$B$2:$B$51,MATCH(F115,DAFTAR_FIXTURE!$A$2:$A$51,0)),""))</f>
        <v/>
      </c>
      <c r="J115" s="12">
        <f>IF(A115="","","https://cdn.ruparupa.io/fit-in/850x850/ruparupa-com/image/upload/Products/"&amp;A115&amp;"_1.jpg")</f>
        <v/>
      </c>
      <c r="K115" s="12">
        <f>IF(OR(I115="",G115=""),"",IFERROR(INDEX(LAYOUT!$D$2:$D$34,MATCH(I115&amp;"|"&amp;G115,LAYOUT!$E$2:$E$34,0)),"zona tidak ada di layout"))</f>
        <v/>
      </c>
      <c r="L115" s="12">
        <f>IF(OR(F115="",A115=""),"",COUNTIFS($F$2:$F$500,F115,$G$2:$G$500,G115,$A$2:$A$500,"&lt;&gt;"))</f>
        <v/>
      </c>
      <c r="M115" s="12">
        <f>IF(AND(A115="",F115=""),"",IF(F115="","Belum ditempatkan",IF(I115="","CEK ID FIXTURE tidak ada di DAFTAR_FIXTURE",IF(G115="","CEK ZONA NO kosong",IF(K115="zona tidak ada di layout","CEK ZONA NO di luar layout",IF(H115&lt;&gt;K115,"CEK JENIS ZONA",IF(A115="","Zona kosong",IF(B115="","CEK SKU DESCRIPTION kosong","OK"))))))))</f>
        <v/>
      </c>
    </row>
    <row r="116">
      <c r="A116" s="10" t="inlineStr">
        <is>
          <t>10099887</t>
        </is>
      </c>
      <c r="B116" s="11" t="inlineStr">
        <is>
          <t>ELAN WATER GLASS SET 414ML (6)</t>
        </is>
      </c>
      <c r="C116" s="11" t="n"/>
      <c r="D116" s="11" t="n"/>
      <c r="E116" s="11" t="n"/>
      <c r="F116" s="11" t="inlineStr">
        <is>
          <t>PLT-01</t>
        </is>
      </c>
      <c r="G116" s="11" t="n">
        <v>1</v>
      </c>
      <c r="H116" s="11" t="inlineStr">
        <is>
          <t>Rak</t>
        </is>
      </c>
      <c r="I116" s="12">
        <f>IF(F116="","",IFERROR(INDEX(DAFTAR_FIXTURE!$B$2:$B$51,MATCH(F116,DAFTAR_FIXTURE!$A$2:$A$51,0)),""))</f>
        <v/>
      </c>
      <c r="J116" s="12">
        <f>IF(A116="","","https://cdn.ruparupa.io/fit-in/850x850/ruparupa-com/image/upload/Products/"&amp;A116&amp;"_1.jpg")</f>
        <v/>
      </c>
      <c r="K116" s="12">
        <f>IF(OR(I116="",G116=""),"",IFERROR(INDEX(LAYOUT!$D$2:$D$34,MATCH(I116&amp;"|"&amp;G116,LAYOUT!$E$2:$E$34,0)),"zona tidak ada di layout"))</f>
        <v/>
      </c>
      <c r="L116" s="12">
        <f>IF(OR(F116="",A116=""),"",COUNTIFS($F$2:$F$500,F116,$G$2:$G$500,G116,$A$2:$A$500,"&lt;&gt;"))</f>
        <v/>
      </c>
      <c r="M116" s="12">
        <f>IF(AND(A116="",F116=""),"",IF(F116="","Belum ditempatkan",IF(I116="","CEK ID FIXTURE tidak ada di DAFTAR_FIXTURE",IF(G116="","CEK ZONA NO kosong",IF(K116="zona tidak ada di layout","CEK ZONA NO di luar layout",IF(H116&lt;&gt;K116,"CEK JENIS ZONA",IF(A116="","Zona kosong",IF(B116="","CEK SKU DESCRIPTION kosong","OK"))))))))</f>
        <v/>
      </c>
    </row>
    <row r="117">
      <c r="A117" s="10" t="inlineStr">
        <is>
          <t>10099940</t>
        </is>
      </c>
      <c r="B117" s="11" t="inlineStr">
        <is>
          <t>INVERNESS WATER GLASS SET 355ML (6)</t>
        </is>
      </c>
      <c r="C117" s="11" t="n"/>
      <c r="D117" s="11" t="n"/>
      <c r="E117" s="11" t="n"/>
      <c r="F117" s="11" t="inlineStr">
        <is>
          <t>PLT-01</t>
        </is>
      </c>
      <c r="G117" s="11" t="n">
        <v>1</v>
      </c>
      <c r="H117" s="11" t="inlineStr">
        <is>
          <t>Rak</t>
        </is>
      </c>
      <c r="I117" s="12">
        <f>IF(F117="","",IFERROR(INDEX(DAFTAR_FIXTURE!$B$2:$B$51,MATCH(F117,DAFTAR_FIXTURE!$A$2:$A$51,0)),""))</f>
        <v/>
      </c>
      <c r="J117" s="12">
        <f>IF(A117="","","https://cdn.ruparupa.io/fit-in/850x850/ruparupa-com/image/upload/Products/"&amp;A117&amp;"_1.jpg")</f>
        <v/>
      </c>
      <c r="K117" s="12">
        <f>IF(OR(I117="",G117=""),"",IFERROR(INDEX(LAYOUT!$D$2:$D$34,MATCH(I117&amp;"|"&amp;G117,LAYOUT!$E$2:$E$34,0)),"zona tidak ada di layout"))</f>
        <v/>
      </c>
      <c r="L117" s="12">
        <f>IF(OR(F117="",A117=""),"",COUNTIFS($F$2:$F$500,F117,$G$2:$G$500,G117,$A$2:$A$500,"&lt;&gt;"))</f>
        <v/>
      </c>
      <c r="M117" s="12">
        <f>IF(AND(A117="",F117=""),"",IF(F117="","Belum ditempatkan",IF(I117="","CEK ID FIXTURE tidak ada di DAFTAR_FIXTURE",IF(G117="","CEK ZONA NO kosong",IF(K117="zona tidak ada di layout","CEK ZONA NO di luar layout",IF(H117&lt;&gt;K117,"CEK JENIS ZONA",IF(A117="","Zona kosong",IF(B117="","CEK SKU DESCRIPTION kosong","OK"))))))))</f>
        <v/>
      </c>
    </row>
    <row r="118">
      <c r="A118" s="10" t="n"/>
      <c r="B118" s="11" t="n"/>
      <c r="C118" s="11" t="n"/>
      <c r="D118" s="11" t="n"/>
      <c r="E118" s="11" t="n"/>
      <c r="F118" s="11" t="n"/>
      <c r="G118" s="11" t="n"/>
      <c r="H118" s="11" t="n"/>
      <c r="I118" s="12">
        <f>IF(F118="","",IFERROR(INDEX(DAFTAR_FIXTURE!$B$2:$B$51,MATCH(F118,DAFTAR_FIXTURE!$A$2:$A$51,0)),""))</f>
        <v/>
      </c>
      <c r="J118" s="12">
        <f>IF(A118="","","https://cdn.ruparupa.io/fit-in/850x850/ruparupa-com/image/upload/Products/"&amp;A118&amp;"_1.jpg")</f>
        <v/>
      </c>
      <c r="K118" s="12">
        <f>IF(OR(I118="",G118=""),"",IFERROR(INDEX(LAYOUT!$D$2:$D$34,MATCH(I118&amp;"|"&amp;G118,LAYOUT!$E$2:$E$34,0)),"zona tidak ada di layout"))</f>
        <v/>
      </c>
      <c r="L118" s="12">
        <f>IF(OR(F118="",A118=""),"",COUNTIFS($F$2:$F$500,F118,$G$2:$G$500,G118,$A$2:$A$500,"&lt;&gt;"))</f>
        <v/>
      </c>
      <c r="M118" s="12">
        <f>IF(AND(A118="",F118=""),"",IF(F118="","Belum ditempatkan",IF(I118="","CEK ID FIXTURE tidak ada di DAFTAR_FIXTURE",IF(G118="","CEK ZONA NO kosong",IF(K118="zona tidak ada di layout","CEK ZONA NO di luar layout",IF(H118&lt;&gt;K118,"CEK JENIS ZONA",IF(A118="","Zona kosong",IF(B118="","CEK SKU DESCRIPTION kosong","OK"))))))))</f>
        <v/>
      </c>
    </row>
    <row r="119">
      <c r="A119" s="10" t="n"/>
      <c r="B119" s="11" t="n"/>
      <c r="C119" s="11" t="n"/>
      <c r="D119" s="11" t="n"/>
      <c r="E119" s="11" t="n"/>
      <c r="F119" s="11" t="n"/>
      <c r="G119" s="11" t="n"/>
      <c r="H119" s="11" t="n"/>
      <c r="I119" s="12">
        <f>IF(F119="","",IFERROR(INDEX(DAFTAR_FIXTURE!$B$2:$B$51,MATCH(F119,DAFTAR_FIXTURE!$A$2:$A$51,0)),""))</f>
        <v/>
      </c>
      <c r="J119" s="12">
        <f>IF(A119="","","https://cdn.ruparupa.io/fit-in/850x850/ruparupa-com/image/upload/Products/"&amp;A119&amp;"_1.jpg")</f>
        <v/>
      </c>
      <c r="K119" s="12">
        <f>IF(OR(I119="",G119=""),"",IFERROR(INDEX(LAYOUT!$D$2:$D$34,MATCH(I119&amp;"|"&amp;G119,LAYOUT!$E$2:$E$34,0)),"zona tidak ada di layout"))</f>
        <v/>
      </c>
      <c r="L119" s="12">
        <f>IF(OR(F119="",A119=""),"",COUNTIFS($F$2:$F$500,F119,$G$2:$G$500,G119,$A$2:$A$500,"&lt;&gt;"))</f>
        <v/>
      </c>
      <c r="M119" s="12">
        <f>IF(AND(A119="",F119=""),"",IF(F119="","Belum ditempatkan",IF(I119="","CEK ID FIXTURE tidak ada di DAFTAR_FIXTURE",IF(G119="","CEK ZONA NO kosong",IF(K119="zona tidak ada di layout","CEK ZONA NO di luar layout",IF(H119&lt;&gt;K119,"CEK JENIS ZONA",IF(A119="","Zona kosong",IF(B119="","CEK SKU DESCRIPTION kosong","OK"))))))))</f>
        <v/>
      </c>
    </row>
    <row r="120">
      <c r="A120" s="10" t="n"/>
      <c r="B120" s="11" t="n"/>
      <c r="C120" s="11" t="n"/>
      <c r="D120" s="11" t="n"/>
      <c r="E120" s="11" t="n"/>
      <c r="F120" s="11" t="n"/>
      <c r="G120" s="11" t="n"/>
      <c r="H120" s="11" t="n"/>
      <c r="I120" s="12">
        <f>IF(F120="","",IFERROR(INDEX(DAFTAR_FIXTURE!$B$2:$B$51,MATCH(F120,DAFTAR_FIXTURE!$A$2:$A$51,0)),""))</f>
        <v/>
      </c>
      <c r="J120" s="12">
        <f>IF(A120="","","https://cdn.ruparupa.io/fit-in/850x850/ruparupa-com/image/upload/Products/"&amp;A120&amp;"_1.jpg")</f>
        <v/>
      </c>
      <c r="K120" s="12">
        <f>IF(OR(I120="",G120=""),"",IFERROR(INDEX(LAYOUT!$D$2:$D$34,MATCH(I120&amp;"|"&amp;G120,LAYOUT!$E$2:$E$34,0)),"zona tidak ada di layout"))</f>
        <v/>
      </c>
      <c r="L120" s="12">
        <f>IF(OR(F120="",A120=""),"",COUNTIFS($F$2:$F$500,F120,$G$2:$G$500,G120,$A$2:$A$500,"&lt;&gt;"))</f>
        <v/>
      </c>
      <c r="M120" s="12">
        <f>IF(AND(A120="",F120=""),"",IF(F120="","Belum ditempatkan",IF(I120="","CEK ID FIXTURE tidak ada di DAFTAR_FIXTURE",IF(G120="","CEK ZONA NO kosong",IF(K120="zona tidak ada di layout","CEK ZONA NO di luar layout",IF(H120&lt;&gt;K120,"CEK JENIS ZONA",IF(A120="","Zona kosong",IF(B120="","CEK SKU DESCRIPTION kosong","OK"))))))))</f>
        <v/>
      </c>
    </row>
    <row r="121">
      <c r="A121" s="10" t="n"/>
      <c r="B121" s="11" t="n"/>
      <c r="C121" s="11" t="n"/>
      <c r="D121" s="11" t="n"/>
      <c r="E121" s="11" t="n"/>
      <c r="F121" s="11" t="n"/>
      <c r="G121" s="11" t="n"/>
      <c r="H121" s="11" t="n"/>
      <c r="I121" s="12">
        <f>IF(F121="","",IFERROR(INDEX(DAFTAR_FIXTURE!$B$2:$B$51,MATCH(F121,DAFTAR_FIXTURE!$A$2:$A$51,0)),""))</f>
        <v/>
      </c>
      <c r="J121" s="12">
        <f>IF(A121="","","https://cdn.ruparupa.io/fit-in/850x850/ruparupa-com/image/upload/Products/"&amp;A121&amp;"_1.jpg")</f>
        <v/>
      </c>
      <c r="K121" s="12">
        <f>IF(OR(I121="",G121=""),"",IFERROR(INDEX(LAYOUT!$D$2:$D$34,MATCH(I121&amp;"|"&amp;G121,LAYOUT!$E$2:$E$34,0)),"zona tidak ada di layout"))</f>
        <v/>
      </c>
      <c r="L121" s="12">
        <f>IF(OR(F121="",A121=""),"",COUNTIFS($F$2:$F$500,F121,$G$2:$G$500,G121,$A$2:$A$500,"&lt;&gt;"))</f>
        <v/>
      </c>
      <c r="M121" s="12">
        <f>IF(AND(A121="",F121=""),"",IF(F121="","Belum ditempatkan",IF(I121="","CEK ID FIXTURE tidak ada di DAFTAR_FIXTURE",IF(G121="","CEK ZONA NO kosong",IF(K121="zona tidak ada di layout","CEK ZONA NO di luar layout",IF(H121&lt;&gt;K121,"CEK JENIS ZONA",IF(A121="","Zona kosong",IF(B121="","CEK SKU DESCRIPTION kosong","OK"))))))))</f>
        <v/>
      </c>
    </row>
    <row r="122">
      <c r="A122" s="10" t="n"/>
      <c r="B122" s="11" t="n"/>
      <c r="C122" s="11" t="n"/>
      <c r="D122" s="11" t="n"/>
      <c r="E122" s="11" t="n"/>
      <c r="F122" s="11" t="n"/>
      <c r="G122" s="11" t="n"/>
      <c r="H122" s="11" t="n"/>
      <c r="I122" s="12">
        <f>IF(F122="","",IFERROR(INDEX(DAFTAR_FIXTURE!$B$2:$B$51,MATCH(F122,DAFTAR_FIXTURE!$A$2:$A$51,0)),""))</f>
        <v/>
      </c>
      <c r="J122" s="12">
        <f>IF(A122="","","https://cdn.ruparupa.io/fit-in/850x850/ruparupa-com/image/upload/Products/"&amp;A122&amp;"_1.jpg")</f>
        <v/>
      </c>
      <c r="K122" s="12">
        <f>IF(OR(I122="",G122=""),"",IFERROR(INDEX(LAYOUT!$D$2:$D$34,MATCH(I122&amp;"|"&amp;G122,LAYOUT!$E$2:$E$34,0)),"zona tidak ada di layout"))</f>
        <v/>
      </c>
      <c r="L122" s="12">
        <f>IF(OR(F122="",A122=""),"",COUNTIFS($F$2:$F$500,F122,$G$2:$G$500,G122,$A$2:$A$500,"&lt;&gt;"))</f>
        <v/>
      </c>
      <c r="M122" s="12">
        <f>IF(AND(A122="",F122=""),"",IF(F122="","Belum ditempatkan",IF(I122="","CEK ID FIXTURE tidak ada di DAFTAR_FIXTURE",IF(G122="","CEK ZONA NO kosong",IF(K122="zona tidak ada di layout","CEK ZONA NO di luar layout",IF(H122&lt;&gt;K122,"CEK JENIS ZONA",IF(A122="","Zona kosong",IF(B122="","CEK SKU DESCRIPTION kosong","OK"))))))))</f>
        <v/>
      </c>
    </row>
    <row r="123">
      <c r="A123" s="10" t="n"/>
      <c r="B123" s="11" t="n"/>
      <c r="C123" s="11" t="n"/>
      <c r="D123" s="11" t="n"/>
      <c r="E123" s="11" t="n"/>
      <c r="F123" s="11" t="n"/>
      <c r="G123" s="11" t="n"/>
      <c r="H123" s="11" t="n"/>
      <c r="I123" s="12">
        <f>IF(F123="","",IFERROR(INDEX(DAFTAR_FIXTURE!$B$2:$B$51,MATCH(F123,DAFTAR_FIXTURE!$A$2:$A$51,0)),""))</f>
        <v/>
      </c>
      <c r="J123" s="12">
        <f>IF(A123="","","https://cdn.ruparupa.io/fit-in/850x850/ruparupa-com/image/upload/Products/"&amp;A123&amp;"_1.jpg")</f>
        <v/>
      </c>
      <c r="K123" s="12">
        <f>IF(OR(I123="",G123=""),"",IFERROR(INDEX(LAYOUT!$D$2:$D$34,MATCH(I123&amp;"|"&amp;G123,LAYOUT!$E$2:$E$34,0)),"zona tidak ada di layout"))</f>
        <v/>
      </c>
      <c r="L123" s="12">
        <f>IF(OR(F123="",A123=""),"",COUNTIFS($F$2:$F$500,F123,$G$2:$G$500,G123,$A$2:$A$500,"&lt;&gt;"))</f>
        <v/>
      </c>
      <c r="M123" s="12">
        <f>IF(AND(A123="",F123=""),"",IF(F123="","Belum ditempatkan",IF(I123="","CEK ID FIXTURE tidak ada di DAFTAR_FIXTURE",IF(G123="","CEK ZONA NO kosong",IF(K123="zona tidak ada di layout","CEK ZONA NO di luar layout",IF(H123&lt;&gt;K123,"CEK JENIS ZONA",IF(A123="","Zona kosong",IF(B123="","CEK SKU DESCRIPTION kosong","OK"))))))))</f>
        <v/>
      </c>
    </row>
    <row r="124">
      <c r="A124" s="10" t="n"/>
      <c r="B124" s="11" t="n"/>
      <c r="C124" s="11" t="n"/>
      <c r="D124" s="11" t="n"/>
      <c r="E124" s="11" t="n"/>
      <c r="F124" s="11" t="n"/>
      <c r="G124" s="11" t="n"/>
      <c r="H124" s="11" t="n"/>
      <c r="I124" s="12">
        <f>IF(F124="","",IFERROR(INDEX(DAFTAR_FIXTURE!$B$2:$B$51,MATCH(F124,DAFTAR_FIXTURE!$A$2:$A$51,0)),""))</f>
        <v/>
      </c>
      <c r="J124" s="12">
        <f>IF(A124="","","https://cdn.ruparupa.io/fit-in/850x850/ruparupa-com/image/upload/Products/"&amp;A124&amp;"_1.jpg")</f>
        <v/>
      </c>
      <c r="K124" s="12">
        <f>IF(OR(I124="",G124=""),"",IFERROR(INDEX(LAYOUT!$D$2:$D$34,MATCH(I124&amp;"|"&amp;G124,LAYOUT!$E$2:$E$34,0)),"zona tidak ada di layout"))</f>
        <v/>
      </c>
      <c r="L124" s="12">
        <f>IF(OR(F124="",A124=""),"",COUNTIFS($F$2:$F$500,F124,$G$2:$G$500,G124,$A$2:$A$500,"&lt;&gt;"))</f>
        <v/>
      </c>
      <c r="M124" s="12">
        <f>IF(AND(A124="",F124=""),"",IF(F124="","Belum ditempatkan",IF(I124="","CEK ID FIXTURE tidak ada di DAFTAR_FIXTURE",IF(G124="","CEK ZONA NO kosong",IF(K124="zona tidak ada di layout","CEK ZONA NO di luar layout",IF(H124&lt;&gt;K124,"CEK JENIS ZONA",IF(A124="","Zona kosong",IF(B124="","CEK SKU DESCRIPTION kosong","OK"))))))))</f>
        <v/>
      </c>
    </row>
    <row r="125">
      <c r="A125" s="10" t="n"/>
      <c r="B125" s="11" t="n"/>
      <c r="C125" s="11" t="n"/>
      <c r="D125" s="11" t="n"/>
      <c r="E125" s="11" t="n"/>
      <c r="F125" s="11" t="n"/>
      <c r="G125" s="11" t="n"/>
      <c r="H125" s="11" t="n"/>
      <c r="I125" s="12">
        <f>IF(F125="","",IFERROR(INDEX(DAFTAR_FIXTURE!$B$2:$B$51,MATCH(F125,DAFTAR_FIXTURE!$A$2:$A$51,0)),""))</f>
        <v/>
      </c>
      <c r="J125" s="12">
        <f>IF(A125="","","https://cdn.ruparupa.io/fit-in/850x850/ruparupa-com/image/upload/Products/"&amp;A125&amp;"_1.jpg")</f>
        <v/>
      </c>
      <c r="K125" s="12">
        <f>IF(OR(I125="",G125=""),"",IFERROR(INDEX(LAYOUT!$D$2:$D$34,MATCH(I125&amp;"|"&amp;G125,LAYOUT!$E$2:$E$34,0)),"zona tidak ada di layout"))</f>
        <v/>
      </c>
      <c r="L125" s="12">
        <f>IF(OR(F125="",A125=""),"",COUNTIFS($F$2:$F$500,F125,$G$2:$G$500,G125,$A$2:$A$500,"&lt;&gt;"))</f>
        <v/>
      </c>
      <c r="M125" s="12">
        <f>IF(AND(A125="",F125=""),"",IF(F125="","Belum ditempatkan",IF(I125="","CEK ID FIXTURE tidak ada di DAFTAR_FIXTURE",IF(G125="","CEK ZONA NO kosong",IF(K125="zona tidak ada di layout","CEK ZONA NO di luar layout",IF(H125&lt;&gt;K125,"CEK JENIS ZONA",IF(A125="","Zona kosong",IF(B125="","CEK SKU DESCRIPTION kosong","OK"))))))))</f>
        <v/>
      </c>
    </row>
    <row r="126">
      <c r="A126" s="10" t="n"/>
      <c r="B126" s="11" t="n"/>
      <c r="C126" s="11" t="n"/>
      <c r="D126" s="11" t="n"/>
      <c r="E126" s="11" t="n"/>
      <c r="F126" s="11" t="n"/>
      <c r="G126" s="11" t="n"/>
      <c r="H126" s="11" t="n"/>
      <c r="I126" s="12">
        <f>IF(F126="","",IFERROR(INDEX(DAFTAR_FIXTURE!$B$2:$B$51,MATCH(F126,DAFTAR_FIXTURE!$A$2:$A$51,0)),""))</f>
        <v/>
      </c>
      <c r="J126" s="12">
        <f>IF(A126="","","https://cdn.ruparupa.io/fit-in/850x850/ruparupa-com/image/upload/Products/"&amp;A126&amp;"_1.jpg")</f>
        <v/>
      </c>
      <c r="K126" s="12">
        <f>IF(OR(I126="",G126=""),"",IFERROR(INDEX(LAYOUT!$D$2:$D$34,MATCH(I126&amp;"|"&amp;G126,LAYOUT!$E$2:$E$34,0)),"zona tidak ada di layout"))</f>
        <v/>
      </c>
      <c r="L126" s="12">
        <f>IF(OR(F126="",A126=""),"",COUNTIFS($F$2:$F$500,F126,$G$2:$G$500,G126,$A$2:$A$500,"&lt;&gt;"))</f>
        <v/>
      </c>
      <c r="M126" s="12">
        <f>IF(AND(A126="",F126=""),"",IF(F126="","Belum ditempatkan",IF(I126="","CEK ID FIXTURE tidak ada di DAFTAR_FIXTURE",IF(G126="","CEK ZONA NO kosong",IF(K126="zona tidak ada di layout","CEK ZONA NO di luar layout",IF(H126&lt;&gt;K126,"CEK JENIS ZONA",IF(A126="","Zona kosong",IF(B126="","CEK SKU DESCRIPTION kosong","OK"))))))))</f>
        <v/>
      </c>
    </row>
    <row r="127">
      <c r="A127" s="10" t="n"/>
      <c r="B127" s="11" t="n"/>
      <c r="C127" s="11" t="n"/>
      <c r="D127" s="11" t="n"/>
      <c r="E127" s="11" t="n"/>
      <c r="F127" s="11" t="n"/>
      <c r="G127" s="11" t="n"/>
      <c r="H127" s="11" t="n"/>
      <c r="I127" s="12">
        <f>IF(F127="","",IFERROR(INDEX(DAFTAR_FIXTURE!$B$2:$B$51,MATCH(F127,DAFTAR_FIXTURE!$A$2:$A$51,0)),""))</f>
        <v/>
      </c>
      <c r="J127" s="12">
        <f>IF(A127="","","https://cdn.ruparupa.io/fit-in/850x850/ruparupa-com/image/upload/Products/"&amp;A127&amp;"_1.jpg")</f>
        <v/>
      </c>
      <c r="K127" s="12">
        <f>IF(OR(I127="",G127=""),"",IFERROR(INDEX(LAYOUT!$D$2:$D$34,MATCH(I127&amp;"|"&amp;G127,LAYOUT!$E$2:$E$34,0)),"zona tidak ada di layout"))</f>
        <v/>
      </c>
      <c r="L127" s="12">
        <f>IF(OR(F127="",A127=""),"",COUNTIFS($F$2:$F$500,F127,$G$2:$G$500,G127,$A$2:$A$500,"&lt;&gt;"))</f>
        <v/>
      </c>
      <c r="M127" s="12">
        <f>IF(AND(A127="",F127=""),"",IF(F127="","Belum ditempatkan",IF(I127="","CEK ID FIXTURE tidak ada di DAFTAR_FIXTURE",IF(G127="","CEK ZONA NO kosong",IF(K127="zona tidak ada di layout","CEK ZONA NO di luar layout",IF(H127&lt;&gt;K127,"CEK JENIS ZONA",IF(A127="","Zona kosong",IF(B127="","CEK SKU DESCRIPTION kosong","OK"))))))))</f>
        <v/>
      </c>
    </row>
    <row r="128">
      <c r="A128" s="10" t="n"/>
      <c r="B128" s="11" t="n"/>
      <c r="C128" s="11" t="n"/>
      <c r="D128" s="11" t="n"/>
      <c r="E128" s="11" t="n"/>
      <c r="F128" s="11" t="n"/>
      <c r="G128" s="11" t="n"/>
      <c r="H128" s="11" t="n"/>
      <c r="I128" s="12">
        <f>IF(F128="","",IFERROR(INDEX(DAFTAR_FIXTURE!$B$2:$B$51,MATCH(F128,DAFTAR_FIXTURE!$A$2:$A$51,0)),""))</f>
        <v/>
      </c>
      <c r="J128" s="12">
        <f>IF(A128="","","https://cdn.ruparupa.io/fit-in/850x850/ruparupa-com/image/upload/Products/"&amp;A128&amp;"_1.jpg")</f>
        <v/>
      </c>
      <c r="K128" s="12">
        <f>IF(OR(I128="",G128=""),"",IFERROR(INDEX(LAYOUT!$D$2:$D$34,MATCH(I128&amp;"|"&amp;G128,LAYOUT!$E$2:$E$34,0)),"zona tidak ada di layout"))</f>
        <v/>
      </c>
      <c r="L128" s="12">
        <f>IF(OR(F128="",A128=""),"",COUNTIFS($F$2:$F$500,F128,$G$2:$G$500,G128,$A$2:$A$500,"&lt;&gt;"))</f>
        <v/>
      </c>
      <c r="M128" s="12">
        <f>IF(AND(A128="",F128=""),"",IF(F128="","Belum ditempatkan",IF(I128="","CEK ID FIXTURE tidak ada di DAFTAR_FIXTURE",IF(G128="","CEK ZONA NO kosong",IF(K128="zona tidak ada di layout","CEK ZONA NO di luar layout",IF(H128&lt;&gt;K128,"CEK JENIS ZONA",IF(A128="","Zona kosong",IF(B128="","CEK SKU DESCRIPTION kosong","OK"))))))))</f>
        <v/>
      </c>
    </row>
    <row r="129">
      <c r="A129" s="10" t="n"/>
      <c r="B129" s="11" t="n"/>
      <c r="C129" s="11" t="n"/>
      <c r="D129" s="11" t="n"/>
      <c r="E129" s="11" t="n"/>
      <c r="F129" s="11" t="n"/>
      <c r="G129" s="11" t="n"/>
      <c r="H129" s="11" t="n"/>
      <c r="I129" s="12">
        <f>IF(F129="","",IFERROR(INDEX(DAFTAR_FIXTURE!$B$2:$B$51,MATCH(F129,DAFTAR_FIXTURE!$A$2:$A$51,0)),""))</f>
        <v/>
      </c>
      <c r="J129" s="12">
        <f>IF(A129="","","https://cdn.ruparupa.io/fit-in/850x850/ruparupa-com/image/upload/Products/"&amp;A129&amp;"_1.jpg")</f>
        <v/>
      </c>
      <c r="K129" s="12">
        <f>IF(OR(I129="",G129=""),"",IFERROR(INDEX(LAYOUT!$D$2:$D$34,MATCH(I129&amp;"|"&amp;G129,LAYOUT!$E$2:$E$34,0)),"zona tidak ada di layout"))</f>
        <v/>
      </c>
      <c r="L129" s="12">
        <f>IF(OR(F129="",A129=""),"",COUNTIFS($F$2:$F$500,F129,$G$2:$G$500,G129,$A$2:$A$500,"&lt;&gt;"))</f>
        <v/>
      </c>
      <c r="M129" s="12">
        <f>IF(AND(A129="",F129=""),"",IF(F129="","Belum ditempatkan",IF(I129="","CEK ID FIXTURE tidak ada di DAFTAR_FIXTURE",IF(G129="","CEK ZONA NO kosong",IF(K129="zona tidak ada di layout","CEK ZONA NO di luar layout",IF(H129&lt;&gt;K129,"CEK JENIS ZONA",IF(A129="","Zona kosong",IF(B129="","CEK SKU DESCRIPTION kosong","OK"))))))))</f>
        <v/>
      </c>
    </row>
    <row r="130">
      <c r="A130" s="10" t="n"/>
      <c r="B130" s="11" t="n"/>
      <c r="C130" s="11" t="n"/>
      <c r="D130" s="11" t="n"/>
      <c r="E130" s="11" t="n"/>
      <c r="F130" s="11" t="n"/>
      <c r="G130" s="11" t="n"/>
      <c r="H130" s="11" t="n"/>
      <c r="I130" s="12">
        <f>IF(F130="","",IFERROR(INDEX(DAFTAR_FIXTURE!$B$2:$B$51,MATCH(F130,DAFTAR_FIXTURE!$A$2:$A$51,0)),""))</f>
        <v/>
      </c>
      <c r="J130" s="12">
        <f>IF(A130="","","https://cdn.ruparupa.io/fit-in/850x850/ruparupa-com/image/upload/Products/"&amp;A130&amp;"_1.jpg")</f>
        <v/>
      </c>
      <c r="K130" s="12">
        <f>IF(OR(I130="",G130=""),"",IFERROR(INDEX(LAYOUT!$D$2:$D$34,MATCH(I130&amp;"|"&amp;G130,LAYOUT!$E$2:$E$34,0)),"zona tidak ada di layout"))</f>
        <v/>
      </c>
      <c r="L130" s="12">
        <f>IF(OR(F130="",A130=""),"",COUNTIFS($F$2:$F$500,F130,$G$2:$G$500,G130,$A$2:$A$500,"&lt;&gt;"))</f>
        <v/>
      </c>
      <c r="M130" s="12">
        <f>IF(AND(A130="",F130=""),"",IF(F130="","Belum ditempatkan",IF(I130="","CEK ID FIXTURE tidak ada di DAFTAR_FIXTURE",IF(G130="","CEK ZONA NO kosong",IF(K130="zona tidak ada di layout","CEK ZONA NO di luar layout",IF(H130&lt;&gt;K130,"CEK JENIS ZONA",IF(A130="","Zona kosong",IF(B130="","CEK SKU DESCRIPTION kosong","OK"))))))))</f>
        <v/>
      </c>
    </row>
    <row r="131">
      <c r="A131" s="10" t="n"/>
      <c r="B131" s="11" t="n"/>
      <c r="C131" s="11" t="n"/>
      <c r="D131" s="11" t="n"/>
      <c r="E131" s="11" t="n"/>
      <c r="F131" s="11" t="n"/>
      <c r="G131" s="11" t="n"/>
      <c r="H131" s="11" t="n"/>
      <c r="I131" s="12">
        <f>IF(F131="","",IFERROR(INDEX(DAFTAR_FIXTURE!$B$2:$B$51,MATCH(F131,DAFTAR_FIXTURE!$A$2:$A$51,0)),""))</f>
        <v/>
      </c>
      <c r="J131" s="12">
        <f>IF(A131="","","https://cdn.ruparupa.io/fit-in/850x850/ruparupa-com/image/upload/Products/"&amp;A131&amp;"_1.jpg")</f>
        <v/>
      </c>
      <c r="K131" s="12">
        <f>IF(OR(I131="",G131=""),"",IFERROR(INDEX(LAYOUT!$D$2:$D$34,MATCH(I131&amp;"|"&amp;G131,LAYOUT!$E$2:$E$34,0)),"zona tidak ada di layout"))</f>
        <v/>
      </c>
      <c r="L131" s="12">
        <f>IF(OR(F131="",A131=""),"",COUNTIFS($F$2:$F$500,F131,$G$2:$G$500,G131,$A$2:$A$500,"&lt;&gt;"))</f>
        <v/>
      </c>
      <c r="M131" s="12">
        <f>IF(AND(A131="",F131=""),"",IF(F131="","Belum ditempatkan",IF(I131="","CEK ID FIXTURE tidak ada di DAFTAR_FIXTURE",IF(G131="","CEK ZONA NO kosong",IF(K131="zona tidak ada di layout","CEK ZONA NO di luar layout",IF(H131&lt;&gt;K131,"CEK JENIS ZONA",IF(A131="","Zona kosong",IF(B131="","CEK SKU DESCRIPTION kosong","OK"))))))))</f>
        <v/>
      </c>
    </row>
    <row r="132">
      <c r="A132" s="10" t="n"/>
      <c r="B132" s="11" t="n"/>
      <c r="C132" s="11" t="n"/>
      <c r="D132" s="11" t="n"/>
      <c r="E132" s="11" t="n"/>
      <c r="F132" s="11" t="n"/>
      <c r="G132" s="11" t="n"/>
      <c r="H132" s="11" t="n"/>
      <c r="I132" s="12">
        <f>IF(F132="","",IFERROR(INDEX(DAFTAR_FIXTURE!$B$2:$B$51,MATCH(F132,DAFTAR_FIXTURE!$A$2:$A$51,0)),""))</f>
        <v/>
      </c>
      <c r="J132" s="12">
        <f>IF(A132="","","https://cdn.ruparupa.io/fit-in/850x850/ruparupa-com/image/upload/Products/"&amp;A132&amp;"_1.jpg")</f>
        <v/>
      </c>
      <c r="K132" s="12">
        <f>IF(OR(I132="",G132=""),"",IFERROR(INDEX(LAYOUT!$D$2:$D$34,MATCH(I132&amp;"|"&amp;G132,LAYOUT!$E$2:$E$34,0)),"zona tidak ada di layout"))</f>
        <v/>
      </c>
      <c r="L132" s="12">
        <f>IF(OR(F132="",A132=""),"",COUNTIFS($F$2:$F$500,F132,$G$2:$G$500,G132,$A$2:$A$500,"&lt;&gt;"))</f>
        <v/>
      </c>
      <c r="M132" s="12">
        <f>IF(AND(A132="",F132=""),"",IF(F132="","Belum ditempatkan",IF(I132="","CEK ID FIXTURE tidak ada di DAFTAR_FIXTURE",IF(G132="","CEK ZONA NO kosong",IF(K132="zona tidak ada di layout","CEK ZONA NO di luar layout",IF(H132&lt;&gt;K132,"CEK JENIS ZONA",IF(A132="","Zona kosong",IF(B132="","CEK SKU DESCRIPTION kosong","OK"))))))))</f>
        <v/>
      </c>
    </row>
    <row r="133">
      <c r="A133" s="10" t="n"/>
      <c r="B133" s="11" t="n"/>
      <c r="C133" s="11" t="n"/>
      <c r="D133" s="11" t="n"/>
      <c r="E133" s="11" t="n"/>
      <c r="F133" s="11" t="n"/>
      <c r="G133" s="11" t="n"/>
      <c r="H133" s="11" t="n"/>
      <c r="I133" s="12">
        <f>IF(F133="","",IFERROR(INDEX(DAFTAR_FIXTURE!$B$2:$B$51,MATCH(F133,DAFTAR_FIXTURE!$A$2:$A$51,0)),""))</f>
        <v/>
      </c>
      <c r="J133" s="12">
        <f>IF(A133="","","https://cdn.ruparupa.io/fit-in/850x850/ruparupa-com/image/upload/Products/"&amp;A133&amp;"_1.jpg")</f>
        <v/>
      </c>
      <c r="K133" s="12">
        <f>IF(OR(I133="",G133=""),"",IFERROR(INDEX(LAYOUT!$D$2:$D$34,MATCH(I133&amp;"|"&amp;G133,LAYOUT!$E$2:$E$34,0)),"zona tidak ada di layout"))</f>
        <v/>
      </c>
      <c r="L133" s="12">
        <f>IF(OR(F133="",A133=""),"",COUNTIFS($F$2:$F$500,F133,$G$2:$G$500,G133,$A$2:$A$500,"&lt;&gt;"))</f>
        <v/>
      </c>
      <c r="M133" s="12">
        <f>IF(AND(A133="",F133=""),"",IF(F133="","Belum ditempatkan",IF(I133="","CEK ID FIXTURE tidak ada di DAFTAR_FIXTURE",IF(G133="","CEK ZONA NO kosong",IF(K133="zona tidak ada di layout","CEK ZONA NO di luar layout",IF(H133&lt;&gt;K133,"CEK JENIS ZONA",IF(A133="","Zona kosong",IF(B133="","CEK SKU DESCRIPTION kosong","OK"))))))))</f>
        <v/>
      </c>
    </row>
    <row r="134">
      <c r="A134" s="10" t="n"/>
      <c r="B134" s="11" t="n"/>
      <c r="C134" s="11" t="n"/>
      <c r="D134" s="11" t="n"/>
      <c r="E134" s="11" t="n"/>
      <c r="F134" s="11" t="n"/>
      <c r="G134" s="11" t="n"/>
      <c r="H134" s="11" t="n"/>
      <c r="I134" s="12">
        <f>IF(F134="","",IFERROR(INDEX(DAFTAR_FIXTURE!$B$2:$B$51,MATCH(F134,DAFTAR_FIXTURE!$A$2:$A$51,0)),""))</f>
        <v/>
      </c>
      <c r="J134" s="12">
        <f>IF(A134="","","https://cdn.ruparupa.io/fit-in/850x850/ruparupa-com/image/upload/Products/"&amp;A134&amp;"_1.jpg")</f>
        <v/>
      </c>
      <c r="K134" s="12">
        <f>IF(OR(I134="",G134=""),"",IFERROR(INDEX(LAYOUT!$D$2:$D$34,MATCH(I134&amp;"|"&amp;G134,LAYOUT!$E$2:$E$34,0)),"zona tidak ada di layout"))</f>
        <v/>
      </c>
      <c r="L134" s="12">
        <f>IF(OR(F134="",A134=""),"",COUNTIFS($F$2:$F$500,F134,$G$2:$G$500,G134,$A$2:$A$500,"&lt;&gt;"))</f>
        <v/>
      </c>
      <c r="M134" s="12">
        <f>IF(AND(A134="",F134=""),"",IF(F134="","Belum ditempatkan",IF(I134="","CEK ID FIXTURE tidak ada di DAFTAR_FIXTURE",IF(G134="","CEK ZONA NO kosong",IF(K134="zona tidak ada di layout","CEK ZONA NO di luar layout",IF(H134&lt;&gt;K134,"CEK JENIS ZONA",IF(A134="","Zona kosong",IF(B134="","CEK SKU DESCRIPTION kosong","OK"))))))))</f>
        <v/>
      </c>
    </row>
    <row r="135">
      <c r="A135" s="10" t="n"/>
      <c r="B135" s="11" t="n"/>
      <c r="C135" s="11" t="n"/>
      <c r="D135" s="11" t="n"/>
      <c r="E135" s="11" t="n"/>
      <c r="F135" s="11" t="n"/>
      <c r="G135" s="11" t="n"/>
      <c r="H135" s="11" t="n"/>
      <c r="I135" s="12">
        <f>IF(F135="","",IFERROR(INDEX(DAFTAR_FIXTURE!$B$2:$B$51,MATCH(F135,DAFTAR_FIXTURE!$A$2:$A$51,0)),""))</f>
        <v/>
      </c>
      <c r="J135" s="12">
        <f>IF(A135="","","https://cdn.ruparupa.io/fit-in/850x850/ruparupa-com/image/upload/Products/"&amp;A135&amp;"_1.jpg")</f>
        <v/>
      </c>
      <c r="K135" s="12">
        <f>IF(OR(I135="",G135=""),"",IFERROR(INDEX(LAYOUT!$D$2:$D$34,MATCH(I135&amp;"|"&amp;G135,LAYOUT!$E$2:$E$34,0)),"zona tidak ada di layout"))</f>
        <v/>
      </c>
      <c r="L135" s="12">
        <f>IF(OR(F135="",A135=""),"",COUNTIFS($F$2:$F$500,F135,$G$2:$G$500,G135,$A$2:$A$500,"&lt;&gt;"))</f>
        <v/>
      </c>
      <c r="M135" s="12">
        <f>IF(AND(A135="",F135=""),"",IF(F135="","Belum ditempatkan",IF(I135="","CEK ID FIXTURE tidak ada di DAFTAR_FIXTURE",IF(G135="","CEK ZONA NO kosong",IF(K135="zona tidak ada di layout","CEK ZONA NO di luar layout",IF(H135&lt;&gt;K135,"CEK JENIS ZONA",IF(A135="","Zona kosong",IF(B135="","CEK SKU DESCRIPTION kosong","OK"))))))))</f>
        <v/>
      </c>
    </row>
    <row r="136">
      <c r="A136" s="10" t="n"/>
      <c r="B136" s="11" t="n"/>
      <c r="C136" s="11" t="n"/>
      <c r="D136" s="11" t="n"/>
      <c r="E136" s="11" t="n"/>
      <c r="F136" s="11" t="n"/>
      <c r="G136" s="11" t="n"/>
      <c r="H136" s="11" t="n"/>
      <c r="I136" s="12">
        <f>IF(F136="","",IFERROR(INDEX(DAFTAR_FIXTURE!$B$2:$B$51,MATCH(F136,DAFTAR_FIXTURE!$A$2:$A$51,0)),""))</f>
        <v/>
      </c>
      <c r="J136" s="12">
        <f>IF(A136="","","https://cdn.ruparupa.io/fit-in/850x850/ruparupa-com/image/upload/Products/"&amp;A136&amp;"_1.jpg")</f>
        <v/>
      </c>
      <c r="K136" s="12">
        <f>IF(OR(I136="",G136=""),"",IFERROR(INDEX(LAYOUT!$D$2:$D$34,MATCH(I136&amp;"|"&amp;G136,LAYOUT!$E$2:$E$34,0)),"zona tidak ada di layout"))</f>
        <v/>
      </c>
      <c r="L136" s="12">
        <f>IF(OR(F136="",A136=""),"",COUNTIFS($F$2:$F$500,F136,$G$2:$G$500,G136,$A$2:$A$500,"&lt;&gt;"))</f>
        <v/>
      </c>
      <c r="M136" s="12">
        <f>IF(AND(A136="",F136=""),"",IF(F136="","Belum ditempatkan",IF(I136="","CEK ID FIXTURE tidak ada di DAFTAR_FIXTURE",IF(G136="","CEK ZONA NO kosong",IF(K136="zona tidak ada di layout","CEK ZONA NO di luar layout",IF(H136&lt;&gt;K136,"CEK JENIS ZONA",IF(A136="","Zona kosong",IF(B136="","CEK SKU DESCRIPTION kosong","OK"))))))))</f>
        <v/>
      </c>
    </row>
    <row r="137">
      <c r="A137" s="10" t="n"/>
      <c r="B137" s="11" t="n"/>
      <c r="C137" s="11" t="n"/>
      <c r="D137" s="11" t="n"/>
      <c r="E137" s="11" t="n"/>
      <c r="F137" s="11" t="n"/>
      <c r="G137" s="11" t="n"/>
      <c r="H137" s="11" t="n"/>
      <c r="I137" s="12">
        <f>IF(F137="","",IFERROR(INDEX(DAFTAR_FIXTURE!$B$2:$B$51,MATCH(F137,DAFTAR_FIXTURE!$A$2:$A$51,0)),""))</f>
        <v/>
      </c>
      <c r="J137" s="12">
        <f>IF(A137="","","https://cdn.ruparupa.io/fit-in/850x850/ruparupa-com/image/upload/Products/"&amp;A137&amp;"_1.jpg")</f>
        <v/>
      </c>
      <c r="K137" s="12">
        <f>IF(OR(I137="",G137=""),"",IFERROR(INDEX(LAYOUT!$D$2:$D$34,MATCH(I137&amp;"|"&amp;G137,LAYOUT!$E$2:$E$34,0)),"zona tidak ada di layout"))</f>
        <v/>
      </c>
      <c r="L137" s="12">
        <f>IF(OR(F137="",A137=""),"",COUNTIFS($F$2:$F$500,F137,$G$2:$G$500,G137,$A$2:$A$500,"&lt;&gt;"))</f>
        <v/>
      </c>
      <c r="M137" s="12">
        <f>IF(AND(A137="",F137=""),"",IF(F137="","Belum ditempatkan",IF(I137="","CEK ID FIXTURE tidak ada di DAFTAR_FIXTURE",IF(G137="","CEK ZONA NO kosong",IF(K137="zona tidak ada di layout","CEK ZONA NO di luar layout",IF(H137&lt;&gt;K137,"CEK JENIS ZONA",IF(A137="","Zona kosong",IF(B137="","CEK SKU DESCRIPTION kosong","OK"))))))))</f>
        <v/>
      </c>
    </row>
    <row r="138">
      <c r="A138" s="10" t="n"/>
      <c r="B138" s="11" t="n"/>
      <c r="C138" s="11" t="n"/>
      <c r="D138" s="11" t="n"/>
      <c r="E138" s="11" t="n"/>
      <c r="F138" s="11" t="n"/>
      <c r="G138" s="11" t="n"/>
      <c r="H138" s="11" t="n"/>
      <c r="I138" s="12">
        <f>IF(F138="","",IFERROR(INDEX(DAFTAR_FIXTURE!$B$2:$B$51,MATCH(F138,DAFTAR_FIXTURE!$A$2:$A$51,0)),""))</f>
        <v/>
      </c>
      <c r="J138" s="12">
        <f>IF(A138="","","https://cdn.ruparupa.io/fit-in/850x850/ruparupa-com/image/upload/Products/"&amp;A138&amp;"_1.jpg")</f>
        <v/>
      </c>
      <c r="K138" s="12">
        <f>IF(OR(I138="",G138=""),"",IFERROR(INDEX(LAYOUT!$D$2:$D$34,MATCH(I138&amp;"|"&amp;G138,LAYOUT!$E$2:$E$34,0)),"zona tidak ada di layout"))</f>
        <v/>
      </c>
      <c r="L138" s="12">
        <f>IF(OR(F138="",A138=""),"",COUNTIFS($F$2:$F$500,F138,$G$2:$G$500,G138,$A$2:$A$500,"&lt;&gt;"))</f>
        <v/>
      </c>
      <c r="M138" s="12">
        <f>IF(AND(A138="",F138=""),"",IF(F138="","Belum ditempatkan",IF(I138="","CEK ID FIXTURE tidak ada di DAFTAR_FIXTURE",IF(G138="","CEK ZONA NO kosong",IF(K138="zona tidak ada di layout","CEK ZONA NO di luar layout",IF(H138&lt;&gt;K138,"CEK JENIS ZONA",IF(A138="","Zona kosong",IF(B138="","CEK SKU DESCRIPTION kosong","OK"))))))))</f>
        <v/>
      </c>
    </row>
    <row r="139">
      <c r="A139" s="10" t="n"/>
      <c r="B139" s="11" t="n"/>
      <c r="C139" s="11" t="n"/>
      <c r="D139" s="11" t="n"/>
      <c r="E139" s="11" t="n"/>
      <c r="F139" s="11" t="n"/>
      <c r="G139" s="11" t="n"/>
      <c r="H139" s="11" t="n"/>
      <c r="I139" s="12">
        <f>IF(F139="","",IFERROR(INDEX(DAFTAR_FIXTURE!$B$2:$B$51,MATCH(F139,DAFTAR_FIXTURE!$A$2:$A$51,0)),""))</f>
        <v/>
      </c>
      <c r="J139" s="12">
        <f>IF(A139="","","https://cdn.ruparupa.io/fit-in/850x850/ruparupa-com/image/upload/Products/"&amp;A139&amp;"_1.jpg")</f>
        <v/>
      </c>
      <c r="K139" s="12">
        <f>IF(OR(I139="",G139=""),"",IFERROR(INDEX(LAYOUT!$D$2:$D$34,MATCH(I139&amp;"|"&amp;G139,LAYOUT!$E$2:$E$34,0)),"zona tidak ada di layout"))</f>
        <v/>
      </c>
      <c r="L139" s="12">
        <f>IF(OR(F139="",A139=""),"",COUNTIFS($F$2:$F$500,F139,$G$2:$G$500,G139,$A$2:$A$500,"&lt;&gt;"))</f>
        <v/>
      </c>
      <c r="M139" s="12">
        <f>IF(AND(A139="",F139=""),"",IF(F139="","Belum ditempatkan",IF(I139="","CEK ID FIXTURE tidak ada di DAFTAR_FIXTURE",IF(G139="","CEK ZONA NO kosong",IF(K139="zona tidak ada di layout","CEK ZONA NO di luar layout",IF(H139&lt;&gt;K139,"CEK JENIS ZONA",IF(A139="","Zona kosong",IF(B139="","CEK SKU DESCRIPTION kosong","OK"))))))))</f>
        <v/>
      </c>
    </row>
    <row r="140">
      <c r="A140" s="10" t="n"/>
      <c r="B140" s="11" t="n"/>
      <c r="C140" s="11" t="n"/>
      <c r="D140" s="11" t="n"/>
      <c r="E140" s="11" t="n"/>
      <c r="F140" s="11" t="n"/>
      <c r="G140" s="11" t="n"/>
      <c r="H140" s="11" t="n"/>
      <c r="I140" s="12">
        <f>IF(F140="","",IFERROR(INDEX(DAFTAR_FIXTURE!$B$2:$B$51,MATCH(F140,DAFTAR_FIXTURE!$A$2:$A$51,0)),""))</f>
        <v/>
      </c>
      <c r="J140" s="12">
        <f>IF(A140="","","https://cdn.ruparupa.io/fit-in/850x850/ruparupa-com/image/upload/Products/"&amp;A140&amp;"_1.jpg")</f>
        <v/>
      </c>
      <c r="K140" s="12">
        <f>IF(OR(I140="",G140=""),"",IFERROR(INDEX(LAYOUT!$D$2:$D$34,MATCH(I140&amp;"|"&amp;G140,LAYOUT!$E$2:$E$34,0)),"zona tidak ada di layout"))</f>
        <v/>
      </c>
      <c r="L140" s="12">
        <f>IF(OR(F140="",A140=""),"",COUNTIFS($F$2:$F$500,F140,$G$2:$G$500,G140,$A$2:$A$500,"&lt;&gt;"))</f>
        <v/>
      </c>
      <c r="M140" s="12">
        <f>IF(AND(A140="",F140=""),"",IF(F140="","Belum ditempatkan",IF(I140="","CEK ID FIXTURE tidak ada di DAFTAR_FIXTURE",IF(G140="","CEK ZONA NO kosong",IF(K140="zona tidak ada di layout","CEK ZONA NO di luar layout",IF(H140&lt;&gt;K140,"CEK JENIS ZONA",IF(A140="","Zona kosong",IF(B140="","CEK SKU DESCRIPTION kosong","OK"))))))))</f>
        <v/>
      </c>
    </row>
    <row r="141">
      <c r="A141" s="10" t="n"/>
      <c r="B141" s="11" t="n"/>
      <c r="C141" s="11" t="n"/>
      <c r="D141" s="11" t="n"/>
      <c r="E141" s="11" t="n"/>
      <c r="F141" s="11" t="n"/>
      <c r="G141" s="11" t="n"/>
      <c r="H141" s="11" t="n"/>
      <c r="I141" s="12">
        <f>IF(F141="","",IFERROR(INDEX(DAFTAR_FIXTURE!$B$2:$B$51,MATCH(F141,DAFTAR_FIXTURE!$A$2:$A$51,0)),""))</f>
        <v/>
      </c>
      <c r="J141" s="12">
        <f>IF(A141="","","https://cdn.ruparupa.io/fit-in/850x850/ruparupa-com/image/upload/Products/"&amp;A141&amp;"_1.jpg")</f>
        <v/>
      </c>
      <c r="K141" s="12">
        <f>IF(OR(I141="",G141=""),"",IFERROR(INDEX(LAYOUT!$D$2:$D$34,MATCH(I141&amp;"|"&amp;G141,LAYOUT!$E$2:$E$34,0)),"zona tidak ada di layout"))</f>
        <v/>
      </c>
      <c r="L141" s="12">
        <f>IF(OR(F141="",A141=""),"",COUNTIFS($F$2:$F$500,F141,$G$2:$G$500,G141,$A$2:$A$500,"&lt;&gt;"))</f>
        <v/>
      </c>
      <c r="M141" s="12">
        <f>IF(AND(A141="",F141=""),"",IF(F141="","Belum ditempatkan",IF(I141="","CEK ID FIXTURE tidak ada di DAFTAR_FIXTURE",IF(G141="","CEK ZONA NO kosong",IF(K141="zona tidak ada di layout","CEK ZONA NO di luar layout",IF(H141&lt;&gt;K141,"CEK JENIS ZONA",IF(A141="","Zona kosong",IF(B141="","CEK SKU DESCRIPTION kosong","OK"))))))))</f>
        <v/>
      </c>
    </row>
    <row r="142">
      <c r="A142" s="10" t="n"/>
      <c r="B142" s="11" t="n"/>
      <c r="C142" s="11" t="n"/>
      <c r="D142" s="11" t="n"/>
      <c r="E142" s="11" t="n"/>
      <c r="F142" s="11" t="n"/>
      <c r="G142" s="11" t="n"/>
      <c r="H142" s="11" t="n"/>
      <c r="I142" s="12">
        <f>IF(F142="","",IFERROR(INDEX(DAFTAR_FIXTURE!$B$2:$B$51,MATCH(F142,DAFTAR_FIXTURE!$A$2:$A$51,0)),""))</f>
        <v/>
      </c>
      <c r="J142" s="12">
        <f>IF(A142="","","https://cdn.ruparupa.io/fit-in/850x850/ruparupa-com/image/upload/Products/"&amp;A142&amp;"_1.jpg")</f>
        <v/>
      </c>
      <c r="K142" s="12">
        <f>IF(OR(I142="",G142=""),"",IFERROR(INDEX(LAYOUT!$D$2:$D$34,MATCH(I142&amp;"|"&amp;G142,LAYOUT!$E$2:$E$34,0)),"zona tidak ada di layout"))</f>
        <v/>
      </c>
      <c r="L142" s="12">
        <f>IF(OR(F142="",A142=""),"",COUNTIFS($F$2:$F$500,F142,$G$2:$G$500,G142,$A$2:$A$500,"&lt;&gt;"))</f>
        <v/>
      </c>
      <c r="M142" s="12">
        <f>IF(AND(A142="",F142=""),"",IF(F142="","Belum ditempatkan",IF(I142="","CEK ID FIXTURE tidak ada di DAFTAR_FIXTURE",IF(G142="","CEK ZONA NO kosong",IF(K142="zona tidak ada di layout","CEK ZONA NO di luar layout",IF(H142&lt;&gt;K142,"CEK JENIS ZONA",IF(A142="","Zona kosong",IF(B142="","CEK SKU DESCRIPTION kosong","OK"))))))))</f>
        <v/>
      </c>
    </row>
    <row r="143">
      <c r="A143" s="10" t="n"/>
      <c r="B143" s="11" t="n"/>
      <c r="C143" s="11" t="n"/>
      <c r="D143" s="11" t="n"/>
      <c r="E143" s="11" t="n"/>
      <c r="F143" s="11" t="n"/>
      <c r="G143" s="11" t="n"/>
      <c r="H143" s="11" t="n"/>
      <c r="I143" s="12">
        <f>IF(F143="","",IFERROR(INDEX(DAFTAR_FIXTURE!$B$2:$B$51,MATCH(F143,DAFTAR_FIXTURE!$A$2:$A$51,0)),""))</f>
        <v/>
      </c>
      <c r="J143" s="12">
        <f>IF(A143="","","https://cdn.ruparupa.io/fit-in/850x850/ruparupa-com/image/upload/Products/"&amp;A143&amp;"_1.jpg")</f>
        <v/>
      </c>
      <c r="K143" s="12">
        <f>IF(OR(I143="",G143=""),"",IFERROR(INDEX(LAYOUT!$D$2:$D$34,MATCH(I143&amp;"|"&amp;G143,LAYOUT!$E$2:$E$34,0)),"zona tidak ada di layout"))</f>
        <v/>
      </c>
      <c r="L143" s="12">
        <f>IF(OR(F143="",A143=""),"",COUNTIFS($F$2:$F$500,F143,$G$2:$G$500,G143,$A$2:$A$500,"&lt;&gt;"))</f>
        <v/>
      </c>
      <c r="M143" s="12">
        <f>IF(AND(A143="",F143=""),"",IF(F143="","Belum ditempatkan",IF(I143="","CEK ID FIXTURE tidak ada di DAFTAR_FIXTURE",IF(G143="","CEK ZONA NO kosong",IF(K143="zona tidak ada di layout","CEK ZONA NO di luar layout",IF(H143&lt;&gt;K143,"CEK JENIS ZONA",IF(A143="","Zona kosong",IF(B143="","CEK SKU DESCRIPTION kosong","OK"))))))))</f>
        <v/>
      </c>
    </row>
    <row r="144">
      <c r="A144" s="10" t="n"/>
      <c r="B144" s="11" t="n"/>
      <c r="C144" s="11" t="n"/>
      <c r="D144" s="11" t="n"/>
      <c r="E144" s="11" t="n"/>
      <c r="F144" s="11" t="n"/>
      <c r="G144" s="11" t="n"/>
      <c r="H144" s="11" t="n"/>
      <c r="I144" s="12">
        <f>IF(F144="","",IFERROR(INDEX(DAFTAR_FIXTURE!$B$2:$B$51,MATCH(F144,DAFTAR_FIXTURE!$A$2:$A$51,0)),""))</f>
        <v/>
      </c>
      <c r="J144" s="12">
        <f>IF(A144="","","https://cdn.ruparupa.io/fit-in/850x850/ruparupa-com/image/upload/Products/"&amp;A144&amp;"_1.jpg")</f>
        <v/>
      </c>
      <c r="K144" s="12">
        <f>IF(OR(I144="",G144=""),"",IFERROR(INDEX(LAYOUT!$D$2:$D$34,MATCH(I144&amp;"|"&amp;G144,LAYOUT!$E$2:$E$34,0)),"zona tidak ada di layout"))</f>
        <v/>
      </c>
      <c r="L144" s="12">
        <f>IF(OR(F144="",A144=""),"",COUNTIFS($F$2:$F$500,F144,$G$2:$G$500,G144,$A$2:$A$500,"&lt;&gt;"))</f>
        <v/>
      </c>
      <c r="M144" s="12">
        <f>IF(AND(A144="",F144=""),"",IF(F144="","Belum ditempatkan",IF(I144="","CEK ID FIXTURE tidak ada di DAFTAR_FIXTURE",IF(G144="","CEK ZONA NO kosong",IF(K144="zona tidak ada di layout","CEK ZONA NO di luar layout",IF(H144&lt;&gt;K144,"CEK JENIS ZONA",IF(A144="","Zona kosong",IF(B144="","CEK SKU DESCRIPTION kosong","OK"))))))))</f>
        <v/>
      </c>
    </row>
    <row r="145">
      <c r="A145" s="10" t="n"/>
      <c r="B145" s="11" t="n"/>
      <c r="C145" s="11" t="n"/>
      <c r="D145" s="11" t="n"/>
      <c r="E145" s="11" t="n"/>
      <c r="F145" s="11" t="n"/>
      <c r="G145" s="11" t="n"/>
      <c r="H145" s="11" t="n"/>
      <c r="I145" s="12">
        <f>IF(F145="","",IFERROR(INDEX(DAFTAR_FIXTURE!$B$2:$B$51,MATCH(F145,DAFTAR_FIXTURE!$A$2:$A$51,0)),""))</f>
        <v/>
      </c>
      <c r="J145" s="12">
        <f>IF(A145="","","https://cdn.ruparupa.io/fit-in/850x850/ruparupa-com/image/upload/Products/"&amp;A145&amp;"_1.jpg")</f>
        <v/>
      </c>
      <c r="K145" s="12">
        <f>IF(OR(I145="",G145=""),"",IFERROR(INDEX(LAYOUT!$D$2:$D$34,MATCH(I145&amp;"|"&amp;G145,LAYOUT!$E$2:$E$34,0)),"zona tidak ada di layout"))</f>
        <v/>
      </c>
      <c r="L145" s="12">
        <f>IF(OR(F145="",A145=""),"",COUNTIFS($F$2:$F$500,F145,$G$2:$G$500,G145,$A$2:$A$500,"&lt;&gt;"))</f>
        <v/>
      </c>
      <c r="M145" s="12">
        <f>IF(AND(A145="",F145=""),"",IF(F145="","Belum ditempatkan",IF(I145="","CEK ID FIXTURE tidak ada di DAFTAR_FIXTURE",IF(G145="","CEK ZONA NO kosong",IF(K145="zona tidak ada di layout","CEK ZONA NO di luar layout",IF(H145&lt;&gt;K145,"CEK JENIS ZONA",IF(A145="","Zona kosong",IF(B145="","CEK SKU DESCRIPTION kosong","OK"))))))))</f>
        <v/>
      </c>
    </row>
    <row r="146">
      <c r="A146" s="10" t="n"/>
      <c r="B146" s="11" t="n"/>
      <c r="C146" s="11" t="n"/>
      <c r="D146" s="11" t="n"/>
      <c r="E146" s="11" t="n"/>
      <c r="F146" s="11" t="n"/>
      <c r="G146" s="11" t="n"/>
      <c r="H146" s="11" t="n"/>
      <c r="I146" s="12">
        <f>IF(F146="","",IFERROR(INDEX(DAFTAR_FIXTURE!$B$2:$B$51,MATCH(F146,DAFTAR_FIXTURE!$A$2:$A$51,0)),""))</f>
        <v/>
      </c>
      <c r="J146" s="12">
        <f>IF(A146="","","https://cdn.ruparupa.io/fit-in/850x850/ruparupa-com/image/upload/Products/"&amp;A146&amp;"_1.jpg")</f>
        <v/>
      </c>
      <c r="K146" s="12">
        <f>IF(OR(I146="",G146=""),"",IFERROR(INDEX(LAYOUT!$D$2:$D$34,MATCH(I146&amp;"|"&amp;G146,LAYOUT!$E$2:$E$34,0)),"zona tidak ada di layout"))</f>
        <v/>
      </c>
      <c r="L146" s="12">
        <f>IF(OR(F146="",A146=""),"",COUNTIFS($F$2:$F$500,F146,$G$2:$G$500,G146,$A$2:$A$500,"&lt;&gt;"))</f>
        <v/>
      </c>
      <c r="M146" s="12">
        <f>IF(AND(A146="",F146=""),"",IF(F146="","Belum ditempatkan",IF(I146="","CEK ID FIXTURE tidak ada di DAFTAR_FIXTURE",IF(G146="","CEK ZONA NO kosong",IF(K146="zona tidak ada di layout","CEK ZONA NO di luar layout",IF(H146&lt;&gt;K146,"CEK JENIS ZONA",IF(A146="","Zona kosong",IF(B146="","CEK SKU DESCRIPTION kosong","OK"))))))))</f>
        <v/>
      </c>
    </row>
    <row r="147">
      <c r="A147" s="10" t="n"/>
      <c r="B147" s="11" t="n"/>
      <c r="C147" s="11" t="n"/>
      <c r="D147" s="11" t="n"/>
      <c r="E147" s="11" t="n"/>
      <c r="F147" s="11" t="n"/>
      <c r="G147" s="11" t="n"/>
      <c r="H147" s="11" t="n"/>
      <c r="I147" s="12">
        <f>IF(F147="","",IFERROR(INDEX(DAFTAR_FIXTURE!$B$2:$B$51,MATCH(F147,DAFTAR_FIXTURE!$A$2:$A$51,0)),""))</f>
        <v/>
      </c>
      <c r="J147" s="12">
        <f>IF(A147="","","https://cdn.ruparupa.io/fit-in/850x850/ruparupa-com/image/upload/Products/"&amp;A147&amp;"_1.jpg")</f>
        <v/>
      </c>
      <c r="K147" s="12">
        <f>IF(OR(I147="",G147=""),"",IFERROR(INDEX(LAYOUT!$D$2:$D$34,MATCH(I147&amp;"|"&amp;G147,LAYOUT!$E$2:$E$34,0)),"zona tidak ada di layout"))</f>
        <v/>
      </c>
      <c r="L147" s="12">
        <f>IF(OR(F147="",A147=""),"",COUNTIFS($F$2:$F$500,F147,$G$2:$G$500,G147,$A$2:$A$500,"&lt;&gt;"))</f>
        <v/>
      </c>
      <c r="M147" s="12">
        <f>IF(AND(A147="",F147=""),"",IF(F147="","Belum ditempatkan",IF(I147="","CEK ID FIXTURE tidak ada di DAFTAR_FIXTURE",IF(G147="","CEK ZONA NO kosong",IF(K147="zona tidak ada di layout","CEK ZONA NO di luar layout",IF(H147&lt;&gt;K147,"CEK JENIS ZONA",IF(A147="","Zona kosong",IF(B147="","CEK SKU DESCRIPTION kosong","OK"))))))))</f>
        <v/>
      </c>
    </row>
    <row r="148">
      <c r="A148" s="10" t="n"/>
      <c r="B148" s="11" t="n"/>
      <c r="C148" s="11" t="n"/>
      <c r="D148" s="11" t="n"/>
      <c r="E148" s="11" t="n"/>
      <c r="F148" s="11" t="n"/>
      <c r="G148" s="11" t="n"/>
      <c r="H148" s="11" t="n"/>
      <c r="I148" s="12">
        <f>IF(F148="","",IFERROR(INDEX(DAFTAR_FIXTURE!$B$2:$B$51,MATCH(F148,DAFTAR_FIXTURE!$A$2:$A$51,0)),""))</f>
        <v/>
      </c>
      <c r="J148" s="12">
        <f>IF(A148="","","https://cdn.ruparupa.io/fit-in/850x850/ruparupa-com/image/upload/Products/"&amp;A148&amp;"_1.jpg")</f>
        <v/>
      </c>
      <c r="K148" s="12">
        <f>IF(OR(I148="",G148=""),"",IFERROR(INDEX(LAYOUT!$D$2:$D$34,MATCH(I148&amp;"|"&amp;G148,LAYOUT!$E$2:$E$34,0)),"zona tidak ada di layout"))</f>
        <v/>
      </c>
      <c r="L148" s="12">
        <f>IF(OR(F148="",A148=""),"",COUNTIFS($F$2:$F$500,F148,$G$2:$G$500,G148,$A$2:$A$500,"&lt;&gt;"))</f>
        <v/>
      </c>
      <c r="M148" s="12">
        <f>IF(AND(A148="",F148=""),"",IF(F148="","Belum ditempatkan",IF(I148="","CEK ID FIXTURE tidak ada di DAFTAR_FIXTURE",IF(G148="","CEK ZONA NO kosong",IF(K148="zona tidak ada di layout","CEK ZONA NO di luar layout",IF(H148&lt;&gt;K148,"CEK JENIS ZONA",IF(A148="","Zona kosong",IF(B148="","CEK SKU DESCRIPTION kosong","OK"))))))))</f>
        <v/>
      </c>
    </row>
    <row r="149">
      <c r="A149" s="10" t="n"/>
      <c r="B149" s="11" t="n"/>
      <c r="C149" s="11" t="n"/>
      <c r="D149" s="11" t="n"/>
      <c r="E149" s="11" t="n"/>
      <c r="F149" s="11" t="n"/>
      <c r="G149" s="11" t="n"/>
      <c r="H149" s="11" t="n"/>
      <c r="I149" s="12">
        <f>IF(F149="","",IFERROR(INDEX(DAFTAR_FIXTURE!$B$2:$B$51,MATCH(F149,DAFTAR_FIXTURE!$A$2:$A$51,0)),""))</f>
        <v/>
      </c>
      <c r="J149" s="12">
        <f>IF(A149="","","https://cdn.ruparupa.io/fit-in/850x850/ruparupa-com/image/upload/Products/"&amp;A149&amp;"_1.jpg")</f>
        <v/>
      </c>
      <c r="K149" s="12">
        <f>IF(OR(I149="",G149=""),"",IFERROR(INDEX(LAYOUT!$D$2:$D$34,MATCH(I149&amp;"|"&amp;G149,LAYOUT!$E$2:$E$34,0)),"zona tidak ada di layout"))</f>
        <v/>
      </c>
      <c r="L149" s="12">
        <f>IF(OR(F149="",A149=""),"",COUNTIFS($F$2:$F$500,F149,$G$2:$G$500,G149,$A$2:$A$500,"&lt;&gt;"))</f>
        <v/>
      </c>
      <c r="M149" s="12">
        <f>IF(AND(A149="",F149=""),"",IF(F149="","Belum ditempatkan",IF(I149="","CEK ID FIXTURE tidak ada di DAFTAR_FIXTURE",IF(G149="","CEK ZONA NO kosong",IF(K149="zona tidak ada di layout","CEK ZONA NO di luar layout",IF(H149&lt;&gt;K149,"CEK JENIS ZONA",IF(A149="","Zona kosong",IF(B149="","CEK SKU DESCRIPTION kosong","OK"))))))))</f>
        <v/>
      </c>
    </row>
    <row r="150">
      <c r="A150" s="10" t="n"/>
      <c r="B150" s="11" t="n"/>
      <c r="C150" s="11" t="n"/>
      <c r="D150" s="11" t="n"/>
      <c r="E150" s="11" t="n"/>
      <c r="F150" s="11" t="n"/>
      <c r="G150" s="11" t="n"/>
      <c r="H150" s="11" t="n"/>
      <c r="I150" s="12">
        <f>IF(F150="","",IFERROR(INDEX(DAFTAR_FIXTURE!$B$2:$B$51,MATCH(F150,DAFTAR_FIXTURE!$A$2:$A$51,0)),""))</f>
        <v/>
      </c>
      <c r="J150" s="12">
        <f>IF(A150="","","https://cdn.ruparupa.io/fit-in/850x850/ruparupa-com/image/upload/Products/"&amp;A150&amp;"_1.jpg")</f>
        <v/>
      </c>
      <c r="K150" s="12">
        <f>IF(OR(I150="",G150=""),"",IFERROR(INDEX(LAYOUT!$D$2:$D$34,MATCH(I150&amp;"|"&amp;G150,LAYOUT!$E$2:$E$34,0)),"zona tidak ada di layout"))</f>
        <v/>
      </c>
      <c r="L150" s="12">
        <f>IF(OR(F150="",A150=""),"",COUNTIFS($F$2:$F$500,F150,$G$2:$G$500,G150,$A$2:$A$500,"&lt;&gt;"))</f>
        <v/>
      </c>
      <c r="M150" s="12">
        <f>IF(AND(A150="",F150=""),"",IF(F150="","Belum ditempatkan",IF(I150="","CEK ID FIXTURE tidak ada di DAFTAR_FIXTURE",IF(G150="","CEK ZONA NO kosong",IF(K150="zona tidak ada di layout","CEK ZONA NO di luar layout",IF(H150&lt;&gt;K150,"CEK JENIS ZONA",IF(A150="","Zona kosong",IF(B150="","CEK SKU DESCRIPTION kosong","OK"))))))))</f>
        <v/>
      </c>
    </row>
    <row r="151">
      <c r="A151" s="10" t="n"/>
      <c r="B151" s="11" t="n"/>
      <c r="C151" s="11" t="n"/>
      <c r="D151" s="11" t="n"/>
      <c r="E151" s="11" t="n"/>
      <c r="F151" s="11" t="n"/>
      <c r="G151" s="11" t="n"/>
      <c r="H151" s="11" t="n"/>
      <c r="I151" s="12">
        <f>IF(F151="","",IFERROR(INDEX(DAFTAR_FIXTURE!$B$2:$B$51,MATCH(F151,DAFTAR_FIXTURE!$A$2:$A$51,0)),""))</f>
        <v/>
      </c>
      <c r="J151" s="12">
        <f>IF(A151="","","https://cdn.ruparupa.io/fit-in/850x850/ruparupa-com/image/upload/Products/"&amp;A151&amp;"_1.jpg")</f>
        <v/>
      </c>
      <c r="K151" s="12">
        <f>IF(OR(I151="",G151=""),"",IFERROR(INDEX(LAYOUT!$D$2:$D$34,MATCH(I151&amp;"|"&amp;G151,LAYOUT!$E$2:$E$34,0)),"zona tidak ada di layout"))</f>
        <v/>
      </c>
      <c r="L151" s="12">
        <f>IF(OR(F151="",A151=""),"",COUNTIFS($F$2:$F$500,F151,$G$2:$G$500,G151,$A$2:$A$500,"&lt;&gt;"))</f>
        <v/>
      </c>
      <c r="M151" s="12">
        <f>IF(AND(A151="",F151=""),"",IF(F151="","Belum ditempatkan",IF(I151="","CEK ID FIXTURE tidak ada di DAFTAR_FIXTURE",IF(G151="","CEK ZONA NO kosong",IF(K151="zona tidak ada di layout","CEK ZONA NO di luar layout",IF(H151&lt;&gt;K151,"CEK JENIS ZONA",IF(A151="","Zona kosong",IF(B151="","CEK SKU DESCRIPTION kosong","OK"))))))))</f>
        <v/>
      </c>
    </row>
    <row r="152">
      <c r="A152" s="10" t="n"/>
      <c r="B152" s="11" t="n"/>
      <c r="C152" s="11" t="n"/>
      <c r="D152" s="11" t="n"/>
      <c r="E152" s="11" t="n"/>
      <c r="F152" s="11" t="n"/>
      <c r="G152" s="11" t="n"/>
      <c r="H152" s="11" t="n"/>
      <c r="I152" s="12">
        <f>IF(F152="","",IFERROR(INDEX(DAFTAR_FIXTURE!$B$2:$B$51,MATCH(F152,DAFTAR_FIXTURE!$A$2:$A$51,0)),""))</f>
        <v/>
      </c>
      <c r="J152" s="12">
        <f>IF(A152="","","https://cdn.ruparupa.io/fit-in/850x850/ruparupa-com/image/upload/Products/"&amp;A152&amp;"_1.jpg")</f>
        <v/>
      </c>
      <c r="K152" s="12">
        <f>IF(OR(I152="",G152=""),"",IFERROR(INDEX(LAYOUT!$D$2:$D$34,MATCH(I152&amp;"|"&amp;G152,LAYOUT!$E$2:$E$34,0)),"zona tidak ada di layout"))</f>
        <v/>
      </c>
      <c r="L152" s="12">
        <f>IF(OR(F152="",A152=""),"",COUNTIFS($F$2:$F$500,F152,$G$2:$G$500,G152,$A$2:$A$500,"&lt;&gt;"))</f>
        <v/>
      </c>
      <c r="M152" s="12">
        <f>IF(AND(A152="",F152=""),"",IF(F152="","Belum ditempatkan",IF(I152="","CEK ID FIXTURE tidak ada di DAFTAR_FIXTURE",IF(G152="","CEK ZONA NO kosong",IF(K152="zona tidak ada di layout","CEK ZONA NO di luar layout",IF(H152&lt;&gt;K152,"CEK JENIS ZONA",IF(A152="","Zona kosong",IF(B152="","CEK SKU DESCRIPTION kosong","OK"))))))))</f>
        <v/>
      </c>
    </row>
    <row r="153">
      <c r="A153" s="10" t="n"/>
      <c r="B153" s="11" t="n"/>
      <c r="C153" s="11" t="n"/>
      <c r="D153" s="11" t="n"/>
      <c r="E153" s="11" t="n"/>
      <c r="F153" s="11" t="n"/>
      <c r="G153" s="11" t="n"/>
      <c r="H153" s="11" t="n"/>
      <c r="I153" s="12">
        <f>IF(F153="","",IFERROR(INDEX(DAFTAR_FIXTURE!$B$2:$B$51,MATCH(F153,DAFTAR_FIXTURE!$A$2:$A$51,0)),""))</f>
        <v/>
      </c>
      <c r="J153" s="12">
        <f>IF(A153="","","https://cdn.ruparupa.io/fit-in/850x850/ruparupa-com/image/upload/Products/"&amp;A153&amp;"_1.jpg")</f>
        <v/>
      </c>
      <c r="K153" s="12">
        <f>IF(OR(I153="",G153=""),"",IFERROR(INDEX(LAYOUT!$D$2:$D$34,MATCH(I153&amp;"|"&amp;G153,LAYOUT!$E$2:$E$34,0)),"zona tidak ada di layout"))</f>
        <v/>
      </c>
      <c r="L153" s="12">
        <f>IF(OR(F153="",A153=""),"",COUNTIFS($F$2:$F$500,F153,$G$2:$G$500,G153,$A$2:$A$500,"&lt;&gt;"))</f>
        <v/>
      </c>
      <c r="M153" s="12">
        <f>IF(AND(A153="",F153=""),"",IF(F153="","Belum ditempatkan",IF(I153="","CEK ID FIXTURE tidak ada di DAFTAR_FIXTURE",IF(G153="","CEK ZONA NO kosong",IF(K153="zona tidak ada di layout","CEK ZONA NO di luar layout",IF(H153&lt;&gt;K153,"CEK JENIS ZONA",IF(A153="","Zona kosong",IF(B153="","CEK SKU DESCRIPTION kosong","OK"))))))))</f>
        <v/>
      </c>
    </row>
    <row r="154">
      <c r="A154" s="10" t="n"/>
      <c r="B154" s="11" t="n"/>
      <c r="C154" s="11" t="n"/>
      <c r="D154" s="11" t="n"/>
      <c r="E154" s="11" t="n"/>
      <c r="F154" s="11" t="n"/>
      <c r="G154" s="11" t="n"/>
      <c r="H154" s="11" t="n"/>
      <c r="I154" s="12">
        <f>IF(F154="","",IFERROR(INDEX(DAFTAR_FIXTURE!$B$2:$B$51,MATCH(F154,DAFTAR_FIXTURE!$A$2:$A$51,0)),""))</f>
        <v/>
      </c>
      <c r="J154" s="12">
        <f>IF(A154="","","https://cdn.ruparupa.io/fit-in/850x850/ruparupa-com/image/upload/Products/"&amp;A154&amp;"_1.jpg")</f>
        <v/>
      </c>
      <c r="K154" s="12">
        <f>IF(OR(I154="",G154=""),"",IFERROR(INDEX(LAYOUT!$D$2:$D$34,MATCH(I154&amp;"|"&amp;G154,LAYOUT!$E$2:$E$34,0)),"zona tidak ada di layout"))</f>
        <v/>
      </c>
      <c r="L154" s="12">
        <f>IF(OR(F154="",A154=""),"",COUNTIFS($F$2:$F$500,F154,$G$2:$G$500,G154,$A$2:$A$500,"&lt;&gt;"))</f>
        <v/>
      </c>
      <c r="M154" s="12">
        <f>IF(AND(A154="",F154=""),"",IF(F154="","Belum ditempatkan",IF(I154="","CEK ID FIXTURE tidak ada di DAFTAR_FIXTURE",IF(G154="","CEK ZONA NO kosong",IF(K154="zona tidak ada di layout","CEK ZONA NO di luar layout",IF(H154&lt;&gt;K154,"CEK JENIS ZONA",IF(A154="","Zona kosong",IF(B154="","CEK SKU DESCRIPTION kosong","OK"))))))))</f>
        <v/>
      </c>
    </row>
    <row r="155">
      <c r="A155" s="10" t="n"/>
      <c r="B155" s="11" t="n"/>
      <c r="C155" s="11" t="n"/>
      <c r="D155" s="11" t="n"/>
      <c r="E155" s="11" t="n"/>
      <c r="F155" s="11" t="n"/>
      <c r="G155" s="11" t="n"/>
      <c r="H155" s="11" t="n"/>
      <c r="I155" s="12">
        <f>IF(F155="","",IFERROR(INDEX(DAFTAR_FIXTURE!$B$2:$B$51,MATCH(F155,DAFTAR_FIXTURE!$A$2:$A$51,0)),""))</f>
        <v/>
      </c>
      <c r="J155" s="12">
        <f>IF(A155="","","https://cdn.ruparupa.io/fit-in/850x850/ruparupa-com/image/upload/Products/"&amp;A155&amp;"_1.jpg")</f>
        <v/>
      </c>
      <c r="K155" s="12">
        <f>IF(OR(I155="",G155=""),"",IFERROR(INDEX(LAYOUT!$D$2:$D$34,MATCH(I155&amp;"|"&amp;G155,LAYOUT!$E$2:$E$34,0)),"zona tidak ada di layout"))</f>
        <v/>
      </c>
      <c r="L155" s="12">
        <f>IF(OR(F155="",A155=""),"",COUNTIFS($F$2:$F$500,F155,$G$2:$G$500,G155,$A$2:$A$500,"&lt;&gt;"))</f>
        <v/>
      </c>
      <c r="M155" s="12">
        <f>IF(AND(A155="",F155=""),"",IF(F155="","Belum ditempatkan",IF(I155="","CEK ID FIXTURE tidak ada di DAFTAR_FIXTURE",IF(G155="","CEK ZONA NO kosong",IF(K155="zona tidak ada di layout","CEK ZONA NO di luar layout",IF(H155&lt;&gt;K155,"CEK JENIS ZONA",IF(A155="","Zona kosong",IF(B155="","CEK SKU DESCRIPTION kosong","OK"))))))))</f>
        <v/>
      </c>
    </row>
    <row r="156">
      <c r="A156" s="10" t="n"/>
      <c r="B156" s="11" t="n"/>
      <c r="C156" s="11" t="n"/>
      <c r="D156" s="11" t="n"/>
      <c r="E156" s="11" t="n"/>
      <c r="F156" s="11" t="n"/>
      <c r="G156" s="11" t="n"/>
      <c r="H156" s="11" t="n"/>
      <c r="I156" s="12">
        <f>IF(F156="","",IFERROR(INDEX(DAFTAR_FIXTURE!$B$2:$B$51,MATCH(F156,DAFTAR_FIXTURE!$A$2:$A$51,0)),""))</f>
        <v/>
      </c>
      <c r="J156" s="12">
        <f>IF(A156="","","https://cdn.ruparupa.io/fit-in/850x850/ruparupa-com/image/upload/Products/"&amp;A156&amp;"_1.jpg")</f>
        <v/>
      </c>
      <c r="K156" s="12">
        <f>IF(OR(I156="",G156=""),"",IFERROR(INDEX(LAYOUT!$D$2:$D$34,MATCH(I156&amp;"|"&amp;G156,LAYOUT!$E$2:$E$34,0)),"zona tidak ada di layout"))</f>
        <v/>
      </c>
      <c r="L156" s="12">
        <f>IF(OR(F156="",A156=""),"",COUNTIFS($F$2:$F$500,F156,$G$2:$G$500,G156,$A$2:$A$500,"&lt;&gt;"))</f>
        <v/>
      </c>
      <c r="M156" s="12">
        <f>IF(AND(A156="",F156=""),"",IF(F156="","Belum ditempatkan",IF(I156="","CEK ID FIXTURE tidak ada di DAFTAR_FIXTURE",IF(G156="","CEK ZONA NO kosong",IF(K156="zona tidak ada di layout","CEK ZONA NO di luar layout",IF(H156&lt;&gt;K156,"CEK JENIS ZONA",IF(A156="","Zona kosong",IF(B156="","CEK SKU DESCRIPTION kosong","OK"))))))))</f>
        <v/>
      </c>
    </row>
    <row r="157">
      <c r="A157" s="10" t="n"/>
      <c r="B157" s="11" t="n"/>
      <c r="C157" s="11" t="n"/>
      <c r="D157" s="11" t="n"/>
      <c r="E157" s="11" t="n"/>
      <c r="F157" s="11" t="n"/>
      <c r="G157" s="11" t="n"/>
      <c r="H157" s="11" t="n"/>
      <c r="I157" s="12">
        <f>IF(F157="","",IFERROR(INDEX(DAFTAR_FIXTURE!$B$2:$B$51,MATCH(F157,DAFTAR_FIXTURE!$A$2:$A$51,0)),""))</f>
        <v/>
      </c>
      <c r="J157" s="12">
        <f>IF(A157="","","https://cdn.ruparupa.io/fit-in/850x850/ruparupa-com/image/upload/Products/"&amp;A157&amp;"_1.jpg")</f>
        <v/>
      </c>
      <c r="K157" s="12">
        <f>IF(OR(I157="",G157=""),"",IFERROR(INDEX(LAYOUT!$D$2:$D$34,MATCH(I157&amp;"|"&amp;G157,LAYOUT!$E$2:$E$34,0)),"zona tidak ada di layout"))</f>
        <v/>
      </c>
      <c r="L157" s="12">
        <f>IF(OR(F157="",A157=""),"",COUNTIFS($F$2:$F$500,F157,$G$2:$G$500,G157,$A$2:$A$500,"&lt;&gt;"))</f>
        <v/>
      </c>
      <c r="M157" s="12">
        <f>IF(AND(A157="",F157=""),"",IF(F157="","Belum ditempatkan",IF(I157="","CEK ID FIXTURE tidak ada di DAFTAR_FIXTURE",IF(G157="","CEK ZONA NO kosong",IF(K157="zona tidak ada di layout","CEK ZONA NO di luar layout",IF(H157&lt;&gt;K157,"CEK JENIS ZONA",IF(A157="","Zona kosong",IF(B157="","CEK SKU DESCRIPTION kosong","OK"))))))))</f>
        <v/>
      </c>
    </row>
    <row r="158">
      <c r="A158" s="10" t="n"/>
      <c r="B158" s="11" t="n"/>
      <c r="C158" s="11" t="n"/>
      <c r="D158" s="11" t="n"/>
      <c r="E158" s="11" t="n"/>
      <c r="F158" s="11" t="n"/>
      <c r="G158" s="11" t="n"/>
      <c r="H158" s="11" t="n"/>
      <c r="I158" s="12">
        <f>IF(F158="","",IFERROR(INDEX(DAFTAR_FIXTURE!$B$2:$B$51,MATCH(F158,DAFTAR_FIXTURE!$A$2:$A$51,0)),""))</f>
        <v/>
      </c>
      <c r="J158" s="12">
        <f>IF(A158="","","https://cdn.ruparupa.io/fit-in/850x850/ruparupa-com/image/upload/Products/"&amp;A158&amp;"_1.jpg")</f>
        <v/>
      </c>
      <c r="K158" s="12">
        <f>IF(OR(I158="",G158=""),"",IFERROR(INDEX(LAYOUT!$D$2:$D$34,MATCH(I158&amp;"|"&amp;G158,LAYOUT!$E$2:$E$34,0)),"zona tidak ada di layout"))</f>
        <v/>
      </c>
      <c r="L158" s="12">
        <f>IF(OR(F158="",A158=""),"",COUNTIFS($F$2:$F$500,F158,$G$2:$G$500,G158,$A$2:$A$500,"&lt;&gt;"))</f>
        <v/>
      </c>
      <c r="M158" s="12">
        <f>IF(AND(A158="",F158=""),"",IF(F158="","Belum ditempatkan",IF(I158="","CEK ID FIXTURE tidak ada di DAFTAR_FIXTURE",IF(G158="","CEK ZONA NO kosong",IF(K158="zona tidak ada di layout","CEK ZONA NO di luar layout",IF(H158&lt;&gt;K158,"CEK JENIS ZONA",IF(A158="","Zona kosong",IF(B158="","CEK SKU DESCRIPTION kosong","OK"))))))))</f>
        <v/>
      </c>
    </row>
    <row r="159">
      <c r="A159" s="10" t="n"/>
      <c r="B159" s="11" t="n"/>
      <c r="C159" s="11" t="n"/>
      <c r="D159" s="11" t="n"/>
      <c r="E159" s="11" t="n"/>
      <c r="F159" s="11" t="n"/>
      <c r="G159" s="11" t="n"/>
      <c r="H159" s="11" t="n"/>
      <c r="I159" s="12">
        <f>IF(F159="","",IFERROR(INDEX(DAFTAR_FIXTURE!$B$2:$B$51,MATCH(F159,DAFTAR_FIXTURE!$A$2:$A$51,0)),""))</f>
        <v/>
      </c>
      <c r="J159" s="12">
        <f>IF(A159="","","https://cdn.ruparupa.io/fit-in/850x850/ruparupa-com/image/upload/Products/"&amp;A159&amp;"_1.jpg")</f>
        <v/>
      </c>
      <c r="K159" s="12">
        <f>IF(OR(I159="",G159=""),"",IFERROR(INDEX(LAYOUT!$D$2:$D$34,MATCH(I159&amp;"|"&amp;G159,LAYOUT!$E$2:$E$34,0)),"zona tidak ada di layout"))</f>
        <v/>
      </c>
      <c r="L159" s="12">
        <f>IF(OR(F159="",A159=""),"",COUNTIFS($F$2:$F$500,F159,$G$2:$G$500,G159,$A$2:$A$500,"&lt;&gt;"))</f>
        <v/>
      </c>
      <c r="M159" s="12">
        <f>IF(AND(A159="",F159=""),"",IF(F159="","Belum ditempatkan",IF(I159="","CEK ID FIXTURE tidak ada di DAFTAR_FIXTURE",IF(G159="","CEK ZONA NO kosong",IF(K159="zona tidak ada di layout","CEK ZONA NO di luar layout",IF(H159&lt;&gt;K159,"CEK JENIS ZONA",IF(A159="","Zona kosong",IF(B159="","CEK SKU DESCRIPTION kosong","OK"))))))))</f>
        <v/>
      </c>
    </row>
    <row r="160">
      <c r="A160" s="10" t="n"/>
      <c r="B160" s="11" t="n"/>
      <c r="C160" s="11" t="n"/>
      <c r="D160" s="11" t="n"/>
      <c r="E160" s="11" t="n"/>
      <c r="F160" s="11" t="n"/>
      <c r="G160" s="11" t="n"/>
      <c r="H160" s="11" t="n"/>
      <c r="I160" s="12">
        <f>IF(F160="","",IFERROR(INDEX(DAFTAR_FIXTURE!$B$2:$B$51,MATCH(F160,DAFTAR_FIXTURE!$A$2:$A$51,0)),""))</f>
        <v/>
      </c>
      <c r="J160" s="12">
        <f>IF(A160="","","https://cdn.ruparupa.io/fit-in/850x850/ruparupa-com/image/upload/Products/"&amp;A160&amp;"_1.jpg")</f>
        <v/>
      </c>
      <c r="K160" s="12">
        <f>IF(OR(I160="",G160=""),"",IFERROR(INDEX(LAYOUT!$D$2:$D$34,MATCH(I160&amp;"|"&amp;G160,LAYOUT!$E$2:$E$34,0)),"zona tidak ada di layout"))</f>
        <v/>
      </c>
      <c r="L160" s="12">
        <f>IF(OR(F160="",A160=""),"",COUNTIFS($F$2:$F$500,F160,$G$2:$G$500,G160,$A$2:$A$500,"&lt;&gt;"))</f>
        <v/>
      </c>
      <c r="M160" s="12">
        <f>IF(AND(A160="",F160=""),"",IF(F160="","Belum ditempatkan",IF(I160="","CEK ID FIXTURE tidak ada di DAFTAR_FIXTURE",IF(G160="","CEK ZONA NO kosong",IF(K160="zona tidak ada di layout","CEK ZONA NO di luar layout",IF(H160&lt;&gt;K160,"CEK JENIS ZONA",IF(A160="","Zona kosong",IF(B160="","CEK SKU DESCRIPTION kosong","OK"))))))))</f>
        <v/>
      </c>
    </row>
    <row r="161">
      <c r="A161" s="10" t="n"/>
      <c r="B161" s="11" t="n"/>
      <c r="C161" s="11" t="n"/>
      <c r="D161" s="11" t="n"/>
      <c r="E161" s="11" t="n"/>
      <c r="F161" s="11" t="n"/>
      <c r="G161" s="11" t="n"/>
      <c r="H161" s="11" t="n"/>
      <c r="I161" s="12">
        <f>IF(F161="","",IFERROR(INDEX(DAFTAR_FIXTURE!$B$2:$B$51,MATCH(F161,DAFTAR_FIXTURE!$A$2:$A$51,0)),""))</f>
        <v/>
      </c>
      <c r="J161" s="12">
        <f>IF(A161="","","https://cdn.ruparupa.io/fit-in/850x850/ruparupa-com/image/upload/Products/"&amp;A161&amp;"_1.jpg")</f>
        <v/>
      </c>
      <c r="K161" s="12">
        <f>IF(OR(I161="",G161=""),"",IFERROR(INDEX(LAYOUT!$D$2:$D$34,MATCH(I161&amp;"|"&amp;G161,LAYOUT!$E$2:$E$34,0)),"zona tidak ada di layout"))</f>
        <v/>
      </c>
      <c r="L161" s="12">
        <f>IF(OR(F161="",A161=""),"",COUNTIFS($F$2:$F$500,F161,$G$2:$G$500,G161,$A$2:$A$500,"&lt;&gt;"))</f>
        <v/>
      </c>
      <c r="M161" s="12">
        <f>IF(AND(A161="",F161=""),"",IF(F161="","Belum ditempatkan",IF(I161="","CEK ID FIXTURE tidak ada di DAFTAR_FIXTURE",IF(G161="","CEK ZONA NO kosong",IF(K161="zona tidak ada di layout","CEK ZONA NO di luar layout",IF(H161&lt;&gt;K161,"CEK JENIS ZONA",IF(A161="","Zona kosong",IF(B161="","CEK SKU DESCRIPTION kosong","OK"))))))))</f>
        <v/>
      </c>
    </row>
    <row r="162">
      <c r="A162" s="10" t="n"/>
      <c r="B162" s="11" t="n"/>
      <c r="C162" s="11" t="n"/>
      <c r="D162" s="11" t="n"/>
      <c r="E162" s="11" t="n"/>
      <c r="F162" s="11" t="n"/>
      <c r="G162" s="11" t="n"/>
      <c r="H162" s="11" t="n"/>
      <c r="I162" s="12">
        <f>IF(F162="","",IFERROR(INDEX(DAFTAR_FIXTURE!$B$2:$B$51,MATCH(F162,DAFTAR_FIXTURE!$A$2:$A$51,0)),""))</f>
        <v/>
      </c>
      <c r="J162" s="12">
        <f>IF(A162="","","https://cdn.ruparupa.io/fit-in/850x850/ruparupa-com/image/upload/Products/"&amp;A162&amp;"_1.jpg")</f>
        <v/>
      </c>
      <c r="K162" s="12">
        <f>IF(OR(I162="",G162=""),"",IFERROR(INDEX(LAYOUT!$D$2:$D$34,MATCH(I162&amp;"|"&amp;G162,LAYOUT!$E$2:$E$34,0)),"zona tidak ada di layout"))</f>
        <v/>
      </c>
      <c r="L162" s="12">
        <f>IF(OR(F162="",A162=""),"",COUNTIFS($F$2:$F$500,F162,$G$2:$G$500,G162,$A$2:$A$500,"&lt;&gt;"))</f>
        <v/>
      </c>
      <c r="M162" s="12">
        <f>IF(AND(A162="",F162=""),"",IF(F162="","Belum ditempatkan",IF(I162="","CEK ID FIXTURE tidak ada di DAFTAR_FIXTURE",IF(G162="","CEK ZONA NO kosong",IF(K162="zona tidak ada di layout","CEK ZONA NO di luar layout",IF(H162&lt;&gt;K162,"CEK JENIS ZONA",IF(A162="","Zona kosong",IF(B162="","CEK SKU DESCRIPTION kosong","OK"))))))))</f>
        <v/>
      </c>
    </row>
    <row r="163">
      <c r="A163" s="10" t="n"/>
      <c r="B163" s="11" t="n"/>
      <c r="C163" s="11" t="n"/>
      <c r="D163" s="11" t="n"/>
      <c r="E163" s="11" t="n"/>
      <c r="F163" s="11" t="n"/>
      <c r="G163" s="11" t="n"/>
      <c r="H163" s="11" t="n"/>
      <c r="I163" s="12">
        <f>IF(F163="","",IFERROR(INDEX(DAFTAR_FIXTURE!$B$2:$B$51,MATCH(F163,DAFTAR_FIXTURE!$A$2:$A$51,0)),""))</f>
        <v/>
      </c>
      <c r="J163" s="12">
        <f>IF(A163="","","https://cdn.ruparupa.io/fit-in/850x850/ruparupa-com/image/upload/Products/"&amp;A163&amp;"_1.jpg")</f>
        <v/>
      </c>
      <c r="K163" s="12">
        <f>IF(OR(I163="",G163=""),"",IFERROR(INDEX(LAYOUT!$D$2:$D$34,MATCH(I163&amp;"|"&amp;G163,LAYOUT!$E$2:$E$34,0)),"zona tidak ada di layout"))</f>
        <v/>
      </c>
      <c r="L163" s="12">
        <f>IF(OR(F163="",A163=""),"",COUNTIFS($F$2:$F$500,F163,$G$2:$G$500,G163,$A$2:$A$500,"&lt;&gt;"))</f>
        <v/>
      </c>
      <c r="M163" s="12">
        <f>IF(AND(A163="",F163=""),"",IF(F163="","Belum ditempatkan",IF(I163="","CEK ID FIXTURE tidak ada di DAFTAR_FIXTURE",IF(G163="","CEK ZONA NO kosong",IF(K163="zona tidak ada di layout","CEK ZONA NO di luar layout",IF(H163&lt;&gt;K163,"CEK JENIS ZONA",IF(A163="","Zona kosong",IF(B163="","CEK SKU DESCRIPTION kosong","OK"))))))))</f>
        <v/>
      </c>
    </row>
    <row r="164">
      <c r="A164" s="10" t="n"/>
      <c r="B164" s="11" t="n"/>
      <c r="C164" s="11" t="n"/>
      <c r="D164" s="11" t="n"/>
      <c r="E164" s="11" t="n"/>
      <c r="F164" s="11" t="n"/>
      <c r="G164" s="11" t="n"/>
      <c r="H164" s="11" t="n"/>
      <c r="I164" s="12">
        <f>IF(F164="","",IFERROR(INDEX(DAFTAR_FIXTURE!$B$2:$B$51,MATCH(F164,DAFTAR_FIXTURE!$A$2:$A$51,0)),""))</f>
        <v/>
      </c>
      <c r="J164" s="12">
        <f>IF(A164="","","https://cdn.ruparupa.io/fit-in/850x850/ruparupa-com/image/upload/Products/"&amp;A164&amp;"_1.jpg")</f>
        <v/>
      </c>
      <c r="K164" s="12">
        <f>IF(OR(I164="",G164=""),"",IFERROR(INDEX(LAYOUT!$D$2:$D$34,MATCH(I164&amp;"|"&amp;G164,LAYOUT!$E$2:$E$34,0)),"zona tidak ada di layout"))</f>
        <v/>
      </c>
      <c r="L164" s="12">
        <f>IF(OR(F164="",A164=""),"",COUNTIFS($F$2:$F$500,F164,$G$2:$G$500,G164,$A$2:$A$500,"&lt;&gt;"))</f>
        <v/>
      </c>
      <c r="M164" s="12">
        <f>IF(AND(A164="",F164=""),"",IF(F164="","Belum ditempatkan",IF(I164="","CEK ID FIXTURE tidak ada di DAFTAR_FIXTURE",IF(G164="","CEK ZONA NO kosong",IF(K164="zona tidak ada di layout","CEK ZONA NO di luar layout",IF(H164&lt;&gt;K164,"CEK JENIS ZONA",IF(A164="","Zona kosong",IF(B164="","CEK SKU DESCRIPTION kosong","OK"))))))))</f>
        <v/>
      </c>
    </row>
    <row r="165">
      <c r="A165" s="10" t="n"/>
      <c r="B165" s="11" t="n"/>
      <c r="C165" s="11" t="n"/>
      <c r="D165" s="11" t="n"/>
      <c r="E165" s="11" t="n"/>
      <c r="F165" s="11" t="n"/>
      <c r="G165" s="11" t="n"/>
      <c r="H165" s="11" t="n"/>
      <c r="I165" s="12">
        <f>IF(F165="","",IFERROR(INDEX(DAFTAR_FIXTURE!$B$2:$B$51,MATCH(F165,DAFTAR_FIXTURE!$A$2:$A$51,0)),""))</f>
        <v/>
      </c>
      <c r="J165" s="12">
        <f>IF(A165="","","https://cdn.ruparupa.io/fit-in/850x850/ruparupa-com/image/upload/Products/"&amp;A165&amp;"_1.jpg")</f>
        <v/>
      </c>
      <c r="K165" s="12">
        <f>IF(OR(I165="",G165=""),"",IFERROR(INDEX(LAYOUT!$D$2:$D$34,MATCH(I165&amp;"|"&amp;G165,LAYOUT!$E$2:$E$34,0)),"zona tidak ada di layout"))</f>
        <v/>
      </c>
      <c r="L165" s="12">
        <f>IF(OR(F165="",A165=""),"",COUNTIFS($F$2:$F$500,F165,$G$2:$G$500,G165,$A$2:$A$500,"&lt;&gt;"))</f>
        <v/>
      </c>
      <c r="M165" s="12">
        <f>IF(AND(A165="",F165=""),"",IF(F165="","Belum ditempatkan",IF(I165="","CEK ID FIXTURE tidak ada di DAFTAR_FIXTURE",IF(G165="","CEK ZONA NO kosong",IF(K165="zona tidak ada di layout","CEK ZONA NO di luar layout",IF(H165&lt;&gt;K165,"CEK JENIS ZONA",IF(A165="","Zona kosong",IF(B165="","CEK SKU DESCRIPTION kosong","OK"))))))))</f>
        <v/>
      </c>
    </row>
    <row r="166">
      <c r="A166" s="10" t="n"/>
      <c r="B166" s="11" t="n"/>
      <c r="C166" s="11" t="n"/>
      <c r="D166" s="11" t="n"/>
      <c r="E166" s="11" t="n"/>
      <c r="F166" s="11" t="n"/>
      <c r="G166" s="11" t="n"/>
      <c r="H166" s="11" t="n"/>
      <c r="I166" s="12">
        <f>IF(F166="","",IFERROR(INDEX(DAFTAR_FIXTURE!$B$2:$B$51,MATCH(F166,DAFTAR_FIXTURE!$A$2:$A$51,0)),""))</f>
        <v/>
      </c>
      <c r="J166" s="12">
        <f>IF(A166="","","https://cdn.ruparupa.io/fit-in/850x850/ruparupa-com/image/upload/Products/"&amp;A166&amp;"_1.jpg")</f>
        <v/>
      </c>
      <c r="K166" s="12">
        <f>IF(OR(I166="",G166=""),"",IFERROR(INDEX(LAYOUT!$D$2:$D$34,MATCH(I166&amp;"|"&amp;G166,LAYOUT!$E$2:$E$34,0)),"zona tidak ada di layout"))</f>
        <v/>
      </c>
      <c r="L166" s="12">
        <f>IF(OR(F166="",A166=""),"",COUNTIFS($F$2:$F$500,F166,$G$2:$G$500,G166,$A$2:$A$500,"&lt;&gt;"))</f>
        <v/>
      </c>
      <c r="M166" s="12">
        <f>IF(AND(A166="",F166=""),"",IF(F166="","Belum ditempatkan",IF(I166="","CEK ID FIXTURE tidak ada di DAFTAR_FIXTURE",IF(G166="","CEK ZONA NO kosong",IF(K166="zona tidak ada di layout","CEK ZONA NO di luar layout",IF(H166&lt;&gt;K166,"CEK JENIS ZONA",IF(A166="","Zona kosong",IF(B166="","CEK SKU DESCRIPTION kosong","OK"))))))))</f>
        <v/>
      </c>
    </row>
    <row r="167">
      <c r="A167" s="10" t="n"/>
      <c r="B167" s="11" t="n"/>
      <c r="C167" s="11" t="n"/>
      <c r="D167" s="11" t="n"/>
      <c r="E167" s="11" t="n"/>
      <c r="F167" s="11" t="n"/>
      <c r="G167" s="11" t="n"/>
      <c r="H167" s="11" t="n"/>
      <c r="I167" s="12">
        <f>IF(F167="","",IFERROR(INDEX(DAFTAR_FIXTURE!$B$2:$B$51,MATCH(F167,DAFTAR_FIXTURE!$A$2:$A$51,0)),""))</f>
        <v/>
      </c>
      <c r="J167" s="12">
        <f>IF(A167="","","https://cdn.ruparupa.io/fit-in/850x850/ruparupa-com/image/upload/Products/"&amp;A167&amp;"_1.jpg")</f>
        <v/>
      </c>
      <c r="K167" s="12">
        <f>IF(OR(I167="",G167=""),"",IFERROR(INDEX(LAYOUT!$D$2:$D$34,MATCH(I167&amp;"|"&amp;G167,LAYOUT!$E$2:$E$34,0)),"zona tidak ada di layout"))</f>
        <v/>
      </c>
      <c r="L167" s="12">
        <f>IF(OR(F167="",A167=""),"",COUNTIFS($F$2:$F$500,F167,$G$2:$G$500,G167,$A$2:$A$500,"&lt;&gt;"))</f>
        <v/>
      </c>
      <c r="M167" s="12">
        <f>IF(AND(A167="",F167=""),"",IF(F167="","Belum ditempatkan",IF(I167="","CEK ID FIXTURE tidak ada di DAFTAR_FIXTURE",IF(G167="","CEK ZONA NO kosong",IF(K167="zona tidak ada di layout","CEK ZONA NO di luar layout",IF(H167&lt;&gt;K167,"CEK JENIS ZONA",IF(A167="","Zona kosong",IF(B167="","CEK SKU DESCRIPTION kosong","OK"))))))))</f>
        <v/>
      </c>
    </row>
    <row r="168">
      <c r="A168" s="10" t="n"/>
      <c r="B168" s="11" t="n"/>
      <c r="C168" s="11" t="n"/>
      <c r="D168" s="11" t="n"/>
      <c r="E168" s="11" t="n"/>
      <c r="F168" s="11" t="n"/>
      <c r="G168" s="11" t="n"/>
      <c r="H168" s="11" t="n"/>
      <c r="I168" s="12">
        <f>IF(F168="","",IFERROR(INDEX(DAFTAR_FIXTURE!$B$2:$B$51,MATCH(F168,DAFTAR_FIXTURE!$A$2:$A$51,0)),""))</f>
        <v/>
      </c>
      <c r="J168" s="12">
        <f>IF(A168="","","https://cdn.ruparupa.io/fit-in/850x850/ruparupa-com/image/upload/Products/"&amp;A168&amp;"_1.jpg")</f>
        <v/>
      </c>
      <c r="K168" s="12">
        <f>IF(OR(I168="",G168=""),"",IFERROR(INDEX(LAYOUT!$D$2:$D$34,MATCH(I168&amp;"|"&amp;G168,LAYOUT!$E$2:$E$34,0)),"zona tidak ada di layout"))</f>
        <v/>
      </c>
      <c r="L168" s="12">
        <f>IF(OR(F168="",A168=""),"",COUNTIFS($F$2:$F$500,F168,$G$2:$G$500,G168,$A$2:$A$500,"&lt;&gt;"))</f>
        <v/>
      </c>
      <c r="M168" s="12">
        <f>IF(AND(A168="",F168=""),"",IF(F168="","Belum ditempatkan",IF(I168="","CEK ID FIXTURE tidak ada di DAFTAR_FIXTURE",IF(G168="","CEK ZONA NO kosong",IF(K168="zona tidak ada di layout","CEK ZONA NO di luar layout",IF(H168&lt;&gt;K168,"CEK JENIS ZONA",IF(A168="","Zona kosong",IF(B168="","CEK SKU DESCRIPTION kosong","OK"))))))))</f>
        <v/>
      </c>
    </row>
    <row r="169">
      <c r="A169" s="10" t="n"/>
      <c r="B169" s="11" t="n"/>
      <c r="C169" s="11" t="n"/>
      <c r="D169" s="11" t="n"/>
      <c r="E169" s="11" t="n"/>
      <c r="F169" s="11" t="n"/>
      <c r="G169" s="11" t="n"/>
      <c r="H169" s="11" t="n"/>
      <c r="I169" s="12">
        <f>IF(F169="","",IFERROR(INDEX(DAFTAR_FIXTURE!$B$2:$B$51,MATCH(F169,DAFTAR_FIXTURE!$A$2:$A$51,0)),""))</f>
        <v/>
      </c>
      <c r="J169" s="12">
        <f>IF(A169="","","https://cdn.ruparupa.io/fit-in/850x850/ruparupa-com/image/upload/Products/"&amp;A169&amp;"_1.jpg")</f>
        <v/>
      </c>
      <c r="K169" s="12">
        <f>IF(OR(I169="",G169=""),"",IFERROR(INDEX(LAYOUT!$D$2:$D$34,MATCH(I169&amp;"|"&amp;G169,LAYOUT!$E$2:$E$34,0)),"zona tidak ada di layout"))</f>
        <v/>
      </c>
      <c r="L169" s="12">
        <f>IF(OR(F169="",A169=""),"",COUNTIFS($F$2:$F$500,F169,$G$2:$G$500,G169,$A$2:$A$500,"&lt;&gt;"))</f>
        <v/>
      </c>
      <c r="M169" s="12">
        <f>IF(AND(A169="",F169=""),"",IF(F169="","Belum ditempatkan",IF(I169="","CEK ID FIXTURE tidak ada di DAFTAR_FIXTURE",IF(G169="","CEK ZONA NO kosong",IF(K169="zona tidak ada di layout","CEK ZONA NO di luar layout",IF(H169&lt;&gt;K169,"CEK JENIS ZONA",IF(A169="","Zona kosong",IF(B169="","CEK SKU DESCRIPTION kosong","OK"))))))))</f>
        <v/>
      </c>
    </row>
    <row r="170">
      <c r="A170" s="10" t="n"/>
      <c r="B170" s="11" t="n"/>
      <c r="C170" s="11" t="n"/>
      <c r="D170" s="11" t="n"/>
      <c r="E170" s="11" t="n"/>
      <c r="F170" s="11" t="n"/>
      <c r="G170" s="11" t="n"/>
      <c r="H170" s="11" t="n"/>
      <c r="I170" s="12">
        <f>IF(F170="","",IFERROR(INDEX(DAFTAR_FIXTURE!$B$2:$B$51,MATCH(F170,DAFTAR_FIXTURE!$A$2:$A$51,0)),""))</f>
        <v/>
      </c>
      <c r="J170" s="12">
        <f>IF(A170="","","https://cdn.ruparupa.io/fit-in/850x850/ruparupa-com/image/upload/Products/"&amp;A170&amp;"_1.jpg")</f>
        <v/>
      </c>
      <c r="K170" s="12">
        <f>IF(OR(I170="",G170=""),"",IFERROR(INDEX(LAYOUT!$D$2:$D$34,MATCH(I170&amp;"|"&amp;G170,LAYOUT!$E$2:$E$34,0)),"zona tidak ada di layout"))</f>
        <v/>
      </c>
      <c r="L170" s="12">
        <f>IF(OR(F170="",A170=""),"",COUNTIFS($F$2:$F$500,F170,$G$2:$G$500,G170,$A$2:$A$500,"&lt;&gt;"))</f>
        <v/>
      </c>
      <c r="M170" s="12">
        <f>IF(AND(A170="",F170=""),"",IF(F170="","Belum ditempatkan",IF(I170="","CEK ID FIXTURE tidak ada di DAFTAR_FIXTURE",IF(G170="","CEK ZONA NO kosong",IF(K170="zona tidak ada di layout","CEK ZONA NO di luar layout",IF(H170&lt;&gt;K170,"CEK JENIS ZONA",IF(A170="","Zona kosong",IF(B170="","CEK SKU DESCRIPTION kosong","OK"))))))))</f>
        <v/>
      </c>
    </row>
    <row r="171">
      <c r="A171" s="10" t="n"/>
      <c r="B171" s="11" t="n"/>
      <c r="C171" s="11" t="n"/>
      <c r="D171" s="11" t="n"/>
      <c r="E171" s="11" t="n"/>
      <c r="F171" s="11" t="n"/>
      <c r="G171" s="11" t="n"/>
      <c r="H171" s="11" t="n"/>
      <c r="I171" s="12">
        <f>IF(F171="","",IFERROR(INDEX(DAFTAR_FIXTURE!$B$2:$B$51,MATCH(F171,DAFTAR_FIXTURE!$A$2:$A$51,0)),""))</f>
        <v/>
      </c>
      <c r="J171" s="12">
        <f>IF(A171="","","https://cdn.ruparupa.io/fit-in/850x850/ruparupa-com/image/upload/Products/"&amp;A171&amp;"_1.jpg")</f>
        <v/>
      </c>
      <c r="K171" s="12">
        <f>IF(OR(I171="",G171=""),"",IFERROR(INDEX(LAYOUT!$D$2:$D$34,MATCH(I171&amp;"|"&amp;G171,LAYOUT!$E$2:$E$34,0)),"zona tidak ada di layout"))</f>
        <v/>
      </c>
      <c r="L171" s="12">
        <f>IF(OR(F171="",A171=""),"",COUNTIFS($F$2:$F$500,F171,$G$2:$G$500,G171,$A$2:$A$500,"&lt;&gt;"))</f>
        <v/>
      </c>
      <c r="M171" s="12">
        <f>IF(AND(A171="",F171=""),"",IF(F171="","Belum ditempatkan",IF(I171="","CEK ID FIXTURE tidak ada di DAFTAR_FIXTURE",IF(G171="","CEK ZONA NO kosong",IF(K171="zona tidak ada di layout","CEK ZONA NO di luar layout",IF(H171&lt;&gt;K171,"CEK JENIS ZONA",IF(A171="","Zona kosong",IF(B171="","CEK SKU DESCRIPTION kosong","OK"))))))))</f>
        <v/>
      </c>
    </row>
    <row r="172">
      <c r="A172" s="10" t="n"/>
      <c r="B172" s="11" t="n"/>
      <c r="C172" s="11" t="n"/>
      <c r="D172" s="11" t="n"/>
      <c r="E172" s="11" t="n"/>
      <c r="F172" s="11" t="n"/>
      <c r="G172" s="11" t="n"/>
      <c r="H172" s="11" t="n"/>
      <c r="I172" s="12">
        <f>IF(F172="","",IFERROR(INDEX(DAFTAR_FIXTURE!$B$2:$B$51,MATCH(F172,DAFTAR_FIXTURE!$A$2:$A$51,0)),""))</f>
        <v/>
      </c>
      <c r="J172" s="12">
        <f>IF(A172="","","https://cdn.ruparupa.io/fit-in/850x850/ruparupa-com/image/upload/Products/"&amp;A172&amp;"_1.jpg")</f>
        <v/>
      </c>
      <c r="K172" s="12">
        <f>IF(OR(I172="",G172=""),"",IFERROR(INDEX(LAYOUT!$D$2:$D$34,MATCH(I172&amp;"|"&amp;G172,LAYOUT!$E$2:$E$34,0)),"zona tidak ada di layout"))</f>
        <v/>
      </c>
      <c r="L172" s="12">
        <f>IF(OR(F172="",A172=""),"",COUNTIFS($F$2:$F$500,F172,$G$2:$G$500,G172,$A$2:$A$500,"&lt;&gt;"))</f>
        <v/>
      </c>
      <c r="M172" s="12">
        <f>IF(AND(A172="",F172=""),"",IF(F172="","Belum ditempatkan",IF(I172="","CEK ID FIXTURE tidak ada di DAFTAR_FIXTURE",IF(G172="","CEK ZONA NO kosong",IF(K172="zona tidak ada di layout","CEK ZONA NO di luar layout",IF(H172&lt;&gt;K172,"CEK JENIS ZONA",IF(A172="","Zona kosong",IF(B172="","CEK SKU DESCRIPTION kosong","OK"))))))))</f>
        <v/>
      </c>
    </row>
    <row r="173">
      <c r="A173" s="10" t="n"/>
      <c r="B173" s="11" t="n"/>
      <c r="C173" s="11" t="n"/>
      <c r="D173" s="11" t="n"/>
      <c r="E173" s="11" t="n"/>
      <c r="F173" s="11" t="n"/>
      <c r="G173" s="11" t="n"/>
      <c r="H173" s="11" t="n"/>
      <c r="I173" s="12">
        <f>IF(F173="","",IFERROR(INDEX(DAFTAR_FIXTURE!$B$2:$B$51,MATCH(F173,DAFTAR_FIXTURE!$A$2:$A$51,0)),""))</f>
        <v/>
      </c>
      <c r="J173" s="12">
        <f>IF(A173="","","https://cdn.ruparupa.io/fit-in/850x850/ruparupa-com/image/upload/Products/"&amp;A173&amp;"_1.jpg")</f>
        <v/>
      </c>
      <c r="K173" s="12">
        <f>IF(OR(I173="",G173=""),"",IFERROR(INDEX(LAYOUT!$D$2:$D$34,MATCH(I173&amp;"|"&amp;G173,LAYOUT!$E$2:$E$34,0)),"zona tidak ada di layout"))</f>
        <v/>
      </c>
      <c r="L173" s="12">
        <f>IF(OR(F173="",A173=""),"",COUNTIFS($F$2:$F$500,F173,$G$2:$G$500,G173,$A$2:$A$500,"&lt;&gt;"))</f>
        <v/>
      </c>
      <c r="M173" s="12">
        <f>IF(AND(A173="",F173=""),"",IF(F173="","Belum ditempatkan",IF(I173="","CEK ID FIXTURE tidak ada di DAFTAR_FIXTURE",IF(G173="","CEK ZONA NO kosong",IF(K173="zona tidak ada di layout","CEK ZONA NO di luar layout",IF(H173&lt;&gt;K173,"CEK JENIS ZONA",IF(A173="","Zona kosong",IF(B173="","CEK SKU DESCRIPTION kosong","OK"))))))))</f>
        <v/>
      </c>
    </row>
    <row r="174">
      <c r="A174" s="10" t="n"/>
      <c r="B174" s="11" t="n"/>
      <c r="C174" s="11" t="n"/>
      <c r="D174" s="11" t="n"/>
      <c r="E174" s="11" t="n"/>
      <c r="F174" s="11" t="n"/>
      <c r="G174" s="11" t="n"/>
      <c r="H174" s="11" t="n"/>
      <c r="I174" s="12">
        <f>IF(F174="","",IFERROR(INDEX(DAFTAR_FIXTURE!$B$2:$B$51,MATCH(F174,DAFTAR_FIXTURE!$A$2:$A$51,0)),""))</f>
        <v/>
      </c>
      <c r="J174" s="12">
        <f>IF(A174="","","https://cdn.ruparupa.io/fit-in/850x850/ruparupa-com/image/upload/Products/"&amp;A174&amp;"_1.jpg")</f>
        <v/>
      </c>
      <c r="K174" s="12">
        <f>IF(OR(I174="",G174=""),"",IFERROR(INDEX(LAYOUT!$D$2:$D$34,MATCH(I174&amp;"|"&amp;G174,LAYOUT!$E$2:$E$34,0)),"zona tidak ada di layout"))</f>
        <v/>
      </c>
      <c r="L174" s="12">
        <f>IF(OR(F174="",A174=""),"",COUNTIFS($F$2:$F$500,F174,$G$2:$G$500,G174,$A$2:$A$500,"&lt;&gt;"))</f>
        <v/>
      </c>
      <c r="M174" s="12">
        <f>IF(AND(A174="",F174=""),"",IF(F174="","Belum ditempatkan",IF(I174="","CEK ID FIXTURE tidak ada di DAFTAR_FIXTURE",IF(G174="","CEK ZONA NO kosong",IF(K174="zona tidak ada di layout","CEK ZONA NO di luar layout",IF(H174&lt;&gt;K174,"CEK JENIS ZONA",IF(A174="","Zona kosong",IF(B174="","CEK SKU DESCRIPTION kosong","OK"))))))))</f>
        <v/>
      </c>
    </row>
    <row r="175">
      <c r="A175" s="10" t="n"/>
      <c r="B175" s="11" t="n"/>
      <c r="C175" s="11" t="n"/>
      <c r="D175" s="11" t="n"/>
      <c r="E175" s="11" t="n"/>
      <c r="F175" s="11" t="n"/>
      <c r="G175" s="11" t="n"/>
      <c r="H175" s="11" t="n"/>
      <c r="I175" s="12">
        <f>IF(F175="","",IFERROR(INDEX(DAFTAR_FIXTURE!$B$2:$B$51,MATCH(F175,DAFTAR_FIXTURE!$A$2:$A$51,0)),""))</f>
        <v/>
      </c>
      <c r="J175" s="12">
        <f>IF(A175="","","https://cdn.ruparupa.io/fit-in/850x850/ruparupa-com/image/upload/Products/"&amp;A175&amp;"_1.jpg")</f>
        <v/>
      </c>
      <c r="K175" s="12">
        <f>IF(OR(I175="",G175=""),"",IFERROR(INDEX(LAYOUT!$D$2:$D$34,MATCH(I175&amp;"|"&amp;G175,LAYOUT!$E$2:$E$34,0)),"zona tidak ada di layout"))</f>
        <v/>
      </c>
      <c r="L175" s="12">
        <f>IF(OR(F175="",A175=""),"",COUNTIFS($F$2:$F$500,F175,$G$2:$G$500,G175,$A$2:$A$500,"&lt;&gt;"))</f>
        <v/>
      </c>
      <c r="M175" s="12">
        <f>IF(AND(A175="",F175=""),"",IF(F175="","Belum ditempatkan",IF(I175="","CEK ID FIXTURE tidak ada di DAFTAR_FIXTURE",IF(G175="","CEK ZONA NO kosong",IF(K175="zona tidak ada di layout","CEK ZONA NO di luar layout",IF(H175&lt;&gt;K175,"CEK JENIS ZONA",IF(A175="","Zona kosong",IF(B175="","CEK SKU DESCRIPTION kosong","OK"))))))))</f>
        <v/>
      </c>
    </row>
    <row r="176">
      <c r="A176" s="10" t="n"/>
      <c r="B176" s="11" t="n"/>
      <c r="C176" s="11" t="n"/>
      <c r="D176" s="11" t="n"/>
      <c r="E176" s="11" t="n"/>
      <c r="F176" s="11" t="n"/>
      <c r="G176" s="11" t="n"/>
      <c r="H176" s="11" t="n"/>
      <c r="I176" s="12">
        <f>IF(F176="","",IFERROR(INDEX(DAFTAR_FIXTURE!$B$2:$B$51,MATCH(F176,DAFTAR_FIXTURE!$A$2:$A$51,0)),""))</f>
        <v/>
      </c>
      <c r="J176" s="12">
        <f>IF(A176="","","https://cdn.ruparupa.io/fit-in/850x850/ruparupa-com/image/upload/Products/"&amp;A176&amp;"_1.jpg")</f>
        <v/>
      </c>
      <c r="K176" s="12">
        <f>IF(OR(I176="",G176=""),"",IFERROR(INDEX(LAYOUT!$D$2:$D$34,MATCH(I176&amp;"|"&amp;G176,LAYOUT!$E$2:$E$34,0)),"zona tidak ada di layout"))</f>
        <v/>
      </c>
      <c r="L176" s="12">
        <f>IF(OR(F176="",A176=""),"",COUNTIFS($F$2:$F$500,F176,$G$2:$G$500,G176,$A$2:$A$500,"&lt;&gt;"))</f>
        <v/>
      </c>
      <c r="M176" s="12">
        <f>IF(AND(A176="",F176=""),"",IF(F176="","Belum ditempatkan",IF(I176="","CEK ID FIXTURE tidak ada di DAFTAR_FIXTURE",IF(G176="","CEK ZONA NO kosong",IF(K176="zona tidak ada di layout","CEK ZONA NO di luar layout",IF(H176&lt;&gt;K176,"CEK JENIS ZONA",IF(A176="","Zona kosong",IF(B176="","CEK SKU DESCRIPTION kosong","OK"))))))))</f>
        <v/>
      </c>
    </row>
    <row r="177">
      <c r="A177" s="10" t="n"/>
      <c r="B177" s="11" t="n"/>
      <c r="C177" s="11" t="n"/>
      <c r="D177" s="11" t="n"/>
      <c r="E177" s="11" t="n"/>
      <c r="F177" s="11" t="n"/>
      <c r="G177" s="11" t="n"/>
      <c r="H177" s="11" t="n"/>
      <c r="I177" s="12">
        <f>IF(F177="","",IFERROR(INDEX(DAFTAR_FIXTURE!$B$2:$B$51,MATCH(F177,DAFTAR_FIXTURE!$A$2:$A$51,0)),""))</f>
        <v/>
      </c>
      <c r="J177" s="12">
        <f>IF(A177="","","https://cdn.ruparupa.io/fit-in/850x850/ruparupa-com/image/upload/Products/"&amp;A177&amp;"_1.jpg")</f>
        <v/>
      </c>
      <c r="K177" s="12">
        <f>IF(OR(I177="",G177=""),"",IFERROR(INDEX(LAYOUT!$D$2:$D$34,MATCH(I177&amp;"|"&amp;G177,LAYOUT!$E$2:$E$34,0)),"zona tidak ada di layout"))</f>
        <v/>
      </c>
      <c r="L177" s="12">
        <f>IF(OR(F177="",A177=""),"",COUNTIFS($F$2:$F$500,F177,$G$2:$G$500,G177,$A$2:$A$500,"&lt;&gt;"))</f>
        <v/>
      </c>
      <c r="M177" s="12">
        <f>IF(AND(A177="",F177=""),"",IF(F177="","Belum ditempatkan",IF(I177="","CEK ID FIXTURE tidak ada di DAFTAR_FIXTURE",IF(G177="","CEK ZONA NO kosong",IF(K177="zona tidak ada di layout","CEK ZONA NO di luar layout",IF(H177&lt;&gt;K177,"CEK JENIS ZONA",IF(A177="","Zona kosong",IF(B177="","CEK SKU DESCRIPTION kosong","OK"))))))))</f>
        <v/>
      </c>
    </row>
    <row r="178">
      <c r="A178" s="10" t="n"/>
      <c r="B178" s="11" t="n"/>
      <c r="C178" s="11" t="n"/>
      <c r="D178" s="11" t="n"/>
      <c r="E178" s="11" t="n"/>
      <c r="F178" s="11" t="n"/>
      <c r="G178" s="11" t="n"/>
      <c r="H178" s="11" t="n"/>
      <c r="I178" s="12">
        <f>IF(F178="","",IFERROR(INDEX(DAFTAR_FIXTURE!$B$2:$B$51,MATCH(F178,DAFTAR_FIXTURE!$A$2:$A$51,0)),""))</f>
        <v/>
      </c>
      <c r="J178" s="12">
        <f>IF(A178="","","https://cdn.ruparupa.io/fit-in/850x850/ruparupa-com/image/upload/Products/"&amp;A178&amp;"_1.jpg")</f>
        <v/>
      </c>
      <c r="K178" s="12">
        <f>IF(OR(I178="",G178=""),"",IFERROR(INDEX(LAYOUT!$D$2:$D$34,MATCH(I178&amp;"|"&amp;G178,LAYOUT!$E$2:$E$34,0)),"zona tidak ada di layout"))</f>
        <v/>
      </c>
      <c r="L178" s="12">
        <f>IF(OR(F178="",A178=""),"",COUNTIFS($F$2:$F$500,F178,$G$2:$G$500,G178,$A$2:$A$500,"&lt;&gt;"))</f>
        <v/>
      </c>
      <c r="M178" s="12">
        <f>IF(AND(A178="",F178=""),"",IF(F178="","Belum ditempatkan",IF(I178="","CEK ID FIXTURE tidak ada di DAFTAR_FIXTURE",IF(G178="","CEK ZONA NO kosong",IF(K178="zona tidak ada di layout","CEK ZONA NO di luar layout",IF(H178&lt;&gt;K178,"CEK JENIS ZONA",IF(A178="","Zona kosong",IF(B178="","CEK SKU DESCRIPTION kosong","OK"))))))))</f>
        <v/>
      </c>
    </row>
    <row r="179">
      <c r="A179" s="10" t="n"/>
      <c r="B179" s="11" t="n"/>
      <c r="C179" s="11" t="n"/>
      <c r="D179" s="11" t="n"/>
      <c r="E179" s="11" t="n"/>
      <c r="F179" s="11" t="n"/>
      <c r="G179" s="11" t="n"/>
      <c r="H179" s="11" t="n"/>
      <c r="I179" s="12">
        <f>IF(F179="","",IFERROR(INDEX(DAFTAR_FIXTURE!$B$2:$B$51,MATCH(F179,DAFTAR_FIXTURE!$A$2:$A$51,0)),""))</f>
        <v/>
      </c>
      <c r="J179" s="12">
        <f>IF(A179="","","https://cdn.ruparupa.io/fit-in/850x850/ruparupa-com/image/upload/Products/"&amp;A179&amp;"_1.jpg")</f>
        <v/>
      </c>
      <c r="K179" s="12">
        <f>IF(OR(I179="",G179=""),"",IFERROR(INDEX(LAYOUT!$D$2:$D$34,MATCH(I179&amp;"|"&amp;G179,LAYOUT!$E$2:$E$34,0)),"zona tidak ada di layout"))</f>
        <v/>
      </c>
      <c r="L179" s="12">
        <f>IF(OR(F179="",A179=""),"",COUNTIFS($F$2:$F$500,F179,$G$2:$G$500,G179,$A$2:$A$500,"&lt;&gt;"))</f>
        <v/>
      </c>
      <c r="M179" s="12">
        <f>IF(AND(A179="",F179=""),"",IF(F179="","Belum ditempatkan",IF(I179="","CEK ID FIXTURE tidak ada di DAFTAR_FIXTURE",IF(G179="","CEK ZONA NO kosong",IF(K179="zona tidak ada di layout","CEK ZONA NO di luar layout",IF(H179&lt;&gt;K179,"CEK JENIS ZONA",IF(A179="","Zona kosong",IF(B179="","CEK SKU DESCRIPTION kosong","OK"))))))))</f>
        <v/>
      </c>
    </row>
    <row r="180">
      <c r="A180" s="10" t="n"/>
      <c r="B180" s="11" t="n"/>
      <c r="C180" s="11" t="n"/>
      <c r="D180" s="11" t="n"/>
      <c r="E180" s="11" t="n"/>
      <c r="F180" s="11" t="n"/>
      <c r="G180" s="11" t="n"/>
      <c r="H180" s="11" t="n"/>
      <c r="I180" s="12">
        <f>IF(F180="","",IFERROR(INDEX(DAFTAR_FIXTURE!$B$2:$B$51,MATCH(F180,DAFTAR_FIXTURE!$A$2:$A$51,0)),""))</f>
        <v/>
      </c>
      <c r="J180" s="12">
        <f>IF(A180="","","https://cdn.ruparupa.io/fit-in/850x850/ruparupa-com/image/upload/Products/"&amp;A180&amp;"_1.jpg")</f>
        <v/>
      </c>
      <c r="K180" s="12">
        <f>IF(OR(I180="",G180=""),"",IFERROR(INDEX(LAYOUT!$D$2:$D$34,MATCH(I180&amp;"|"&amp;G180,LAYOUT!$E$2:$E$34,0)),"zona tidak ada di layout"))</f>
        <v/>
      </c>
      <c r="L180" s="12">
        <f>IF(OR(F180="",A180=""),"",COUNTIFS($F$2:$F$500,F180,$G$2:$G$500,G180,$A$2:$A$500,"&lt;&gt;"))</f>
        <v/>
      </c>
      <c r="M180" s="12">
        <f>IF(AND(A180="",F180=""),"",IF(F180="","Belum ditempatkan",IF(I180="","CEK ID FIXTURE tidak ada di DAFTAR_FIXTURE",IF(G180="","CEK ZONA NO kosong",IF(K180="zona tidak ada di layout","CEK ZONA NO di luar layout",IF(H180&lt;&gt;K180,"CEK JENIS ZONA",IF(A180="","Zona kosong",IF(B180="","CEK SKU DESCRIPTION kosong","OK"))))))))</f>
        <v/>
      </c>
    </row>
    <row r="181">
      <c r="A181" s="10" t="n"/>
      <c r="B181" s="11" t="n"/>
      <c r="C181" s="11" t="n"/>
      <c r="D181" s="11" t="n"/>
      <c r="E181" s="11" t="n"/>
      <c r="F181" s="11" t="n"/>
      <c r="G181" s="11" t="n"/>
      <c r="H181" s="11" t="n"/>
      <c r="I181" s="12">
        <f>IF(F181="","",IFERROR(INDEX(DAFTAR_FIXTURE!$B$2:$B$51,MATCH(F181,DAFTAR_FIXTURE!$A$2:$A$51,0)),""))</f>
        <v/>
      </c>
      <c r="J181" s="12">
        <f>IF(A181="","","https://cdn.ruparupa.io/fit-in/850x850/ruparupa-com/image/upload/Products/"&amp;A181&amp;"_1.jpg")</f>
        <v/>
      </c>
      <c r="K181" s="12">
        <f>IF(OR(I181="",G181=""),"",IFERROR(INDEX(LAYOUT!$D$2:$D$34,MATCH(I181&amp;"|"&amp;G181,LAYOUT!$E$2:$E$34,0)),"zona tidak ada di layout"))</f>
        <v/>
      </c>
      <c r="L181" s="12">
        <f>IF(OR(F181="",A181=""),"",COUNTIFS($F$2:$F$500,F181,$G$2:$G$500,G181,$A$2:$A$500,"&lt;&gt;"))</f>
        <v/>
      </c>
      <c r="M181" s="12">
        <f>IF(AND(A181="",F181=""),"",IF(F181="","Belum ditempatkan",IF(I181="","CEK ID FIXTURE tidak ada di DAFTAR_FIXTURE",IF(G181="","CEK ZONA NO kosong",IF(K181="zona tidak ada di layout","CEK ZONA NO di luar layout",IF(H181&lt;&gt;K181,"CEK JENIS ZONA",IF(A181="","Zona kosong",IF(B181="","CEK SKU DESCRIPTION kosong","OK"))))))))</f>
        <v/>
      </c>
    </row>
    <row r="182">
      <c r="A182" s="10" t="n"/>
      <c r="B182" s="11" t="n"/>
      <c r="C182" s="11" t="n"/>
      <c r="D182" s="11" t="n"/>
      <c r="E182" s="11" t="n"/>
      <c r="F182" s="11" t="n"/>
      <c r="G182" s="11" t="n"/>
      <c r="H182" s="11" t="n"/>
      <c r="I182" s="12">
        <f>IF(F182="","",IFERROR(INDEX(DAFTAR_FIXTURE!$B$2:$B$51,MATCH(F182,DAFTAR_FIXTURE!$A$2:$A$51,0)),""))</f>
        <v/>
      </c>
      <c r="J182" s="12">
        <f>IF(A182="","","https://cdn.ruparupa.io/fit-in/850x850/ruparupa-com/image/upload/Products/"&amp;A182&amp;"_1.jpg")</f>
        <v/>
      </c>
      <c r="K182" s="12">
        <f>IF(OR(I182="",G182=""),"",IFERROR(INDEX(LAYOUT!$D$2:$D$34,MATCH(I182&amp;"|"&amp;G182,LAYOUT!$E$2:$E$34,0)),"zona tidak ada di layout"))</f>
        <v/>
      </c>
      <c r="L182" s="12">
        <f>IF(OR(F182="",A182=""),"",COUNTIFS($F$2:$F$500,F182,$G$2:$G$500,G182,$A$2:$A$500,"&lt;&gt;"))</f>
        <v/>
      </c>
      <c r="M182" s="12">
        <f>IF(AND(A182="",F182=""),"",IF(F182="","Belum ditempatkan",IF(I182="","CEK ID FIXTURE tidak ada di DAFTAR_FIXTURE",IF(G182="","CEK ZONA NO kosong",IF(K182="zona tidak ada di layout","CEK ZONA NO di luar layout",IF(H182&lt;&gt;K182,"CEK JENIS ZONA",IF(A182="","Zona kosong",IF(B182="","CEK SKU DESCRIPTION kosong","OK"))))))))</f>
        <v/>
      </c>
    </row>
    <row r="183">
      <c r="A183" s="10" t="n"/>
      <c r="B183" s="11" t="n"/>
      <c r="C183" s="11" t="n"/>
      <c r="D183" s="11" t="n"/>
      <c r="E183" s="11" t="n"/>
      <c r="F183" s="11" t="n"/>
      <c r="G183" s="11" t="n"/>
      <c r="H183" s="11" t="n"/>
      <c r="I183" s="12">
        <f>IF(F183="","",IFERROR(INDEX(DAFTAR_FIXTURE!$B$2:$B$51,MATCH(F183,DAFTAR_FIXTURE!$A$2:$A$51,0)),""))</f>
        <v/>
      </c>
      <c r="J183" s="12">
        <f>IF(A183="","","https://cdn.ruparupa.io/fit-in/850x850/ruparupa-com/image/upload/Products/"&amp;A183&amp;"_1.jpg")</f>
        <v/>
      </c>
      <c r="K183" s="12">
        <f>IF(OR(I183="",G183=""),"",IFERROR(INDEX(LAYOUT!$D$2:$D$34,MATCH(I183&amp;"|"&amp;G183,LAYOUT!$E$2:$E$34,0)),"zona tidak ada di layout"))</f>
        <v/>
      </c>
      <c r="L183" s="12">
        <f>IF(OR(F183="",A183=""),"",COUNTIFS($F$2:$F$500,F183,$G$2:$G$500,G183,$A$2:$A$500,"&lt;&gt;"))</f>
        <v/>
      </c>
      <c r="M183" s="12">
        <f>IF(AND(A183="",F183=""),"",IF(F183="","Belum ditempatkan",IF(I183="","CEK ID FIXTURE tidak ada di DAFTAR_FIXTURE",IF(G183="","CEK ZONA NO kosong",IF(K183="zona tidak ada di layout","CEK ZONA NO di luar layout",IF(H183&lt;&gt;K183,"CEK JENIS ZONA",IF(A183="","Zona kosong",IF(B183="","CEK SKU DESCRIPTION kosong","OK"))))))))</f>
        <v/>
      </c>
    </row>
    <row r="184">
      <c r="A184" s="10" t="n"/>
      <c r="B184" s="11" t="n"/>
      <c r="C184" s="11" t="n"/>
      <c r="D184" s="11" t="n"/>
      <c r="E184" s="11" t="n"/>
      <c r="F184" s="11" t="n"/>
      <c r="G184" s="11" t="n"/>
      <c r="H184" s="11" t="n"/>
      <c r="I184" s="12">
        <f>IF(F184="","",IFERROR(INDEX(DAFTAR_FIXTURE!$B$2:$B$51,MATCH(F184,DAFTAR_FIXTURE!$A$2:$A$51,0)),""))</f>
        <v/>
      </c>
      <c r="J184" s="12">
        <f>IF(A184="","","https://cdn.ruparupa.io/fit-in/850x850/ruparupa-com/image/upload/Products/"&amp;A184&amp;"_1.jpg")</f>
        <v/>
      </c>
      <c r="K184" s="12">
        <f>IF(OR(I184="",G184=""),"",IFERROR(INDEX(LAYOUT!$D$2:$D$34,MATCH(I184&amp;"|"&amp;G184,LAYOUT!$E$2:$E$34,0)),"zona tidak ada di layout"))</f>
        <v/>
      </c>
      <c r="L184" s="12">
        <f>IF(OR(F184="",A184=""),"",COUNTIFS($F$2:$F$500,F184,$G$2:$G$500,G184,$A$2:$A$500,"&lt;&gt;"))</f>
        <v/>
      </c>
      <c r="M184" s="12">
        <f>IF(AND(A184="",F184=""),"",IF(F184="","Belum ditempatkan",IF(I184="","CEK ID FIXTURE tidak ada di DAFTAR_FIXTURE",IF(G184="","CEK ZONA NO kosong",IF(K184="zona tidak ada di layout","CEK ZONA NO di luar layout",IF(H184&lt;&gt;K184,"CEK JENIS ZONA",IF(A184="","Zona kosong",IF(B184="","CEK SKU DESCRIPTION kosong","OK"))))))))</f>
        <v/>
      </c>
    </row>
    <row r="185">
      <c r="A185" s="10" t="n"/>
      <c r="B185" s="11" t="n"/>
      <c r="C185" s="11" t="n"/>
      <c r="D185" s="11" t="n"/>
      <c r="E185" s="11" t="n"/>
      <c r="F185" s="11" t="n"/>
      <c r="G185" s="11" t="n"/>
      <c r="H185" s="11" t="n"/>
      <c r="I185" s="12">
        <f>IF(F185="","",IFERROR(INDEX(DAFTAR_FIXTURE!$B$2:$B$51,MATCH(F185,DAFTAR_FIXTURE!$A$2:$A$51,0)),""))</f>
        <v/>
      </c>
      <c r="J185" s="12">
        <f>IF(A185="","","https://cdn.ruparupa.io/fit-in/850x850/ruparupa-com/image/upload/Products/"&amp;A185&amp;"_1.jpg")</f>
        <v/>
      </c>
      <c r="K185" s="12">
        <f>IF(OR(I185="",G185=""),"",IFERROR(INDEX(LAYOUT!$D$2:$D$34,MATCH(I185&amp;"|"&amp;G185,LAYOUT!$E$2:$E$34,0)),"zona tidak ada di layout"))</f>
        <v/>
      </c>
      <c r="L185" s="12">
        <f>IF(OR(F185="",A185=""),"",COUNTIFS($F$2:$F$500,F185,$G$2:$G$500,G185,$A$2:$A$500,"&lt;&gt;"))</f>
        <v/>
      </c>
      <c r="M185" s="12">
        <f>IF(AND(A185="",F185=""),"",IF(F185="","Belum ditempatkan",IF(I185="","CEK ID FIXTURE tidak ada di DAFTAR_FIXTURE",IF(G185="","CEK ZONA NO kosong",IF(K185="zona tidak ada di layout","CEK ZONA NO di luar layout",IF(H185&lt;&gt;K185,"CEK JENIS ZONA",IF(A185="","Zona kosong",IF(B185="","CEK SKU DESCRIPTION kosong","OK"))))))))</f>
        <v/>
      </c>
    </row>
    <row r="186">
      <c r="A186" s="10" t="n"/>
      <c r="B186" s="11" t="n"/>
      <c r="C186" s="11" t="n"/>
      <c r="D186" s="11" t="n"/>
      <c r="E186" s="11" t="n"/>
      <c r="F186" s="11" t="n"/>
      <c r="G186" s="11" t="n"/>
      <c r="H186" s="11" t="n"/>
      <c r="I186" s="12">
        <f>IF(F186="","",IFERROR(INDEX(DAFTAR_FIXTURE!$B$2:$B$51,MATCH(F186,DAFTAR_FIXTURE!$A$2:$A$51,0)),""))</f>
        <v/>
      </c>
      <c r="J186" s="12">
        <f>IF(A186="","","https://cdn.ruparupa.io/fit-in/850x850/ruparupa-com/image/upload/Products/"&amp;A186&amp;"_1.jpg")</f>
        <v/>
      </c>
      <c r="K186" s="12">
        <f>IF(OR(I186="",G186=""),"",IFERROR(INDEX(LAYOUT!$D$2:$D$34,MATCH(I186&amp;"|"&amp;G186,LAYOUT!$E$2:$E$34,0)),"zona tidak ada di layout"))</f>
        <v/>
      </c>
      <c r="L186" s="12">
        <f>IF(OR(F186="",A186=""),"",COUNTIFS($F$2:$F$500,F186,$G$2:$G$500,G186,$A$2:$A$500,"&lt;&gt;"))</f>
        <v/>
      </c>
      <c r="M186" s="12">
        <f>IF(AND(A186="",F186=""),"",IF(F186="","Belum ditempatkan",IF(I186="","CEK ID FIXTURE tidak ada di DAFTAR_FIXTURE",IF(G186="","CEK ZONA NO kosong",IF(K186="zona tidak ada di layout","CEK ZONA NO di luar layout",IF(H186&lt;&gt;K186,"CEK JENIS ZONA",IF(A186="","Zona kosong",IF(B186="","CEK SKU DESCRIPTION kosong","OK"))))))))</f>
        <v/>
      </c>
    </row>
    <row r="187">
      <c r="A187" s="10" t="n"/>
      <c r="B187" s="11" t="n"/>
      <c r="C187" s="11" t="n"/>
      <c r="D187" s="11" t="n"/>
      <c r="E187" s="11" t="n"/>
      <c r="F187" s="11" t="n"/>
      <c r="G187" s="11" t="n"/>
      <c r="H187" s="11" t="n"/>
      <c r="I187" s="12">
        <f>IF(F187="","",IFERROR(INDEX(DAFTAR_FIXTURE!$B$2:$B$51,MATCH(F187,DAFTAR_FIXTURE!$A$2:$A$51,0)),""))</f>
        <v/>
      </c>
      <c r="J187" s="12">
        <f>IF(A187="","","https://cdn.ruparupa.io/fit-in/850x850/ruparupa-com/image/upload/Products/"&amp;A187&amp;"_1.jpg")</f>
        <v/>
      </c>
      <c r="K187" s="12">
        <f>IF(OR(I187="",G187=""),"",IFERROR(INDEX(LAYOUT!$D$2:$D$34,MATCH(I187&amp;"|"&amp;G187,LAYOUT!$E$2:$E$34,0)),"zona tidak ada di layout"))</f>
        <v/>
      </c>
      <c r="L187" s="12">
        <f>IF(OR(F187="",A187=""),"",COUNTIFS($F$2:$F$500,F187,$G$2:$G$500,G187,$A$2:$A$500,"&lt;&gt;"))</f>
        <v/>
      </c>
      <c r="M187" s="12">
        <f>IF(AND(A187="",F187=""),"",IF(F187="","Belum ditempatkan",IF(I187="","CEK ID FIXTURE tidak ada di DAFTAR_FIXTURE",IF(G187="","CEK ZONA NO kosong",IF(K187="zona tidak ada di layout","CEK ZONA NO di luar layout",IF(H187&lt;&gt;K187,"CEK JENIS ZONA",IF(A187="","Zona kosong",IF(B187="","CEK SKU DESCRIPTION kosong","OK"))))))))</f>
        <v/>
      </c>
    </row>
    <row r="188">
      <c r="A188" s="10" t="n"/>
      <c r="B188" s="11" t="n"/>
      <c r="C188" s="11" t="n"/>
      <c r="D188" s="11" t="n"/>
      <c r="E188" s="11" t="n"/>
      <c r="F188" s="11" t="n"/>
      <c r="G188" s="11" t="n"/>
      <c r="H188" s="11" t="n"/>
      <c r="I188" s="12">
        <f>IF(F188="","",IFERROR(INDEX(DAFTAR_FIXTURE!$B$2:$B$51,MATCH(F188,DAFTAR_FIXTURE!$A$2:$A$51,0)),""))</f>
        <v/>
      </c>
      <c r="J188" s="12">
        <f>IF(A188="","","https://cdn.ruparupa.io/fit-in/850x850/ruparupa-com/image/upload/Products/"&amp;A188&amp;"_1.jpg")</f>
        <v/>
      </c>
      <c r="K188" s="12">
        <f>IF(OR(I188="",G188=""),"",IFERROR(INDEX(LAYOUT!$D$2:$D$34,MATCH(I188&amp;"|"&amp;G188,LAYOUT!$E$2:$E$34,0)),"zona tidak ada di layout"))</f>
        <v/>
      </c>
      <c r="L188" s="12">
        <f>IF(OR(F188="",A188=""),"",COUNTIFS($F$2:$F$500,F188,$G$2:$G$500,G188,$A$2:$A$500,"&lt;&gt;"))</f>
        <v/>
      </c>
      <c r="M188" s="12">
        <f>IF(AND(A188="",F188=""),"",IF(F188="","Belum ditempatkan",IF(I188="","CEK ID FIXTURE tidak ada di DAFTAR_FIXTURE",IF(G188="","CEK ZONA NO kosong",IF(K188="zona tidak ada di layout","CEK ZONA NO di luar layout",IF(H188&lt;&gt;K188,"CEK JENIS ZONA",IF(A188="","Zona kosong",IF(B188="","CEK SKU DESCRIPTION kosong","OK"))))))))</f>
        <v/>
      </c>
    </row>
    <row r="189">
      <c r="A189" s="10" t="n"/>
      <c r="B189" s="11" t="n"/>
      <c r="C189" s="11" t="n"/>
      <c r="D189" s="11" t="n"/>
      <c r="E189" s="11" t="n"/>
      <c r="F189" s="11" t="n"/>
      <c r="G189" s="11" t="n"/>
      <c r="H189" s="11" t="n"/>
      <c r="I189" s="12">
        <f>IF(F189="","",IFERROR(INDEX(DAFTAR_FIXTURE!$B$2:$B$51,MATCH(F189,DAFTAR_FIXTURE!$A$2:$A$51,0)),""))</f>
        <v/>
      </c>
      <c r="J189" s="12">
        <f>IF(A189="","","https://cdn.ruparupa.io/fit-in/850x850/ruparupa-com/image/upload/Products/"&amp;A189&amp;"_1.jpg")</f>
        <v/>
      </c>
      <c r="K189" s="12">
        <f>IF(OR(I189="",G189=""),"",IFERROR(INDEX(LAYOUT!$D$2:$D$34,MATCH(I189&amp;"|"&amp;G189,LAYOUT!$E$2:$E$34,0)),"zona tidak ada di layout"))</f>
        <v/>
      </c>
      <c r="L189" s="12">
        <f>IF(OR(F189="",A189=""),"",COUNTIFS($F$2:$F$500,F189,$G$2:$G$500,G189,$A$2:$A$500,"&lt;&gt;"))</f>
        <v/>
      </c>
      <c r="M189" s="12">
        <f>IF(AND(A189="",F189=""),"",IF(F189="","Belum ditempatkan",IF(I189="","CEK ID FIXTURE tidak ada di DAFTAR_FIXTURE",IF(G189="","CEK ZONA NO kosong",IF(K189="zona tidak ada di layout","CEK ZONA NO di luar layout",IF(H189&lt;&gt;K189,"CEK JENIS ZONA",IF(A189="","Zona kosong",IF(B189="","CEK SKU DESCRIPTION kosong","OK"))))))))</f>
        <v/>
      </c>
    </row>
    <row r="190">
      <c r="A190" s="10" t="n"/>
      <c r="B190" s="11" t="n"/>
      <c r="C190" s="11" t="n"/>
      <c r="D190" s="11" t="n"/>
      <c r="E190" s="11" t="n"/>
      <c r="F190" s="11" t="n"/>
      <c r="G190" s="11" t="n"/>
      <c r="H190" s="11" t="n"/>
      <c r="I190" s="12">
        <f>IF(F190="","",IFERROR(INDEX(DAFTAR_FIXTURE!$B$2:$B$51,MATCH(F190,DAFTAR_FIXTURE!$A$2:$A$51,0)),""))</f>
        <v/>
      </c>
      <c r="J190" s="12">
        <f>IF(A190="","","https://cdn.ruparupa.io/fit-in/850x850/ruparupa-com/image/upload/Products/"&amp;A190&amp;"_1.jpg")</f>
        <v/>
      </c>
      <c r="K190" s="12">
        <f>IF(OR(I190="",G190=""),"",IFERROR(INDEX(LAYOUT!$D$2:$D$34,MATCH(I190&amp;"|"&amp;G190,LAYOUT!$E$2:$E$34,0)),"zona tidak ada di layout"))</f>
        <v/>
      </c>
      <c r="L190" s="12">
        <f>IF(OR(F190="",A190=""),"",COUNTIFS($F$2:$F$500,F190,$G$2:$G$500,G190,$A$2:$A$500,"&lt;&gt;"))</f>
        <v/>
      </c>
      <c r="M190" s="12">
        <f>IF(AND(A190="",F190=""),"",IF(F190="","Belum ditempatkan",IF(I190="","CEK ID FIXTURE tidak ada di DAFTAR_FIXTURE",IF(G190="","CEK ZONA NO kosong",IF(K190="zona tidak ada di layout","CEK ZONA NO di luar layout",IF(H190&lt;&gt;K190,"CEK JENIS ZONA",IF(A190="","Zona kosong",IF(B190="","CEK SKU DESCRIPTION kosong","OK"))))))))</f>
        <v/>
      </c>
    </row>
    <row r="191">
      <c r="A191" s="10" t="n"/>
      <c r="B191" s="11" t="n"/>
      <c r="C191" s="11" t="n"/>
      <c r="D191" s="11" t="n"/>
      <c r="E191" s="11" t="n"/>
      <c r="F191" s="11" t="n"/>
      <c r="G191" s="11" t="n"/>
      <c r="H191" s="11" t="n"/>
      <c r="I191" s="12">
        <f>IF(F191="","",IFERROR(INDEX(DAFTAR_FIXTURE!$B$2:$B$51,MATCH(F191,DAFTAR_FIXTURE!$A$2:$A$51,0)),""))</f>
        <v/>
      </c>
      <c r="J191" s="12">
        <f>IF(A191="","","https://cdn.ruparupa.io/fit-in/850x850/ruparupa-com/image/upload/Products/"&amp;A191&amp;"_1.jpg")</f>
        <v/>
      </c>
      <c r="K191" s="12">
        <f>IF(OR(I191="",G191=""),"",IFERROR(INDEX(LAYOUT!$D$2:$D$34,MATCH(I191&amp;"|"&amp;G191,LAYOUT!$E$2:$E$34,0)),"zona tidak ada di layout"))</f>
        <v/>
      </c>
      <c r="L191" s="12">
        <f>IF(OR(F191="",A191=""),"",COUNTIFS($F$2:$F$500,F191,$G$2:$G$500,G191,$A$2:$A$500,"&lt;&gt;"))</f>
        <v/>
      </c>
      <c r="M191" s="12">
        <f>IF(AND(A191="",F191=""),"",IF(F191="","Belum ditempatkan",IF(I191="","CEK ID FIXTURE tidak ada di DAFTAR_FIXTURE",IF(G191="","CEK ZONA NO kosong",IF(K191="zona tidak ada di layout","CEK ZONA NO di luar layout",IF(H191&lt;&gt;K191,"CEK JENIS ZONA",IF(A191="","Zona kosong",IF(B191="","CEK SKU DESCRIPTION kosong","OK"))))))))</f>
        <v/>
      </c>
    </row>
    <row r="192">
      <c r="A192" s="10" t="n"/>
      <c r="B192" s="11" t="n"/>
      <c r="C192" s="11" t="n"/>
      <c r="D192" s="11" t="n"/>
      <c r="E192" s="11" t="n"/>
      <c r="F192" s="11" t="n"/>
      <c r="G192" s="11" t="n"/>
      <c r="H192" s="11" t="n"/>
      <c r="I192" s="12">
        <f>IF(F192="","",IFERROR(INDEX(DAFTAR_FIXTURE!$B$2:$B$51,MATCH(F192,DAFTAR_FIXTURE!$A$2:$A$51,0)),""))</f>
        <v/>
      </c>
      <c r="J192" s="12">
        <f>IF(A192="","","https://cdn.ruparupa.io/fit-in/850x850/ruparupa-com/image/upload/Products/"&amp;A192&amp;"_1.jpg")</f>
        <v/>
      </c>
      <c r="K192" s="12">
        <f>IF(OR(I192="",G192=""),"",IFERROR(INDEX(LAYOUT!$D$2:$D$34,MATCH(I192&amp;"|"&amp;G192,LAYOUT!$E$2:$E$34,0)),"zona tidak ada di layout"))</f>
        <v/>
      </c>
      <c r="L192" s="12">
        <f>IF(OR(F192="",A192=""),"",COUNTIFS($F$2:$F$500,F192,$G$2:$G$500,G192,$A$2:$A$500,"&lt;&gt;"))</f>
        <v/>
      </c>
      <c r="M192" s="12">
        <f>IF(AND(A192="",F192=""),"",IF(F192="","Belum ditempatkan",IF(I192="","CEK ID FIXTURE tidak ada di DAFTAR_FIXTURE",IF(G192="","CEK ZONA NO kosong",IF(K192="zona tidak ada di layout","CEK ZONA NO di luar layout",IF(H192&lt;&gt;K192,"CEK JENIS ZONA",IF(A192="","Zona kosong",IF(B192="","CEK SKU DESCRIPTION kosong","OK"))))))))</f>
        <v/>
      </c>
    </row>
    <row r="193">
      <c r="A193" s="10" t="n"/>
      <c r="B193" s="11" t="n"/>
      <c r="C193" s="11" t="n"/>
      <c r="D193" s="11" t="n"/>
      <c r="E193" s="11" t="n"/>
      <c r="F193" s="11" t="n"/>
      <c r="G193" s="11" t="n"/>
      <c r="H193" s="11" t="n"/>
      <c r="I193" s="12">
        <f>IF(F193="","",IFERROR(INDEX(DAFTAR_FIXTURE!$B$2:$B$51,MATCH(F193,DAFTAR_FIXTURE!$A$2:$A$51,0)),""))</f>
        <v/>
      </c>
      <c r="J193" s="12">
        <f>IF(A193="","","https://cdn.ruparupa.io/fit-in/850x850/ruparupa-com/image/upload/Products/"&amp;A193&amp;"_1.jpg")</f>
        <v/>
      </c>
      <c r="K193" s="12">
        <f>IF(OR(I193="",G193=""),"",IFERROR(INDEX(LAYOUT!$D$2:$D$34,MATCH(I193&amp;"|"&amp;G193,LAYOUT!$E$2:$E$34,0)),"zona tidak ada di layout"))</f>
        <v/>
      </c>
      <c r="L193" s="12">
        <f>IF(OR(F193="",A193=""),"",COUNTIFS($F$2:$F$500,F193,$G$2:$G$500,G193,$A$2:$A$500,"&lt;&gt;"))</f>
        <v/>
      </c>
      <c r="M193" s="12">
        <f>IF(AND(A193="",F193=""),"",IF(F193="","Belum ditempatkan",IF(I193="","CEK ID FIXTURE tidak ada di DAFTAR_FIXTURE",IF(G193="","CEK ZONA NO kosong",IF(K193="zona tidak ada di layout","CEK ZONA NO di luar layout",IF(H193&lt;&gt;K193,"CEK JENIS ZONA",IF(A193="","Zona kosong",IF(B193="","CEK SKU DESCRIPTION kosong","OK"))))))))</f>
        <v/>
      </c>
    </row>
    <row r="194">
      <c r="A194" s="10" t="n"/>
      <c r="B194" s="11" t="n"/>
      <c r="C194" s="11" t="n"/>
      <c r="D194" s="11" t="n"/>
      <c r="E194" s="11" t="n"/>
      <c r="F194" s="11" t="n"/>
      <c r="G194" s="11" t="n"/>
      <c r="H194" s="11" t="n"/>
      <c r="I194" s="12">
        <f>IF(F194="","",IFERROR(INDEX(DAFTAR_FIXTURE!$B$2:$B$51,MATCH(F194,DAFTAR_FIXTURE!$A$2:$A$51,0)),""))</f>
        <v/>
      </c>
      <c r="J194" s="12">
        <f>IF(A194="","","https://cdn.ruparupa.io/fit-in/850x850/ruparupa-com/image/upload/Products/"&amp;A194&amp;"_1.jpg")</f>
        <v/>
      </c>
      <c r="K194" s="12">
        <f>IF(OR(I194="",G194=""),"",IFERROR(INDEX(LAYOUT!$D$2:$D$34,MATCH(I194&amp;"|"&amp;G194,LAYOUT!$E$2:$E$34,0)),"zona tidak ada di layout"))</f>
        <v/>
      </c>
      <c r="L194" s="12">
        <f>IF(OR(F194="",A194=""),"",COUNTIFS($F$2:$F$500,F194,$G$2:$G$500,G194,$A$2:$A$500,"&lt;&gt;"))</f>
        <v/>
      </c>
      <c r="M194" s="12">
        <f>IF(AND(A194="",F194=""),"",IF(F194="","Belum ditempatkan",IF(I194="","CEK ID FIXTURE tidak ada di DAFTAR_FIXTURE",IF(G194="","CEK ZONA NO kosong",IF(K194="zona tidak ada di layout","CEK ZONA NO di luar layout",IF(H194&lt;&gt;K194,"CEK JENIS ZONA",IF(A194="","Zona kosong",IF(B194="","CEK SKU DESCRIPTION kosong","OK"))))))))</f>
        <v/>
      </c>
    </row>
    <row r="195">
      <c r="A195" s="10" t="n"/>
      <c r="B195" s="11" t="n"/>
      <c r="C195" s="11" t="n"/>
      <c r="D195" s="11" t="n"/>
      <c r="E195" s="11" t="n"/>
      <c r="F195" s="11" t="n"/>
      <c r="G195" s="11" t="n"/>
      <c r="H195" s="11" t="n"/>
      <c r="I195" s="12">
        <f>IF(F195="","",IFERROR(INDEX(DAFTAR_FIXTURE!$B$2:$B$51,MATCH(F195,DAFTAR_FIXTURE!$A$2:$A$51,0)),""))</f>
        <v/>
      </c>
      <c r="J195" s="12">
        <f>IF(A195="","","https://cdn.ruparupa.io/fit-in/850x850/ruparupa-com/image/upload/Products/"&amp;A195&amp;"_1.jpg")</f>
        <v/>
      </c>
      <c r="K195" s="12">
        <f>IF(OR(I195="",G195=""),"",IFERROR(INDEX(LAYOUT!$D$2:$D$34,MATCH(I195&amp;"|"&amp;G195,LAYOUT!$E$2:$E$34,0)),"zona tidak ada di layout"))</f>
        <v/>
      </c>
      <c r="L195" s="12">
        <f>IF(OR(F195="",A195=""),"",COUNTIFS($F$2:$F$500,F195,$G$2:$G$500,G195,$A$2:$A$500,"&lt;&gt;"))</f>
        <v/>
      </c>
      <c r="M195" s="12">
        <f>IF(AND(A195="",F195=""),"",IF(F195="","Belum ditempatkan",IF(I195="","CEK ID FIXTURE tidak ada di DAFTAR_FIXTURE",IF(G195="","CEK ZONA NO kosong",IF(K195="zona tidak ada di layout","CEK ZONA NO di luar layout",IF(H195&lt;&gt;K195,"CEK JENIS ZONA",IF(A195="","Zona kosong",IF(B195="","CEK SKU DESCRIPTION kosong","OK"))))))))</f>
        <v/>
      </c>
    </row>
    <row r="196">
      <c r="A196" s="10" t="n"/>
      <c r="B196" s="11" t="n"/>
      <c r="C196" s="11" t="n"/>
      <c r="D196" s="11" t="n"/>
      <c r="E196" s="11" t="n"/>
      <c r="F196" s="11" t="n"/>
      <c r="G196" s="11" t="n"/>
      <c r="H196" s="11" t="n"/>
      <c r="I196" s="12">
        <f>IF(F196="","",IFERROR(INDEX(DAFTAR_FIXTURE!$B$2:$B$51,MATCH(F196,DAFTAR_FIXTURE!$A$2:$A$51,0)),""))</f>
        <v/>
      </c>
      <c r="J196" s="12">
        <f>IF(A196="","","https://cdn.ruparupa.io/fit-in/850x850/ruparupa-com/image/upload/Products/"&amp;A196&amp;"_1.jpg")</f>
        <v/>
      </c>
      <c r="K196" s="12">
        <f>IF(OR(I196="",G196=""),"",IFERROR(INDEX(LAYOUT!$D$2:$D$34,MATCH(I196&amp;"|"&amp;G196,LAYOUT!$E$2:$E$34,0)),"zona tidak ada di layout"))</f>
        <v/>
      </c>
      <c r="L196" s="12">
        <f>IF(OR(F196="",A196=""),"",COUNTIFS($F$2:$F$500,F196,$G$2:$G$500,G196,$A$2:$A$500,"&lt;&gt;"))</f>
        <v/>
      </c>
      <c r="M196" s="12">
        <f>IF(AND(A196="",F196=""),"",IF(F196="","Belum ditempatkan",IF(I196="","CEK ID FIXTURE tidak ada di DAFTAR_FIXTURE",IF(G196="","CEK ZONA NO kosong",IF(K196="zona tidak ada di layout","CEK ZONA NO di luar layout",IF(H196&lt;&gt;K196,"CEK JENIS ZONA",IF(A196="","Zona kosong",IF(B196="","CEK SKU DESCRIPTION kosong","OK"))))))))</f>
        <v/>
      </c>
    </row>
    <row r="197">
      <c r="A197" s="10" t="n"/>
      <c r="B197" s="11" t="n"/>
      <c r="C197" s="11" t="n"/>
      <c r="D197" s="11" t="n"/>
      <c r="E197" s="11" t="n"/>
      <c r="F197" s="11" t="n"/>
      <c r="G197" s="11" t="n"/>
      <c r="H197" s="11" t="n"/>
      <c r="I197" s="12">
        <f>IF(F197="","",IFERROR(INDEX(DAFTAR_FIXTURE!$B$2:$B$51,MATCH(F197,DAFTAR_FIXTURE!$A$2:$A$51,0)),""))</f>
        <v/>
      </c>
      <c r="J197" s="12">
        <f>IF(A197="","","https://cdn.ruparupa.io/fit-in/850x850/ruparupa-com/image/upload/Products/"&amp;A197&amp;"_1.jpg")</f>
        <v/>
      </c>
      <c r="K197" s="12">
        <f>IF(OR(I197="",G197=""),"",IFERROR(INDEX(LAYOUT!$D$2:$D$34,MATCH(I197&amp;"|"&amp;G197,LAYOUT!$E$2:$E$34,0)),"zona tidak ada di layout"))</f>
        <v/>
      </c>
      <c r="L197" s="12">
        <f>IF(OR(F197="",A197=""),"",COUNTIFS($F$2:$F$500,F197,$G$2:$G$500,G197,$A$2:$A$500,"&lt;&gt;"))</f>
        <v/>
      </c>
      <c r="M197" s="12">
        <f>IF(AND(A197="",F197=""),"",IF(F197="","Belum ditempatkan",IF(I197="","CEK ID FIXTURE tidak ada di DAFTAR_FIXTURE",IF(G197="","CEK ZONA NO kosong",IF(K197="zona tidak ada di layout","CEK ZONA NO di luar layout",IF(H197&lt;&gt;K197,"CEK JENIS ZONA",IF(A197="","Zona kosong",IF(B197="","CEK SKU DESCRIPTION kosong","OK"))))))))</f>
        <v/>
      </c>
    </row>
    <row r="198">
      <c r="A198" s="10" t="n"/>
      <c r="B198" s="11" t="n"/>
      <c r="C198" s="11" t="n"/>
      <c r="D198" s="11" t="n"/>
      <c r="E198" s="11" t="n"/>
      <c r="F198" s="11" t="n"/>
      <c r="G198" s="11" t="n"/>
      <c r="H198" s="11" t="n"/>
      <c r="I198" s="12">
        <f>IF(F198="","",IFERROR(INDEX(DAFTAR_FIXTURE!$B$2:$B$51,MATCH(F198,DAFTAR_FIXTURE!$A$2:$A$51,0)),""))</f>
        <v/>
      </c>
      <c r="J198" s="12">
        <f>IF(A198="","","https://cdn.ruparupa.io/fit-in/850x850/ruparupa-com/image/upload/Products/"&amp;A198&amp;"_1.jpg")</f>
        <v/>
      </c>
      <c r="K198" s="12">
        <f>IF(OR(I198="",G198=""),"",IFERROR(INDEX(LAYOUT!$D$2:$D$34,MATCH(I198&amp;"|"&amp;G198,LAYOUT!$E$2:$E$34,0)),"zona tidak ada di layout"))</f>
        <v/>
      </c>
      <c r="L198" s="12">
        <f>IF(OR(F198="",A198=""),"",COUNTIFS($F$2:$F$500,F198,$G$2:$G$500,G198,$A$2:$A$500,"&lt;&gt;"))</f>
        <v/>
      </c>
      <c r="M198" s="12">
        <f>IF(AND(A198="",F198=""),"",IF(F198="","Belum ditempatkan",IF(I198="","CEK ID FIXTURE tidak ada di DAFTAR_FIXTURE",IF(G198="","CEK ZONA NO kosong",IF(K198="zona tidak ada di layout","CEK ZONA NO di luar layout",IF(H198&lt;&gt;K198,"CEK JENIS ZONA",IF(A198="","Zona kosong",IF(B198="","CEK SKU DESCRIPTION kosong","OK"))))))))</f>
        <v/>
      </c>
    </row>
    <row r="199">
      <c r="A199" s="10" t="n"/>
      <c r="B199" s="11" t="n"/>
      <c r="C199" s="11" t="n"/>
      <c r="D199" s="11" t="n"/>
      <c r="E199" s="11" t="n"/>
      <c r="F199" s="11" t="n"/>
      <c r="G199" s="11" t="n"/>
      <c r="H199" s="11" t="n"/>
      <c r="I199" s="12">
        <f>IF(F199="","",IFERROR(INDEX(DAFTAR_FIXTURE!$B$2:$B$51,MATCH(F199,DAFTAR_FIXTURE!$A$2:$A$51,0)),""))</f>
        <v/>
      </c>
      <c r="J199" s="12">
        <f>IF(A199="","","https://cdn.ruparupa.io/fit-in/850x850/ruparupa-com/image/upload/Products/"&amp;A199&amp;"_1.jpg")</f>
        <v/>
      </c>
      <c r="K199" s="12">
        <f>IF(OR(I199="",G199=""),"",IFERROR(INDEX(LAYOUT!$D$2:$D$34,MATCH(I199&amp;"|"&amp;G199,LAYOUT!$E$2:$E$34,0)),"zona tidak ada di layout"))</f>
        <v/>
      </c>
      <c r="L199" s="12">
        <f>IF(OR(F199="",A199=""),"",COUNTIFS($F$2:$F$500,F199,$G$2:$G$500,G199,$A$2:$A$500,"&lt;&gt;"))</f>
        <v/>
      </c>
      <c r="M199" s="12">
        <f>IF(AND(A199="",F199=""),"",IF(F199="","Belum ditempatkan",IF(I199="","CEK ID FIXTURE tidak ada di DAFTAR_FIXTURE",IF(G199="","CEK ZONA NO kosong",IF(K199="zona tidak ada di layout","CEK ZONA NO di luar layout",IF(H199&lt;&gt;K199,"CEK JENIS ZONA",IF(A199="","Zona kosong",IF(B199="","CEK SKU DESCRIPTION kosong","OK"))))))))</f>
        <v/>
      </c>
    </row>
    <row r="200">
      <c r="A200" s="10" t="n"/>
      <c r="B200" s="11" t="n"/>
      <c r="C200" s="11" t="n"/>
      <c r="D200" s="11" t="n"/>
      <c r="E200" s="11" t="n"/>
      <c r="F200" s="11" t="n"/>
      <c r="G200" s="11" t="n"/>
      <c r="H200" s="11" t="n"/>
      <c r="I200" s="12">
        <f>IF(F200="","",IFERROR(INDEX(DAFTAR_FIXTURE!$B$2:$B$51,MATCH(F200,DAFTAR_FIXTURE!$A$2:$A$51,0)),""))</f>
        <v/>
      </c>
      <c r="J200" s="12">
        <f>IF(A200="","","https://cdn.ruparupa.io/fit-in/850x850/ruparupa-com/image/upload/Products/"&amp;A200&amp;"_1.jpg")</f>
        <v/>
      </c>
      <c r="K200" s="12">
        <f>IF(OR(I200="",G200=""),"",IFERROR(INDEX(LAYOUT!$D$2:$D$34,MATCH(I200&amp;"|"&amp;G200,LAYOUT!$E$2:$E$34,0)),"zona tidak ada di layout"))</f>
        <v/>
      </c>
      <c r="L200" s="12">
        <f>IF(OR(F200="",A200=""),"",COUNTIFS($F$2:$F$500,F200,$G$2:$G$500,G200,$A$2:$A$500,"&lt;&gt;"))</f>
        <v/>
      </c>
      <c r="M200" s="12">
        <f>IF(AND(A200="",F200=""),"",IF(F200="","Belum ditempatkan",IF(I200="","CEK ID FIXTURE tidak ada di DAFTAR_FIXTURE",IF(G200="","CEK ZONA NO kosong",IF(K200="zona tidak ada di layout","CEK ZONA NO di luar layout",IF(H200&lt;&gt;K200,"CEK JENIS ZONA",IF(A200="","Zona kosong",IF(B200="","CEK SKU DESCRIPTION kosong","OK"))))))))</f>
        <v/>
      </c>
    </row>
    <row r="201">
      <c r="A201" s="10" t="n"/>
      <c r="B201" s="11" t="n"/>
      <c r="C201" s="11" t="n"/>
      <c r="D201" s="11" t="n"/>
      <c r="E201" s="11" t="n"/>
      <c r="F201" s="11" t="n"/>
      <c r="G201" s="11" t="n"/>
      <c r="H201" s="11" t="n"/>
      <c r="I201" s="12">
        <f>IF(F201="","",IFERROR(INDEX(DAFTAR_FIXTURE!$B$2:$B$51,MATCH(F201,DAFTAR_FIXTURE!$A$2:$A$51,0)),""))</f>
        <v/>
      </c>
      <c r="J201" s="12">
        <f>IF(A201="","","https://cdn.ruparupa.io/fit-in/850x850/ruparupa-com/image/upload/Products/"&amp;A201&amp;"_1.jpg")</f>
        <v/>
      </c>
      <c r="K201" s="12">
        <f>IF(OR(I201="",G201=""),"",IFERROR(INDEX(LAYOUT!$D$2:$D$34,MATCH(I201&amp;"|"&amp;G201,LAYOUT!$E$2:$E$34,0)),"zona tidak ada di layout"))</f>
        <v/>
      </c>
      <c r="L201" s="12">
        <f>IF(OR(F201="",A201=""),"",COUNTIFS($F$2:$F$500,F201,$G$2:$G$500,G201,$A$2:$A$500,"&lt;&gt;"))</f>
        <v/>
      </c>
      <c r="M201" s="12">
        <f>IF(AND(A201="",F201=""),"",IF(F201="","Belum ditempatkan",IF(I201="","CEK ID FIXTURE tidak ada di DAFTAR_FIXTURE",IF(G201="","CEK ZONA NO kosong",IF(K201="zona tidak ada di layout","CEK ZONA NO di luar layout",IF(H201&lt;&gt;K201,"CEK JENIS ZONA",IF(A201="","Zona kosong",IF(B201="","CEK SKU DESCRIPTION kosong","OK"))))))))</f>
        <v/>
      </c>
    </row>
    <row r="202">
      <c r="A202" s="10" t="n"/>
      <c r="B202" s="11" t="n"/>
      <c r="C202" s="11" t="n"/>
      <c r="D202" s="11" t="n"/>
      <c r="E202" s="11" t="n"/>
      <c r="F202" s="11" t="n"/>
      <c r="G202" s="11" t="n"/>
      <c r="H202" s="11" t="n"/>
      <c r="I202" s="12">
        <f>IF(F202="","",IFERROR(INDEX(DAFTAR_FIXTURE!$B$2:$B$51,MATCH(F202,DAFTAR_FIXTURE!$A$2:$A$51,0)),""))</f>
        <v/>
      </c>
      <c r="J202" s="12">
        <f>IF(A202="","","https://cdn.ruparupa.io/fit-in/850x850/ruparupa-com/image/upload/Products/"&amp;A202&amp;"_1.jpg")</f>
        <v/>
      </c>
      <c r="K202" s="12">
        <f>IF(OR(I202="",G202=""),"",IFERROR(INDEX(LAYOUT!$D$2:$D$34,MATCH(I202&amp;"|"&amp;G202,LAYOUT!$E$2:$E$34,0)),"zona tidak ada di layout"))</f>
        <v/>
      </c>
      <c r="L202" s="12">
        <f>IF(OR(F202="",A202=""),"",COUNTIFS($F$2:$F$500,F202,$G$2:$G$500,G202,$A$2:$A$500,"&lt;&gt;"))</f>
        <v/>
      </c>
      <c r="M202" s="12">
        <f>IF(AND(A202="",F202=""),"",IF(F202="","Belum ditempatkan",IF(I202="","CEK ID FIXTURE tidak ada di DAFTAR_FIXTURE",IF(G202="","CEK ZONA NO kosong",IF(K202="zona tidak ada di layout","CEK ZONA NO di luar layout",IF(H202&lt;&gt;K202,"CEK JENIS ZONA",IF(A202="","Zona kosong",IF(B202="","CEK SKU DESCRIPTION kosong","OK"))))))))</f>
        <v/>
      </c>
    </row>
    <row r="203">
      <c r="A203" s="10" t="n"/>
      <c r="B203" s="11" t="n"/>
      <c r="C203" s="11" t="n"/>
      <c r="D203" s="11" t="n"/>
      <c r="E203" s="11" t="n"/>
      <c r="F203" s="11" t="n"/>
      <c r="G203" s="11" t="n"/>
      <c r="H203" s="11" t="n"/>
      <c r="I203" s="12">
        <f>IF(F203="","",IFERROR(INDEX(DAFTAR_FIXTURE!$B$2:$B$51,MATCH(F203,DAFTAR_FIXTURE!$A$2:$A$51,0)),""))</f>
        <v/>
      </c>
      <c r="J203" s="12">
        <f>IF(A203="","","https://cdn.ruparupa.io/fit-in/850x850/ruparupa-com/image/upload/Products/"&amp;A203&amp;"_1.jpg")</f>
        <v/>
      </c>
      <c r="K203" s="12">
        <f>IF(OR(I203="",G203=""),"",IFERROR(INDEX(LAYOUT!$D$2:$D$34,MATCH(I203&amp;"|"&amp;G203,LAYOUT!$E$2:$E$34,0)),"zona tidak ada di layout"))</f>
        <v/>
      </c>
      <c r="L203" s="12">
        <f>IF(OR(F203="",A203=""),"",COUNTIFS($F$2:$F$500,F203,$G$2:$G$500,G203,$A$2:$A$500,"&lt;&gt;"))</f>
        <v/>
      </c>
      <c r="M203" s="12">
        <f>IF(AND(A203="",F203=""),"",IF(F203="","Belum ditempatkan",IF(I203="","CEK ID FIXTURE tidak ada di DAFTAR_FIXTURE",IF(G203="","CEK ZONA NO kosong",IF(K203="zona tidak ada di layout","CEK ZONA NO di luar layout",IF(H203&lt;&gt;K203,"CEK JENIS ZONA",IF(A203="","Zona kosong",IF(B203="","CEK SKU DESCRIPTION kosong","OK"))))))))</f>
        <v/>
      </c>
    </row>
    <row r="204">
      <c r="A204" s="10" t="n"/>
      <c r="B204" s="11" t="n"/>
      <c r="C204" s="11" t="n"/>
      <c r="D204" s="11" t="n"/>
      <c r="E204" s="11" t="n"/>
      <c r="F204" s="11" t="n"/>
      <c r="G204" s="11" t="n"/>
      <c r="H204" s="11" t="n"/>
      <c r="I204" s="12">
        <f>IF(F204="","",IFERROR(INDEX(DAFTAR_FIXTURE!$B$2:$B$51,MATCH(F204,DAFTAR_FIXTURE!$A$2:$A$51,0)),""))</f>
        <v/>
      </c>
      <c r="J204" s="12">
        <f>IF(A204="","","https://cdn.ruparupa.io/fit-in/850x850/ruparupa-com/image/upload/Products/"&amp;A204&amp;"_1.jpg")</f>
        <v/>
      </c>
      <c r="K204" s="12">
        <f>IF(OR(I204="",G204=""),"",IFERROR(INDEX(LAYOUT!$D$2:$D$34,MATCH(I204&amp;"|"&amp;G204,LAYOUT!$E$2:$E$34,0)),"zona tidak ada di layout"))</f>
        <v/>
      </c>
      <c r="L204" s="12">
        <f>IF(OR(F204="",A204=""),"",COUNTIFS($F$2:$F$500,F204,$G$2:$G$500,G204,$A$2:$A$500,"&lt;&gt;"))</f>
        <v/>
      </c>
      <c r="M204" s="12">
        <f>IF(AND(A204="",F204=""),"",IF(F204="","Belum ditempatkan",IF(I204="","CEK ID FIXTURE tidak ada di DAFTAR_FIXTURE",IF(G204="","CEK ZONA NO kosong",IF(K204="zona tidak ada di layout","CEK ZONA NO di luar layout",IF(H204&lt;&gt;K204,"CEK JENIS ZONA",IF(A204="","Zona kosong",IF(B204="","CEK SKU DESCRIPTION kosong","OK"))))))))</f>
        <v/>
      </c>
    </row>
    <row r="205">
      <c r="A205" s="10" t="n"/>
      <c r="B205" s="11" t="n"/>
      <c r="C205" s="11" t="n"/>
      <c r="D205" s="11" t="n"/>
      <c r="E205" s="11" t="n"/>
      <c r="F205" s="11" t="n"/>
      <c r="G205" s="11" t="n"/>
      <c r="H205" s="11" t="n"/>
      <c r="I205" s="12">
        <f>IF(F205="","",IFERROR(INDEX(DAFTAR_FIXTURE!$B$2:$B$51,MATCH(F205,DAFTAR_FIXTURE!$A$2:$A$51,0)),""))</f>
        <v/>
      </c>
      <c r="J205" s="12">
        <f>IF(A205="","","https://cdn.ruparupa.io/fit-in/850x850/ruparupa-com/image/upload/Products/"&amp;A205&amp;"_1.jpg")</f>
        <v/>
      </c>
      <c r="K205" s="12">
        <f>IF(OR(I205="",G205=""),"",IFERROR(INDEX(LAYOUT!$D$2:$D$34,MATCH(I205&amp;"|"&amp;G205,LAYOUT!$E$2:$E$34,0)),"zona tidak ada di layout"))</f>
        <v/>
      </c>
      <c r="L205" s="12">
        <f>IF(OR(F205="",A205=""),"",COUNTIFS($F$2:$F$500,F205,$G$2:$G$500,G205,$A$2:$A$500,"&lt;&gt;"))</f>
        <v/>
      </c>
      <c r="M205" s="12">
        <f>IF(AND(A205="",F205=""),"",IF(F205="","Belum ditempatkan",IF(I205="","CEK ID FIXTURE tidak ada di DAFTAR_FIXTURE",IF(G205="","CEK ZONA NO kosong",IF(K205="zona tidak ada di layout","CEK ZONA NO di luar layout",IF(H205&lt;&gt;K205,"CEK JENIS ZONA",IF(A205="","Zona kosong",IF(B205="","CEK SKU DESCRIPTION kosong","OK"))))))))</f>
        <v/>
      </c>
    </row>
    <row r="206">
      <c r="A206" s="10" t="n"/>
      <c r="B206" s="11" t="n"/>
      <c r="C206" s="11" t="n"/>
      <c r="D206" s="11" t="n"/>
      <c r="E206" s="11" t="n"/>
      <c r="F206" s="11" t="n"/>
      <c r="G206" s="11" t="n"/>
      <c r="H206" s="11" t="n"/>
      <c r="I206" s="12">
        <f>IF(F206="","",IFERROR(INDEX(DAFTAR_FIXTURE!$B$2:$B$51,MATCH(F206,DAFTAR_FIXTURE!$A$2:$A$51,0)),""))</f>
        <v/>
      </c>
      <c r="J206" s="12">
        <f>IF(A206="","","https://cdn.ruparupa.io/fit-in/850x850/ruparupa-com/image/upload/Products/"&amp;A206&amp;"_1.jpg")</f>
        <v/>
      </c>
      <c r="K206" s="12">
        <f>IF(OR(I206="",G206=""),"",IFERROR(INDEX(LAYOUT!$D$2:$D$34,MATCH(I206&amp;"|"&amp;G206,LAYOUT!$E$2:$E$34,0)),"zona tidak ada di layout"))</f>
        <v/>
      </c>
      <c r="L206" s="12">
        <f>IF(OR(F206="",A206=""),"",COUNTIFS($F$2:$F$500,F206,$G$2:$G$500,G206,$A$2:$A$500,"&lt;&gt;"))</f>
        <v/>
      </c>
      <c r="M206" s="12">
        <f>IF(AND(A206="",F206=""),"",IF(F206="","Belum ditempatkan",IF(I206="","CEK ID FIXTURE tidak ada di DAFTAR_FIXTURE",IF(G206="","CEK ZONA NO kosong",IF(K206="zona tidak ada di layout","CEK ZONA NO di luar layout",IF(H206&lt;&gt;K206,"CEK JENIS ZONA",IF(A206="","Zona kosong",IF(B206="","CEK SKU DESCRIPTION kosong","OK"))))))))</f>
        <v/>
      </c>
    </row>
    <row r="207">
      <c r="A207" s="10" t="n"/>
      <c r="B207" s="11" t="n"/>
      <c r="C207" s="11" t="n"/>
      <c r="D207" s="11" t="n"/>
      <c r="E207" s="11" t="n"/>
      <c r="F207" s="11" t="n"/>
      <c r="G207" s="11" t="n"/>
      <c r="H207" s="11" t="n"/>
      <c r="I207" s="12">
        <f>IF(F207="","",IFERROR(INDEX(DAFTAR_FIXTURE!$B$2:$B$51,MATCH(F207,DAFTAR_FIXTURE!$A$2:$A$51,0)),""))</f>
        <v/>
      </c>
      <c r="J207" s="12">
        <f>IF(A207="","","https://cdn.ruparupa.io/fit-in/850x850/ruparupa-com/image/upload/Products/"&amp;A207&amp;"_1.jpg")</f>
        <v/>
      </c>
      <c r="K207" s="12">
        <f>IF(OR(I207="",G207=""),"",IFERROR(INDEX(LAYOUT!$D$2:$D$34,MATCH(I207&amp;"|"&amp;G207,LAYOUT!$E$2:$E$34,0)),"zona tidak ada di layout"))</f>
        <v/>
      </c>
      <c r="L207" s="12">
        <f>IF(OR(F207="",A207=""),"",COUNTIFS($F$2:$F$500,F207,$G$2:$G$500,G207,$A$2:$A$500,"&lt;&gt;"))</f>
        <v/>
      </c>
      <c r="M207" s="12">
        <f>IF(AND(A207="",F207=""),"",IF(F207="","Belum ditempatkan",IF(I207="","CEK ID FIXTURE tidak ada di DAFTAR_FIXTURE",IF(G207="","CEK ZONA NO kosong",IF(K207="zona tidak ada di layout","CEK ZONA NO di luar layout",IF(H207&lt;&gt;K207,"CEK JENIS ZONA",IF(A207="","Zona kosong",IF(B207="","CEK SKU DESCRIPTION kosong","OK"))))))))</f>
        <v/>
      </c>
    </row>
    <row r="208">
      <c r="A208" s="10" t="n"/>
      <c r="B208" s="11" t="n"/>
      <c r="C208" s="11" t="n"/>
      <c r="D208" s="11" t="n"/>
      <c r="E208" s="11" t="n"/>
      <c r="F208" s="11" t="n"/>
      <c r="G208" s="11" t="n"/>
      <c r="H208" s="11" t="n"/>
      <c r="I208" s="12">
        <f>IF(F208="","",IFERROR(INDEX(DAFTAR_FIXTURE!$B$2:$B$51,MATCH(F208,DAFTAR_FIXTURE!$A$2:$A$51,0)),""))</f>
        <v/>
      </c>
      <c r="J208" s="12">
        <f>IF(A208="","","https://cdn.ruparupa.io/fit-in/850x850/ruparupa-com/image/upload/Products/"&amp;A208&amp;"_1.jpg")</f>
        <v/>
      </c>
      <c r="K208" s="12">
        <f>IF(OR(I208="",G208=""),"",IFERROR(INDEX(LAYOUT!$D$2:$D$34,MATCH(I208&amp;"|"&amp;G208,LAYOUT!$E$2:$E$34,0)),"zona tidak ada di layout"))</f>
        <v/>
      </c>
      <c r="L208" s="12">
        <f>IF(OR(F208="",A208=""),"",COUNTIFS($F$2:$F$500,F208,$G$2:$G$500,G208,$A$2:$A$500,"&lt;&gt;"))</f>
        <v/>
      </c>
      <c r="M208" s="12">
        <f>IF(AND(A208="",F208=""),"",IF(F208="","Belum ditempatkan",IF(I208="","CEK ID FIXTURE tidak ada di DAFTAR_FIXTURE",IF(G208="","CEK ZONA NO kosong",IF(K208="zona tidak ada di layout","CEK ZONA NO di luar layout",IF(H208&lt;&gt;K208,"CEK JENIS ZONA",IF(A208="","Zona kosong",IF(B208="","CEK SKU DESCRIPTION kosong","OK"))))))))</f>
        <v/>
      </c>
    </row>
    <row r="209">
      <c r="A209" s="10" t="n"/>
      <c r="B209" s="11" t="n"/>
      <c r="C209" s="11" t="n"/>
      <c r="D209" s="11" t="n"/>
      <c r="E209" s="11" t="n"/>
      <c r="F209" s="11" t="n"/>
      <c r="G209" s="11" t="n"/>
      <c r="H209" s="11" t="n"/>
      <c r="I209" s="12">
        <f>IF(F209="","",IFERROR(INDEX(DAFTAR_FIXTURE!$B$2:$B$51,MATCH(F209,DAFTAR_FIXTURE!$A$2:$A$51,0)),""))</f>
        <v/>
      </c>
      <c r="J209" s="12">
        <f>IF(A209="","","https://cdn.ruparupa.io/fit-in/850x850/ruparupa-com/image/upload/Products/"&amp;A209&amp;"_1.jpg")</f>
        <v/>
      </c>
      <c r="K209" s="12">
        <f>IF(OR(I209="",G209=""),"",IFERROR(INDEX(LAYOUT!$D$2:$D$34,MATCH(I209&amp;"|"&amp;G209,LAYOUT!$E$2:$E$34,0)),"zona tidak ada di layout"))</f>
        <v/>
      </c>
      <c r="L209" s="12">
        <f>IF(OR(F209="",A209=""),"",COUNTIFS($F$2:$F$500,F209,$G$2:$G$500,G209,$A$2:$A$500,"&lt;&gt;"))</f>
        <v/>
      </c>
      <c r="M209" s="12">
        <f>IF(AND(A209="",F209=""),"",IF(F209="","Belum ditempatkan",IF(I209="","CEK ID FIXTURE tidak ada di DAFTAR_FIXTURE",IF(G209="","CEK ZONA NO kosong",IF(K209="zona tidak ada di layout","CEK ZONA NO di luar layout",IF(H209&lt;&gt;K209,"CEK JENIS ZONA",IF(A209="","Zona kosong",IF(B209="","CEK SKU DESCRIPTION kosong","OK"))))))))</f>
        <v/>
      </c>
    </row>
    <row r="210">
      <c r="A210" s="10" t="n"/>
      <c r="B210" s="11" t="n"/>
      <c r="C210" s="11" t="n"/>
      <c r="D210" s="11" t="n"/>
      <c r="E210" s="11" t="n"/>
      <c r="F210" s="11" t="n"/>
      <c r="G210" s="11" t="n"/>
      <c r="H210" s="11" t="n"/>
      <c r="I210" s="12">
        <f>IF(F210="","",IFERROR(INDEX(DAFTAR_FIXTURE!$B$2:$B$51,MATCH(F210,DAFTAR_FIXTURE!$A$2:$A$51,0)),""))</f>
        <v/>
      </c>
      <c r="J210" s="12">
        <f>IF(A210="","","https://cdn.ruparupa.io/fit-in/850x850/ruparupa-com/image/upload/Products/"&amp;A210&amp;"_1.jpg")</f>
        <v/>
      </c>
      <c r="K210" s="12">
        <f>IF(OR(I210="",G210=""),"",IFERROR(INDEX(LAYOUT!$D$2:$D$34,MATCH(I210&amp;"|"&amp;G210,LAYOUT!$E$2:$E$34,0)),"zona tidak ada di layout"))</f>
        <v/>
      </c>
      <c r="L210" s="12">
        <f>IF(OR(F210="",A210=""),"",COUNTIFS($F$2:$F$500,F210,$G$2:$G$500,G210,$A$2:$A$500,"&lt;&gt;"))</f>
        <v/>
      </c>
      <c r="M210" s="12">
        <f>IF(AND(A210="",F210=""),"",IF(F210="","Belum ditempatkan",IF(I210="","CEK ID FIXTURE tidak ada di DAFTAR_FIXTURE",IF(G210="","CEK ZONA NO kosong",IF(K210="zona tidak ada di layout","CEK ZONA NO di luar layout",IF(H210&lt;&gt;K210,"CEK JENIS ZONA",IF(A210="","Zona kosong",IF(B210="","CEK SKU DESCRIPTION kosong","OK"))))))))</f>
        <v/>
      </c>
    </row>
    <row r="211">
      <c r="A211" s="10" t="n"/>
      <c r="B211" s="11" t="n"/>
      <c r="C211" s="11" t="n"/>
      <c r="D211" s="11" t="n"/>
      <c r="E211" s="11" t="n"/>
      <c r="F211" s="11" t="n"/>
      <c r="G211" s="11" t="n"/>
      <c r="H211" s="11" t="n"/>
      <c r="I211" s="12">
        <f>IF(F211="","",IFERROR(INDEX(DAFTAR_FIXTURE!$B$2:$B$51,MATCH(F211,DAFTAR_FIXTURE!$A$2:$A$51,0)),""))</f>
        <v/>
      </c>
      <c r="J211" s="12">
        <f>IF(A211="","","https://cdn.ruparupa.io/fit-in/850x850/ruparupa-com/image/upload/Products/"&amp;A211&amp;"_1.jpg")</f>
        <v/>
      </c>
      <c r="K211" s="12">
        <f>IF(OR(I211="",G211=""),"",IFERROR(INDEX(LAYOUT!$D$2:$D$34,MATCH(I211&amp;"|"&amp;G211,LAYOUT!$E$2:$E$34,0)),"zona tidak ada di layout"))</f>
        <v/>
      </c>
      <c r="L211" s="12">
        <f>IF(OR(F211="",A211=""),"",COUNTIFS($F$2:$F$500,F211,$G$2:$G$500,G211,$A$2:$A$500,"&lt;&gt;"))</f>
        <v/>
      </c>
      <c r="M211" s="12">
        <f>IF(AND(A211="",F211=""),"",IF(F211="","Belum ditempatkan",IF(I211="","CEK ID FIXTURE tidak ada di DAFTAR_FIXTURE",IF(G211="","CEK ZONA NO kosong",IF(K211="zona tidak ada di layout","CEK ZONA NO di luar layout",IF(H211&lt;&gt;K211,"CEK JENIS ZONA",IF(A211="","Zona kosong",IF(B211="","CEK SKU DESCRIPTION kosong","OK"))))))))</f>
        <v/>
      </c>
    </row>
    <row r="212">
      <c r="A212" s="10" t="n"/>
      <c r="B212" s="11" t="n"/>
      <c r="C212" s="11" t="n"/>
      <c r="D212" s="11" t="n"/>
      <c r="E212" s="11" t="n"/>
      <c r="F212" s="11" t="n"/>
      <c r="G212" s="11" t="n"/>
      <c r="H212" s="11" t="n"/>
      <c r="I212" s="12">
        <f>IF(F212="","",IFERROR(INDEX(DAFTAR_FIXTURE!$B$2:$B$51,MATCH(F212,DAFTAR_FIXTURE!$A$2:$A$51,0)),""))</f>
        <v/>
      </c>
      <c r="J212" s="12">
        <f>IF(A212="","","https://cdn.ruparupa.io/fit-in/850x850/ruparupa-com/image/upload/Products/"&amp;A212&amp;"_1.jpg")</f>
        <v/>
      </c>
      <c r="K212" s="12">
        <f>IF(OR(I212="",G212=""),"",IFERROR(INDEX(LAYOUT!$D$2:$D$34,MATCH(I212&amp;"|"&amp;G212,LAYOUT!$E$2:$E$34,0)),"zona tidak ada di layout"))</f>
        <v/>
      </c>
      <c r="L212" s="12">
        <f>IF(OR(F212="",A212=""),"",COUNTIFS($F$2:$F$500,F212,$G$2:$G$500,G212,$A$2:$A$500,"&lt;&gt;"))</f>
        <v/>
      </c>
      <c r="M212" s="12">
        <f>IF(AND(A212="",F212=""),"",IF(F212="","Belum ditempatkan",IF(I212="","CEK ID FIXTURE tidak ada di DAFTAR_FIXTURE",IF(G212="","CEK ZONA NO kosong",IF(K212="zona tidak ada di layout","CEK ZONA NO di luar layout",IF(H212&lt;&gt;K212,"CEK JENIS ZONA",IF(A212="","Zona kosong",IF(B212="","CEK SKU DESCRIPTION kosong","OK"))))))))</f>
        <v/>
      </c>
    </row>
    <row r="213">
      <c r="A213" s="10" t="n"/>
      <c r="B213" s="11" t="n"/>
      <c r="C213" s="11" t="n"/>
      <c r="D213" s="11" t="n"/>
      <c r="E213" s="11" t="n"/>
      <c r="F213" s="11" t="n"/>
      <c r="G213" s="11" t="n"/>
      <c r="H213" s="11" t="n"/>
      <c r="I213" s="12">
        <f>IF(F213="","",IFERROR(INDEX(DAFTAR_FIXTURE!$B$2:$B$51,MATCH(F213,DAFTAR_FIXTURE!$A$2:$A$51,0)),""))</f>
        <v/>
      </c>
      <c r="J213" s="12">
        <f>IF(A213="","","https://cdn.ruparupa.io/fit-in/850x850/ruparupa-com/image/upload/Products/"&amp;A213&amp;"_1.jpg")</f>
        <v/>
      </c>
      <c r="K213" s="12">
        <f>IF(OR(I213="",G213=""),"",IFERROR(INDEX(LAYOUT!$D$2:$D$34,MATCH(I213&amp;"|"&amp;G213,LAYOUT!$E$2:$E$34,0)),"zona tidak ada di layout"))</f>
        <v/>
      </c>
      <c r="L213" s="12">
        <f>IF(OR(F213="",A213=""),"",COUNTIFS($F$2:$F$500,F213,$G$2:$G$500,G213,$A$2:$A$500,"&lt;&gt;"))</f>
        <v/>
      </c>
      <c r="M213" s="12">
        <f>IF(AND(A213="",F213=""),"",IF(F213="","Belum ditempatkan",IF(I213="","CEK ID FIXTURE tidak ada di DAFTAR_FIXTURE",IF(G213="","CEK ZONA NO kosong",IF(K213="zona tidak ada di layout","CEK ZONA NO di luar layout",IF(H213&lt;&gt;K213,"CEK JENIS ZONA",IF(A213="","Zona kosong",IF(B213="","CEK SKU DESCRIPTION kosong","OK"))))))))</f>
        <v/>
      </c>
    </row>
    <row r="214">
      <c r="A214" s="10" t="n"/>
      <c r="B214" s="11" t="n"/>
      <c r="C214" s="11" t="n"/>
      <c r="D214" s="11" t="n"/>
      <c r="E214" s="11" t="n"/>
      <c r="F214" s="11" t="n"/>
      <c r="G214" s="11" t="n"/>
      <c r="H214" s="11" t="n"/>
      <c r="I214" s="12">
        <f>IF(F214="","",IFERROR(INDEX(DAFTAR_FIXTURE!$B$2:$B$51,MATCH(F214,DAFTAR_FIXTURE!$A$2:$A$51,0)),""))</f>
        <v/>
      </c>
      <c r="J214" s="12">
        <f>IF(A214="","","https://cdn.ruparupa.io/fit-in/850x850/ruparupa-com/image/upload/Products/"&amp;A214&amp;"_1.jpg")</f>
        <v/>
      </c>
      <c r="K214" s="12">
        <f>IF(OR(I214="",G214=""),"",IFERROR(INDEX(LAYOUT!$D$2:$D$34,MATCH(I214&amp;"|"&amp;G214,LAYOUT!$E$2:$E$34,0)),"zona tidak ada di layout"))</f>
        <v/>
      </c>
      <c r="L214" s="12">
        <f>IF(OR(F214="",A214=""),"",COUNTIFS($F$2:$F$500,F214,$G$2:$G$500,G214,$A$2:$A$500,"&lt;&gt;"))</f>
        <v/>
      </c>
      <c r="M214" s="12">
        <f>IF(AND(A214="",F214=""),"",IF(F214="","Belum ditempatkan",IF(I214="","CEK ID FIXTURE tidak ada di DAFTAR_FIXTURE",IF(G214="","CEK ZONA NO kosong",IF(K214="zona tidak ada di layout","CEK ZONA NO di luar layout",IF(H214&lt;&gt;K214,"CEK JENIS ZONA",IF(A214="","Zona kosong",IF(B214="","CEK SKU DESCRIPTION kosong","OK"))))))))</f>
        <v/>
      </c>
    </row>
    <row r="215">
      <c r="A215" s="10" t="n"/>
      <c r="B215" s="11" t="n"/>
      <c r="C215" s="11" t="n"/>
      <c r="D215" s="11" t="n"/>
      <c r="E215" s="11" t="n"/>
      <c r="F215" s="11" t="n"/>
      <c r="G215" s="11" t="n"/>
      <c r="H215" s="11" t="n"/>
      <c r="I215" s="12">
        <f>IF(F215="","",IFERROR(INDEX(DAFTAR_FIXTURE!$B$2:$B$51,MATCH(F215,DAFTAR_FIXTURE!$A$2:$A$51,0)),""))</f>
        <v/>
      </c>
      <c r="J215" s="12">
        <f>IF(A215="","","https://cdn.ruparupa.io/fit-in/850x850/ruparupa-com/image/upload/Products/"&amp;A215&amp;"_1.jpg")</f>
        <v/>
      </c>
      <c r="K215" s="12">
        <f>IF(OR(I215="",G215=""),"",IFERROR(INDEX(LAYOUT!$D$2:$D$34,MATCH(I215&amp;"|"&amp;G215,LAYOUT!$E$2:$E$34,0)),"zona tidak ada di layout"))</f>
        <v/>
      </c>
      <c r="L215" s="12">
        <f>IF(OR(F215="",A215=""),"",COUNTIFS($F$2:$F$500,F215,$G$2:$G$500,G215,$A$2:$A$500,"&lt;&gt;"))</f>
        <v/>
      </c>
      <c r="M215" s="12">
        <f>IF(AND(A215="",F215=""),"",IF(F215="","Belum ditempatkan",IF(I215="","CEK ID FIXTURE tidak ada di DAFTAR_FIXTURE",IF(G215="","CEK ZONA NO kosong",IF(K215="zona tidak ada di layout","CEK ZONA NO di luar layout",IF(H215&lt;&gt;K215,"CEK JENIS ZONA",IF(A215="","Zona kosong",IF(B215="","CEK SKU DESCRIPTION kosong","OK"))))))))</f>
        <v/>
      </c>
    </row>
    <row r="216">
      <c r="A216" s="10" t="n"/>
      <c r="B216" s="11" t="n"/>
      <c r="C216" s="11" t="n"/>
      <c r="D216" s="11" t="n"/>
      <c r="E216" s="11" t="n"/>
      <c r="F216" s="11" t="n"/>
      <c r="G216" s="11" t="n"/>
      <c r="H216" s="11" t="n"/>
      <c r="I216" s="12">
        <f>IF(F216="","",IFERROR(INDEX(DAFTAR_FIXTURE!$B$2:$B$51,MATCH(F216,DAFTAR_FIXTURE!$A$2:$A$51,0)),""))</f>
        <v/>
      </c>
      <c r="J216" s="12">
        <f>IF(A216="","","https://cdn.ruparupa.io/fit-in/850x850/ruparupa-com/image/upload/Products/"&amp;A216&amp;"_1.jpg")</f>
        <v/>
      </c>
      <c r="K216" s="12">
        <f>IF(OR(I216="",G216=""),"",IFERROR(INDEX(LAYOUT!$D$2:$D$34,MATCH(I216&amp;"|"&amp;G216,LAYOUT!$E$2:$E$34,0)),"zona tidak ada di layout"))</f>
        <v/>
      </c>
      <c r="L216" s="12">
        <f>IF(OR(F216="",A216=""),"",COUNTIFS($F$2:$F$500,F216,$G$2:$G$500,G216,$A$2:$A$500,"&lt;&gt;"))</f>
        <v/>
      </c>
      <c r="M216" s="12">
        <f>IF(AND(A216="",F216=""),"",IF(F216="","Belum ditempatkan",IF(I216="","CEK ID FIXTURE tidak ada di DAFTAR_FIXTURE",IF(G216="","CEK ZONA NO kosong",IF(K216="zona tidak ada di layout","CEK ZONA NO di luar layout",IF(H216&lt;&gt;K216,"CEK JENIS ZONA",IF(A216="","Zona kosong",IF(B216="","CEK SKU DESCRIPTION kosong","OK"))))))))</f>
        <v/>
      </c>
    </row>
    <row r="217">
      <c r="A217" s="10" t="n"/>
      <c r="B217" s="11" t="n"/>
      <c r="C217" s="11" t="n"/>
      <c r="D217" s="11" t="n"/>
      <c r="E217" s="11" t="n"/>
      <c r="F217" s="11" t="n"/>
      <c r="G217" s="11" t="n"/>
      <c r="H217" s="11" t="n"/>
      <c r="I217" s="12">
        <f>IF(F217="","",IFERROR(INDEX(DAFTAR_FIXTURE!$B$2:$B$51,MATCH(F217,DAFTAR_FIXTURE!$A$2:$A$51,0)),""))</f>
        <v/>
      </c>
      <c r="J217" s="12">
        <f>IF(A217="","","https://cdn.ruparupa.io/fit-in/850x850/ruparupa-com/image/upload/Products/"&amp;A217&amp;"_1.jpg")</f>
        <v/>
      </c>
      <c r="K217" s="12">
        <f>IF(OR(I217="",G217=""),"",IFERROR(INDEX(LAYOUT!$D$2:$D$34,MATCH(I217&amp;"|"&amp;G217,LAYOUT!$E$2:$E$34,0)),"zona tidak ada di layout"))</f>
        <v/>
      </c>
      <c r="L217" s="12">
        <f>IF(OR(F217="",A217=""),"",COUNTIFS($F$2:$F$500,F217,$G$2:$G$500,G217,$A$2:$A$500,"&lt;&gt;"))</f>
        <v/>
      </c>
      <c r="M217" s="12">
        <f>IF(AND(A217="",F217=""),"",IF(F217="","Belum ditempatkan",IF(I217="","CEK ID FIXTURE tidak ada di DAFTAR_FIXTURE",IF(G217="","CEK ZONA NO kosong",IF(K217="zona tidak ada di layout","CEK ZONA NO di luar layout",IF(H217&lt;&gt;K217,"CEK JENIS ZONA",IF(A217="","Zona kosong",IF(B217="","CEK SKU DESCRIPTION kosong","OK"))))))))</f>
        <v/>
      </c>
    </row>
    <row r="218">
      <c r="A218" s="10" t="n"/>
      <c r="B218" s="11" t="n"/>
      <c r="C218" s="11" t="n"/>
      <c r="D218" s="11" t="n"/>
      <c r="E218" s="11" t="n"/>
      <c r="F218" s="11" t="n"/>
      <c r="G218" s="11" t="n"/>
      <c r="H218" s="11" t="n"/>
      <c r="I218" s="12">
        <f>IF(F218="","",IFERROR(INDEX(DAFTAR_FIXTURE!$B$2:$B$51,MATCH(F218,DAFTAR_FIXTURE!$A$2:$A$51,0)),""))</f>
        <v/>
      </c>
      <c r="J218" s="12">
        <f>IF(A218="","","https://cdn.ruparupa.io/fit-in/850x850/ruparupa-com/image/upload/Products/"&amp;A218&amp;"_1.jpg")</f>
        <v/>
      </c>
      <c r="K218" s="12">
        <f>IF(OR(I218="",G218=""),"",IFERROR(INDEX(LAYOUT!$D$2:$D$34,MATCH(I218&amp;"|"&amp;G218,LAYOUT!$E$2:$E$34,0)),"zona tidak ada di layout"))</f>
        <v/>
      </c>
      <c r="L218" s="12">
        <f>IF(OR(F218="",A218=""),"",COUNTIFS($F$2:$F$500,F218,$G$2:$G$500,G218,$A$2:$A$500,"&lt;&gt;"))</f>
        <v/>
      </c>
      <c r="M218" s="12">
        <f>IF(AND(A218="",F218=""),"",IF(F218="","Belum ditempatkan",IF(I218="","CEK ID FIXTURE tidak ada di DAFTAR_FIXTURE",IF(G218="","CEK ZONA NO kosong",IF(K218="zona tidak ada di layout","CEK ZONA NO di luar layout",IF(H218&lt;&gt;K218,"CEK JENIS ZONA",IF(A218="","Zona kosong",IF(B218="","CEK SKU DESCRIPTION kosong","OK"))))))))</f>
        <v/>
      </c>
    </row>
    <row r="219">
      <c r="A219" s="10" t="n"/>
      <c r="B219" s="11" t="n"/>
      <c r="C219" s="11" t="n"/>
      <c r="D219" s="11" t="n"/>
      <c r="E219" s="11" t="n"/>
      <c r="F219" s="11" t="n"/>
      <c r="G219" s="11" t="n"/>
      <c r="H219" s="11" t="n"/>
      <c r="I219" s="12">
        <f>IF(F219="","",IFERROR(INDEX(DAFTAR_FIXTURE!$B$2:$B$51,MATCH(F219,DAFTAR_FIXTURE!$A$2:$A$51,0)),""))</f>
        <v/>
      </c>
      <c r="J219" s="12">
        <f>IF(A219="","","https://cdn.ruparupa.io/fit-in/850x850/ruparupa-com/image/upload/Products/"&amp;A219&amp;"_1.jpg")</f>
        <v/>
      </c>
      <c r="K219" s="12">
        <f>IF(OR(I219="",G219=""),"",IFERROR(INDEX(LAYOUT!$D$2:$D$34,MATCH(I219&amp;"|"&amp;G219,LAYOUT!$E$2:$E$34,0)),"zona tidak ada di layout"))</f>
        <v/>
      </c>
      <c r="L219" s="12">
        <f>IF(OR(F219="",A219=""),"",COUNTIFS($F$2:$F$500,F219,$G$2:$G$500,G219,$A$2:$A$500,"&lt;&gt;"))</f>
        <v/>
      </c>
      <c r="M219" s="12">
        <f>IF(AND(A219="",F219=""),"",IF(F219="","Belum ditempatkan",IF(I219="","CEK ID FIXTURE tidak ada di DAFTAR_FIXTURE",IF(G219="","CEK ZONA NO kosong",IF(K219="zona tidak ada di layout","CEK ZONA NO di luar layout",IF(H219&lt;&gt;K219,"CEK JENIS ZONA",IF(A219="","Zona kosong",IF(B219="","CEK SKU DESCRIPTION kosong","OK"))))))))</f>
        <v/>
      </c>
    </row>
    <row r="220">
      <c r="A220" s="10" t="n"/>
      <c r="B220" s="11" t="n"/>
      <c r="C220" s="11" t="n"/>
      <c r="D220" s="11" t="n"/>
      <c r="E220" s="11" t="n"/>
      <c r="F220" s="11" t="n"/>
      <c r="G220" s="11" t="n"/>
      <c r="H220" s="11" t="n"/>
      <c r="I220" s="12">
        <f>IF(F220="","",IFERROR(INDEX(DAFTAR_FIXTURE!$B$2:$B$51,MATCH(F220,DAFTAR_FIXTURE!$A$2:$A$51,0)),""))</f>
        <v/>
      </c>
      <c r="J220" s="12">
        <f>IF(A220="","","https://cdn.ruparupa.io/fit-in/850x850/ruparupa-com/image/upload/Products/"&amp;A220&amp;"_1.jpg")</f>
        <v/>
      </c>
      <c r="K220" s="12">
        <f>IF(OR(I220="",G220=""),"",IFERROR(INDEX(LAYOUT!$D$2:$D$34,MATCH(I220&amp;"|"&amp;G220,LAYOUT!$E$2:$E$34,0)),"zona tidak ada di layout"))</f>
        <v/>
      </c>
      <c r="L220" s="12">
        <f>IF(OR(F220="",A220=""),"",COUNTIFS($F$2:$F$500,F220,$G$2:$G$500,G220,$A$2:$A$500,"&lt;&gt;"))</f>
        <v/>
      </c>
      <c r="M220" s="12">
        <f>IF(AND(A220="",F220=""),"",IF(F220="","Belum ditempatkan",IF(I220="","CEK ID FIXTURE tidak ada di DAFTAR_FIXTURE",IF(G220="","CEK ZONA NO kosong",IF(K220="zona tidak ada di layout","CEK ZONA NO di luar layout",IF(H220&lt;&gt;K220,"CEK JENIS ZONA",IF(A220="","Zona kosong",IF(B220="","CEK SKU DESCRIPTION kosong","OK"))))))))</f>
        <v/>
      </c>
    </row>
    <row r="221">
      <c r="A221" s="10" t="n"/>
      <c r="B221" s="11" t="n"/>
      <c r="C221" s="11" t="n"/>
      <c r="D221" s="11" t="n"/>
      <c r="E221" s="11" t="n"/>
      <c r="F221" s="11" t="n"/>
      <c r="G221" s="11" t="n"/>
      <c r="H221" s="11" t="n"/>
      <c r="I221" s="12">
        <f>IF(F221="","",IFERROR(INDEX(DAFTAR_FIXTURE!$B$2:$B$51,MATCH(F221,DAFTAR_FIXTURE!$A$2:$A$51,0)),""))</f>
        <v/>
      </c>
      <c r="J221" s="12">
        <f>IF(A221="","","https://cdn.ruparupa.io/fit-in/850x850/ruparupa-com/image/upload/Products/"&amp;A221&amp;"_1.jpg")</f>
        <v/>
      </c>
      <c r="K221" s="12">
        <f>IF(OR(I221="",G221=""),"",IFERROR(INDEX(LAYOUT!$D$2:$D$34,MATCH(I221&amp;"|"&amp;G221,LAYOUT!$E$2:$E$34,0)),"zona tidak ada di layout"))</f>
        <v/>
      </c>
      <c r="L221" s="12">
        <f>IF(OR(F221="",A221=""),"",COUNTIFS($F$2:$F$500,F221,$G$2:$G$500,G221,$A$2:$A$500,"&lt;&gt;"))</f>
        <v/>
      </c>
      <c r="M221" s="12">
        <f>IF(AND(A221="",F221=""),"",IF(F221="","Belum ditempatkan",IF(I221="","CEK ID FIXTURE tidak ada di DAFTAR_FIXTURE",IF(G221="","CEK ZONA NO kosong",IF(K221="zona tidak ada di layout","CEK ZONA NO di luar layout",IF(H221&lt;&gt;K221,"CEK JENIS ZONA",IF(A221="","Zona kosong",IF(B221="","CEK SKU DESCRIPTION kosong","OK"))))))))</f>
        <v/>
      </c>
    </row>
    <row r="222">
      <c r="A222" s="10" t="n"/>
      <c r="B222" s="11" t="n"/>
      <c r="C222" s="11" t="n"/>
      <c r="D222" s="11" t="n"/>
      <c r="E222" s="11" t="n"/>
      <c r="F222" s="11" t="n"/>
      <c r="G222" s="11" t="n"/>
      <c r="H222" s="11" t="n"/>
      <c r="I222" s="12">
        <f>IF(F222="","",IFERROR(INDEX(DAFTAR_FIXTURE!$B$2:$B$51,MATCH(F222,DAFTAR_FIXTURE!$A$2:$A$51,0)),""))</f>
        <v/>
      </c>
      <c r="J222" s="12">
        <f>IF(A222="","","https://cdn.ruparupa.io/fit-in/850x850/ruparupa-com/image/upload/Products/"&amp;A222&amp;"_1.jpg")</f>
        <v/>
      </c>
      <c r="K222" s="12">
        <f>IF(OR(I222="",G222=""),"",IFERROR(INDEX(LAYOUT!$D$2:$D$34,MATCH(I222&amp;"|"&amp;G222,LAYOUT!$E$2:$E$34,0)),"zona tidak ada di layout"))</f>
        <v/>
      </c>
      <c r="L222" s="12">
        <f>IF(OR(F222="",A222=""),"",COUNTIFS($F$2:$F$500,F222,$G$2:$G$500,G222,$A$2:$A$500,"&lt;&gt;"))</f>
        <v/>
      </c>
      <c r="M222" s="12">
        <f>IF(AND(A222="",F222=""),"",IF(F222="","Belum ditempatkan",IF(I222="","CEK ID FIXTURE tidak ada di DAFTAR_FIXTURE",IF(G222="","CEK ZONA NO kosong",IF(K222="zona tidak ada di layout","CEK ZONA NO di luar layout",IF(H222&lt;&gt;K222,"CEK JENIS ZONA",IF(A222="","Zona kosong",IF(B222="","CEK SKU DESCRIPTION kosong","OK"))))))))</f>
        <v/>
      </c>
    </row>
    <row r="223">
      <c r="A223" s="10" t="n"/>
      <c r="B223" s="11" t="n"/>
      <c r="C223" s="11" t="n"/>
      <c r="D223" s="11" t="n"/>
      <c r="E223" s="11" t="n"/>
      <c r="F223" s="11" t="n"/>
      <c r="G223" s="11" t="n"/>
      <c r="H223" s="11" t="n"/>
      <c r="I223" s="12">
        <f>IF(F223="","",IFERROR(INDEX(DAFTAR_FIXTURE!$B$2:$B$51,MATCH(F223,DAFTAR_FIXTURE!$A$2:$A$51,0)),""))</f>
        <v/>
      </c>
      <c r="J223" s="12">
        <f>IF(A223="","","https://cdn.ruparupa.io/fit-in/850x850/ruparupa-com/image/upload/Products/"&amp;A223&amp;"_1.jpg")</f>
        <v/>
      </c>
      <c r="K223" s="12">
        <f>IF(OR(I223="",G223=""),"",IFERROR(INDEX(LAYOUT!$D$2:$D$34,MATCH(I223&amp;"|"&amp;G223,LAYOUT!$E$2:$E$34,0)),"zona tidak ada di layout"))</f>
        <v/>
      </c>
      <c r="L223" s="12">
        <f>IF(OR(F223="",A223=""),"",COUNTIFS($F$2:$F$500,F223,$G$2:$G$500,G223,$A$2:$A$500,"&lt;&gt;"))</f>
        <v/>
      </c>
      <c r="M223" s="12">
        <f>IF(AND(A223="",F223=""),"",IF(F223="","Belum ditempatkan",IF(I223="","CEK ID FIXTURE tidak ada di DAFTAR_FIXTURE",IF(G223="","CEK ZONA NO kosong",IF(K223="zona tidak ada di layout","CEK ZONA NO di luar layout",IF(H223&lt;&gt;K223,"CEK JENIS ZONA",IF(A223="","Zona kosong",IF(B223="","CEK SKU DESCRIPTION kosong","OK"))))))))</f>
        <v/>
      </c>
    </row>
    <row r="224">
      <c r="A224" s="10" t="n"/>
      <c r="B224" s="11" t="n"/>
      <c r="C224" s="11" t="n"/>
      <c r="D224" s="11" t="n"/>
      <c r="E224" s="11" t="n"/>
      <c r="F224" s="11" t="n"/>
      <c r="G224" s="11" t="n"/>
      <c r="H224" s="11" t="n"/>
      <c r="I224" s="12">
        <f>IF(F224="","",IFERROR(INDEX(DAFTAR_FIXTURE!$B$2:$B$51,MATCH(F224,DAFTAR_FIXTURE!$A$2:$A$51,0)),""))</f>
        <v/>
      </c>
      <c r="J224" s="12">
        <f>IF(A224="","","https://cdn.ruparupa.io/fit-in/850x850/ruparupa-com/image/upload/Products/"&amp;A224&amp;"_1.jpg")</f>
        <v/>
      </c>
      <c r="K224" s="12">
        <f>IF(OR(I224="",G224=""),"",IFERROR(INDEX(LAYOUT!$D$2:$D$34,MATCH(I224&amp;"|"&amp;G224,LAYOUT!$E$2:$E$34,0)),"zona tidak ada di layout"))</f>
        <v/>
      </c>
      <c r="L224" s="12">
        <f>IF(OR(F224="",A224=""),"",COUNTIFS($F$2:$F$500,F224,$G$2:$G$500,G224,$A$2:$A$500,"&lt;&gt;"))</f>
        <v/>
      </c>
      <c r="M224" s="12">
        <f>IF(AND(A224="",F224=""),"",IF(F224="","Belum ditempatkan",IF(I224="","CEK ID FIXTURE tidak ada di DAFTAR_FIXTURE",IF(G224="","CEK ZONA NO kosong",IF(K224="zona tidak ada di layout","CEK ZONA NO di luar layout",IF(H224&lt;&gt;K224,"CEK JENIS ZONA",IF(A224="","Zona kosong",IF(B224="","CEK SKU DESCRIPTION kosong","OK"))))))))</f>
        <v/>
      </c>
    </row>
    <row r="225">
      <c r="A225" s="10" t="n"/>
      <c r="B225" s="11" t="n"/>
      <c r="C225" s="11" t="n"/>
      <c r="D225" s="11" t="n"/>
      <c r="E225" s="11" t="n"/>
      <c r="F225" s="11" t="n"/>
      <c r="G225" s="11" t="n"/>
      <c r="H225" s="11" t="n"/>
      <c r="I225" s="12">
        <f>IF(F225="","",IFERROR(INDEX(DAFTAR_FIXTURE!$B$2:$B$51,MATCH(F225,DAFTAR_FIXTURE!$A$2:$A$51,0)),""))</f>
        <v/>
      </c>
      <c r="J225" s="12">
        <f>IF(A225="","","https://cdn.ruparupa.io/fit-in/850x850/ruparupa-com/image/upload/Products/"&amp;A225&amp;"_1.jpg")</f>
        <v/>
      </c>
      <c r="K225" s="12">
        <f>IF(OR(I225="",G225=""),"",IFERROR(INDEX(LAYOUT!$D$2:$D$34,MATCH(I225&amp;"|"&amp;G225,LAYOUT!$E$2:$E$34,0)),"zona tidak ada di layout"))</f>
        <v/>
      </c>
      <c r="L225" s="12">
        <f>IF(OR(F225="",A225=""),"",COUNTIFS($F$2:$F$500,F225,$G$2:$G$500,G225,$A$2:$A$500,"&lt;&gt;"))</f>
        <v/>
      </c>
      <c r="M225" s="12">
        <f>IF(AND(A225="",F225=""),"",IF(F225="","Belum ditempatkan",IF(I225="","CEK ID FIXTURE tidak ada di DAFTAR_FIXTURE",IF(G225="","CEK ZONA NO kosong",IF(K225="zona tidak ada di layout","CEK ZONA NO di luar layout",IF(H225&lt;&gt;K225,"CEK JENIS ZONA",IF(A225="","Zona kosong",IF(B225="","CEK SKU DESCRIPTION kosong","OK"))))))))</f>
        <v/>
      </c>
    </row>
    <row r="226">
      <c r="A226" s="10" t="n"/>
      <c r="B226" s="11" t="n"/>
      <c r="C226" s="11" t="n"/>
      <c r="D226" s="11" t="n"/>
      <c r="E226" s="11" t="n"/>
      <c r="F226" s="11" t="n"/>
      <c r="G226" s="11" t="n"/>
      <c r="H226" s="11" t="n"/>
      <c r="I226" s="12">
        <f>IF(F226="","",IFERROR(INDEX(DAFTAR_FIXTURE!$B$2:$B$51,MATCH(F226,DAFTAR_FIXTURE!$A$2:$A$51,0)),""))</f>
        <v/>
      </c>
      <c r="J226" s="12">
        <f>IF(A226="","","https://cdn.ruparupa.io/fit-in/850x850/ruparupa-com/image/upload/Products/"&amp;A226&amp;"_1.jpg")</f>
        <v/>
      </c>
      <c r="K226" s="12">
        <f>IF(OR(I226="",G226=""),"",IFERROR(INDEX(LAYOUT!$D$2:$D$34,MATCH(I226&amp;"|"&amp;G226,LAYOUT!$E$2:$E$34,0)),"zona tidak ada di layout"))</f>
        <v/>
      </c>
      <c r="L226" s="12">
        <f>IF(OR(F226="",A226=""),"",COUNTIFS($F$2:$F$500,F226,$G$2:$G$500,G226,$A$2:$A$500,"&lt;&gt;"))</f>
        <v/>
      </c>
      <c r="M226" s="12">
        <f>IF(AND(A226="",F226=""),"",IF(F226="","Belum ditempatkan",IF(I226="","CEK ID FIXTURE tidak ada di DAFTAR_FIXTURE",IF(G226="","CEK ZONA NO kosong",IF(K226="zona tidak ada di layout","CEK ZONA NO di luar layout",IF(H226&lt;&gt;K226,"CEK JENIS ZONA",IF(A226="","Zona kosong",IF(B226="","CEK SKU DESCRIPTION kosong","OK"))))))))</f>
        <v/>
      </c>
    </row>
    <row r="227">
      <c r="A227" s="10" t="n"/>
      <c r="B227" s="11" t="n"/>
      <c r="C227" s="11" t="n"/>
      <c r="D227" s="11" t="n"/>
      <c r="E227" s="11" t="n"/>
      <c r="F227" s="11" t="n"/>
      <c r="G227" s="11" t="n"/>
      <c r="H227" s="11" t="n"/>
      <c r="I227" s="12">
        <f>IF(F227="","",IFERROR(INDEX(DAFTAR_FIXTURE!$B$2:$B$51,MATCH(F227,DAFTAR_FIXTURE!$A$2:$A$51,0)),""))</f>
        <v/>
      </c>
      <c r="J227" s="12">
        <f>IF(A227="","","https://cdn.ruparupa.io/fit-in/850x850/ruparupa-com/image/upload/Products/"&amp;A227&amp;"_1.jpg")</f>
        <v/>
      </c>
      <c r="K227" s="12">
        <f>IF(OR(I227="",G227=""),"",IFERROR(INDEX(LAYOUT!$D$2:$D$34,MATCH(I227&amp;"|"&amp;G227,LAYOUT!$E$2:$E$34,0)),"zona tidak ada di layout"))</f>
        <v/>
      </c>
      <c r="L227" s="12">
        <f>IF(OR(F227="",A227=""),"",COUNTIFS($F$2:$F$500,F227,$G$2:$G$500,G227,$A$2:$A$500,"&lt;&gt;"))</f>
        <v/>
      </c>
      <c r="M227" s="12">
        <f>IF(AND(A227="",F227=""),"",IF(F227="","Belum ditempatkan",IF(I227="","CEK ID FIXTURE tidak ada di DAFTAR_FIXTURE",IF(G227="","CEK ZONA NO kosong",IF(K227="zona tidak ada di layout","CEK ZONA NO di luar layout",IF(H227&lt;&gt;K227,"CEK JENIS ZONA",IF(A227="","Zona kosong",IF(B227="","CEK SKU DESCRIPTION kosong","OK"))))))))</f>
        <v/>
      </c>
    </row>
    <row r="228">
      <c r="A228" s="10" t="n"/>
      <c r="B228" s="11" t="n"/>
      <c r="C228" s="11" t="n"/>
      <c r="D228" s="11" t="n"/>
      <c r="E228" s="11" t="n"/>
      <c r="F228" s="11" t="n"/>
      <c r="G228" s="11" t="n"/>
      <c r="H228" s="11" t="n"/>
      <c r="I228" s="12">
        <f>IF(F228="","",IFERROR(INDEX(DAFTAR_FIXTURE!$B$2:$B$51,MATCH(F228,DAFTAR_FIXTURE!$A$2:$A$51,0)),""))</f>
        <v/>
      </c>
      <c r="J228" s="12">
        <f>IF(A228="","","https://cdn.ruparupa.io/fit-in/850x850/ruparupa-com/image/upload/Products/"&amp;A228&amp;"_1.jpg")</f>
        <v/>
      </c>
      <c r="K228" s="12">
        <f>IF(OR(I228="",G228=""),"",IFERROR(INDEX(LAYOUT!$D$2:$D$34,MATCH(I228&amp;"|"&amp;G228,LAYOUT!$E$2:$E$34,0)),"zona tidak ada di layout"))</f>
        <v/>
      </c>
      <c r="L228" s="12">
        <f>IF(OR(F228="",A228=""),"",COUNTIFS($F$2:$F$500,F228,$G$2:$G$500,G228,$A$2:$A$500,"&lt;&gt;"))</f>
        <v/>
      </c>
      <c r="M228" s="12">
        <f>IF(AND(A228="",F228=""),"",IF(F228="","Belum ditempatkan",IF(I228="","CEK ID FIXTURE tidak ada di DAFTAR_FIXTURE",IF(G228="","CEK ZONA NO kosong",IF(K228="zona tidak ada di layout","CEK ZONA NO di luar layout",IF(H228&lt;&gt;K228,"CEK JENIS ZONA",IF(A228="","Zona kosong",IF(B228="","CEK SKU DESCRIPTION kosong","OK"))))))))</f>
        <v/>
      </c>
    </row>
    <row r="229">
      <c r="A229" s="10" t="n"/>
      <c r="B229" s="11" t="n"/>
      <c r="C229" s="11" t="n"/>
      <c r="D229" s="11" t="n"/>
      <c r="E229" s="11" t="n"/>
      <c r="F229" s="11" t="n"/>
      <c r="G229" s="11" t="n"/>
      <c r="H229" s="11" t="n"/>
      <c r="I229" s="12">
        <f>IF(F229="","",IFERROR(INDEX(DAFTAR_FIXTURE!$B$2:$B$51,MATCH(F229,DAFTAR_FIXTURE!$A$2:$A$51,0)),""))</f>
        <v/>
      </c>
      <c r="J229" s="12">
        <f>IF(A229="","","https://cdn.ruparupa.io/fit-in/850x850/ruparupa-com/image/upload/Products/"&amp;A229&amp;"_1.jpg")</f>
        <v/>
      </c>
      <c r="K229" s="12">
        <f>IF(OR(I229="",G229=""),"",IFERROR(INDEX(LAYOUT!$D$2:$D$34,MATCH(I229&amp;"|"&amp;G229,LAYOUT!$E$2:$E$34,0)),"zona tidak ada di layout"))</f>
        <v/>
      </c>
      <c r="L229" s="12">
        <f>IF(OR(F229="",A229=""),"",COUNTIFS($F$2:$F$500,F229,$G$2:$G$500,G229,$A$2:$A$500,"&lt;&gt;"))</f>
        <v/>
      </c>
      <c r="M229" s="12">
        <f>IF(AND(A229="",F229=""),"",IF(F229="","Belum ditempatkan",IF(I229="","CEK ID FIXTURE tidak ada di DAFTAR_FIXTURE",IF(G229="","CEK ZONA NO kosong",IF(K229="zona tidak ada di layout","CEK ZONA NO di luar layout",IF(H229&lt;&gt;K229,"CEK JENIS ZONA",IF(A229="","Zona kosong",IF(B229="","CEK SKU DESCRIPTION kosong","OK"))))))))</f>
        <v/>
      </c>
    </row>
    <row r="230">
      <c r="A230" s="10" t="n"/>
      <c r="B230" s="11" t="n"/>
      <c r="C230" s="11" t="n"/>
      <c r="D230" s="11" t="n"/>
      <c r="E230" s="11" t="n"/>
      <c r="F230" s="11" t="n"/>
      <c r="G230" s="11" t="n"/>
      <c r="H230" s="11" t="n"/>
      <c r="I230" s="12">
        <f>IF(F230="","",IFERROR(INDEX(DAFTAR_FIXTURE!$B$2:$B$51,MATCH(F230,DAFTAR_FIXTURE!$A$2:$A$51,0)),""))</f>
        <v/>
      </c>
      <c r="J230" s="12">
        <f>IF(A230="","","https://cdn.ruparupa.io/fit-in/850x850/ruparupa-com/image/upload/Products/"&amp;A230&amp;"_1.jpg")</f>
        <v/>
      </c>
      <c r="K230" s="12">
        <f>IF(OR(I230="",G230=""),"",IFERROR(INDEX(LAYOUT!$D$2:$D$34,MATCH(I230&amp;"|"&amp;G230,LAYOUT!$E$2:$E$34,0)),"zona tidak ada di layout"))</f>
        <v/>
      </c>
      <c r="L230" s="12">
        <f>IF(OR(F230="",A230=""),"",COUNTIFS($F$2:$F$500,F230,$G$2:$G$500,G230,$A$2:$A$500,"&lt;&gt;"))</f>
        <v/>
      </c>
      <c r="M230" s="12">
        <f>IF(AND(A230="",F230=""),"",IF(F230="","Belum ditempatkan",IF(I230="","CEK ID FIXTURE tidak ada di DAFTAR_FIXTURE",IF(G230="","CEK ZONA NO kosong",IF(K230="zona tidak ada di layout","CEK ZONA NO di luar layout",IF(H230&lt;&gt;K230,"CEK JENIS ZONA",IF(A230="","Zona kosong",IF(B230="","CEK SKU DESCRIPTION kosong","OK"))))))))</f>
        <v/>
      </c>
    </row>
    <row r="231">
      <c r="A231" s="10" t="n"/>
      <c r="B231" s="11" t="n"/>
      <c r="C231" s="11" t="n"/>
      <c r="D231" s="11" t="n"/>
      <c r="E231" s="11" t="n"/>
      <c r="F231" s="11" t="n"/>
      <c r="G231" s="11" t="n"/>
      <c r="H231" s="11" t="n"/>
      <c r="I231" s="12">
        <f>IF(F231="","",IFERROR(INDEX(DAFTAR_FIXTURE!$B$2:$B$51,MATCH(F231,DAFTAR_FIXTURE!$A$2:$A$51,0)),""))</f>
        <v/>
      </c>
      <c r="J231" s="12">
        <f>IF(A231="","","https://cdn.ruparupa.io/fit-in/850x850/ruparupa-com/image/upload/Products/"&amp;A231&amp;"_1.jpg")</f>
        <v/>
      </c>
      <c r="K231" s="12">
        <f>IF(OR(I231="",G231=""),"",IFERROR(INDEX(LAYOUT!$D$2:$D$34,MATCH(I231&amp;"|"&amp;G231,LAYOUT!$E$2:$E$34,0)),"zona tidak ada di layout"))</f>
        <v/>
      </c>
      <c r="L231" s="12">
        <f>IF(OR(F231="",A231=""),"",COUNTIFS($F$2:$F$500,F231,$G$2:$G$500,G231,$A$2:$A$500,"&lt;&gt;"))</f>
        <v/>
      </c>
      <c r="M231" s="12">
        <f>IF(AND(A231="",F231=""),"",IF(F231="","Belum ditempatkan",IF(I231="","CEK ID FIXTURE tidak ada di DAFTAR_FIXTURE",IF(G231="","CEK ZONA NO kosong",IF(K231="zona tidak ada di layout","CEK ZONA NO di luar layout",IF(H231&lt;&gt;K231,"CEK JENIS ZONA",IF(A231="","Zona kosong",IF(B231="","CEK SKU DESCRIPTION kosong","OK"))))))))</f>
        <v/>
      </c>
    </row>
    <row r="232">
      <c r="A232" s="10" t="n"/>
      <c r="B232" s="11" t="n"/>
      <c r="C232" s="11" t="n"/>
      <c r="D232" s="11" t="n"/>
      <c r="E232" s="11" t="n"/>
      <c r="F232" s="11" t="n"/>
      <c r="G232" s="11" t="n"/>
      <c r="H232" s="11" t="n"/>
      <c r="I232" s="12">
        <f>IF(F232="","",IFERROR(INDEX(DAFTAR_FIXTURE!$B$2:$B$51,MATCH(F232,DAFTAR_FIXTURE!$A$2:$A$51,0)),""))</f>
        <v/>
      </c>
      <c r="J232" s="12">
        <f>IF(A232="","","https://cdn.ruparupa.io/fit-in/850x850/ruparupa-com/image/upload/Products/"&amp;A232&amp;"_1.jpg")</f>
        <v/>
      </c>
      <c r="K232" s="12">
        <f>IF(OR(I232="",G232=""),"",IFERROR(INDEX(LAYOUT!$D$2:$D$34,MATCH(I232&amp;"|"&amp;G232,LAYOUT!$E$2:$E$34,0)),"zona tidak ada di layout"))</f>
        <v/>
      </c>
      <c r="L232" s="12">
        <f>IF(OR(F232="",A232=""),"",COUNTIFS($F$2:$F$500,F232,$G$2:$G$500,G232,$A$2:$A$500,"&lt;&gt;"))</f>
        <v/>
      </c>
      <c r="M232" s="12">
        <f>IF(AND(A232="",F232=""),"",IF(F232="","Belum ditempatkan",IF(I232="","CEK ID FIXTURE tidak ada di DAFTAR_FIXTURE",IF(G232="","CEK ZONA NO kosong",IF(K232="zona tidak ada di layout","CEK ZONA NO di luar layout",IF(H232&lt;&gt;K232,"CEK JENIS ZONA",IF(A232="","Zona kosong",IF(B232="","CEK SKU DESCRIPTION kosong","OK"))))))))</f>
        <v/>
      </c>
    </row>
    <row r="233">
      <c r="A233" s="10" t="n"/>
      <c r="B233" s="11" t="n"/>
      <c r="C233" s="11" t="n"/>
      <c r="D233" s="11" t="n"/>
      <c r="E233" s="11" t="n"/>
      <c r="F233" s="11" t="n"/>
      <c r="G233" s="11" t="n"/>
      <c r="H233" s="11" t="n"/>
      <c r="I233" s="12">
        <f>IF(F233="","",IFERROR(INDEX(DAFTAR_FIXTURE!$B$2:$B$51,MATCH(F233,DAFTAR_FIXTURE!$A$2:$A$51,0)),""))</f>
        <v/>
      </c>
      <c r="J233" s="12">
        <f>IF(A233="","","https://cdn.ruparupa.io/fit-in/850x850/ruparupa-com/image/upload/Products/"&amp;A233&amp;"_1.jpg")</f>
        <v/>
      </c>
      <c r="K233" s="12">
        <f>IF(OR(I233="",G233=""),"",IFERROR(INDEX(LAYOUT!$D$2:$D$34,MATCH(I233&amp;"|"&amp;G233,LAYOUT!$E$2:$E$34,0)),"zona tidak ada di layout"))</f>
        <v/>
      </c>
      <c r="L233" s="12">
        <f>IF(OR(F233="",A233=""),"",COUNTIFS($F$2:$F$500,F233,$G$2:$G$500,G233,$A$2:$A$500,"&lt;&gt;"))</f>
        <v/>
      </c>
      <c r="M233" s="12">
        <f>IF(AND(A233="",F233=""),"",IF(F233="","Belum ditempatkan",IF(I233="","CEK ID FIXTURE tidak ada di DAFTAR_FIXTURE",IF(G233="","CEK ZONA NO kosong",IF(K233="zona tidak ada di layout","CEK ZONA NO di luar layout",IF(H233&lt;&gt;K233,"CEK JENIS ZONA",IF(A233="","Zona kosong",IF(B233="","CEK SKU DESCRIPTION kosong","OK"))))))))</f>
        <v/>
      </c>
    </row>
    <row r="234">
      <c r="A234" s="10" t="n"/>
      <c r="B234" s="11" t="n"/>
      <c r="C234" s="11" t="n"/>
      <c r="D234" s="11" t="n"/>
      <c r="E234" s="11" t="n"/>
      <c r="F234" s="11" t="n"/>
      <c r="G234" s="11" t="n"/>
      <c r="H234" s="11" t="n"/>
      <c r="I234" s="12">
        <f>IF(F234="","",IFERROR(INDEX(DAFTAR_FIXTURE!$B$2:$B$51,MATCH(F234,DAFTAR_FIXTURE!$A$2:$A$51,0)),""))</f>
        <v/>
      </c>
      <c r="J234" s="12">
        <f>IF(A234="","","https://cdn.ruparupa.io/fit-in/850x850/ruparupa-com/image/upload/Products/"&amp;A234&amp;"_1.jpg")</f>
        <v/>
      </c>
      <c r="K234" s="12">
        <f>IF(OR(I234="",G234=""),"",IFERROR(INDEX(LAYOUT!$D$2:$D$34,MATCH(I234&amp;"|"&amp;G234,LAYOUT!$E$2:$E$34,0)),"zona tidak ada di layout"))</f>
        <v/>
      </c>
      <c r="L234" s="12">
        <f>IF(OR(F234="",A234=""),"",COUNTIFS($F$2:$F$500,F234,$G$2:$G$500,G234,$A$2:$A$500,"&lt;&gt;"))</f>
        <v/>
      </c>
      <c r="M234" s="12">
        <f>IF(AND(A234="",F234=""),"",IF(F234="","Belum ditempatkan",IF(I234="","CEK ID FIXTURE tidak ada di DAFTAR_FIXTURE",IF(G234="","CEK ZONA NO kosong",IF(K234="zona tidak ada di layout","CEK ZONA NO di luar layout",IF(H234&lt;&gt;K234,"CEK JENIS ZONA",IF(A234="","Zona kosong",IF(B234="","CEK SKU DESCRIPTION kosong","OK"))))))))</f>
        <v/>
      </c>
    </row>
    <row r="235">
      <c r="A235" s="10" t="n"/>
      <c r="B235" s="11" t="n"/>
      <c r="C235" s="11" t="n"/>
      <c r="D235" s="11" t="n"/>
      <c r="E235" s="11" t="n"/>
      <c r="F235" s="11" t="n"/>
      <c r="G235" s="11" t="n"/>
      <c r="H235" s="11" t="n"/>
      <c r="I235" s="12">
        <f>IF(F235="","",IFERROR(INDEX(DAFTAR_FIXTURE!$B$2:$B$51,MATCH(F235,DAFTAR_FIXTURE!$A$2:$A$51,0)),""))</f>
        <v/>
      </c>
      <c r="J235" s="12">
        <f>IF(A235="","","https://cdn.ruparupa.io/fit-in/850x850/ruparupa-com/image/upload/Products/"&amp;A235&amp;"_1.jpg")</f>
        <v/>
      </c>
      <c r="K235" s="12">
        <f>IF(OR(I235="",G235=""),"",IFERROR(INDEX(LAYOUT!$D$2:$D$34,MATCH(I235&amp;"|"&amp;G235,LAYOUT!$E$2:$E$34,0)),"zona tidak ada di layout"))</f>
        <v/>
      </c>
      <c r="L235" s="12">
        <f>IF(OR(F235="",A235=""),"",COUNTIFS($F$2:$F$500,F235,$G$2:$G$500,G235,$A$2:$A$500,"&lt;&gt;"))</f>
        <v/>
      </c>
      <c r="M235" s="12">
        <f>IF(AND(A235="",F235=""),"",IF(F235="","Belum ditempatkan",IF(I235="","CEK ID FIXTURE tidak ada di DAFTAR_FIXTURE",IF(G235="","CEK ZONA NO kosong",IF(K235="zona tidak ada di layout","CEK ZONA NO di luar layout",IF(H235&lt;&gt;K235,"CEK JENIS ZONA",IF(A235="","Zona kosong",IF(B235="","CEK SKU DESCRIPTION kosong","OK"))))))))</f>
        <v/>
      </c>
    </row>
    <row r="236">
      <c r="A236" s="10" t="n"/>
      <c r="B236" s="11" t="n"/>
      <c r="C236" s="11" t="n"/>
      <c r="D236" s="11" t="n"/>
      <c r="E236" s="11" t="n"/>
      <c r="F236" s="11" t="n"/>
      <c r="G236" s="11" t="n"/>
      <c r="H236" s="11" t="n"/>
      <c r="I236" s="12">
        <f>IF(F236="","",IFERROR(INDEX(DAFTAR_FIXTURE!$B$2:$B$51,MATCH(F236,DAFTAR_FIXTURE!$A$2:$A$51,0)),""))</f>
        <v/>
      </c>
      <c r="J236" s="12">
        <f>IF(A236="","","https://cdn.ruparupa.io/fit-in/850x850/ruparupa-com/image/upload/Products/"&amp;A236&amp;"_1.jpg")</f>
        <v/>
      </c>
      <c r="K236" s="12">
        <f>IF(OR(I236="",G236=""),"",IFERROR(INDEX(LAYOUT!$D$2:$D$34,MATCH(I236&amp;"|"&amp;G236,LAYOUT!$E$2:$E$34,0)),"zona tidak ada di layout"))</f>
        <v/>
      </c>
      <c r="L236" s="12">
        <f>IF(OR(F236="",A236=""),"",COUNTIFS($F$2:$F$500,F236,$G$2:$G$500,G236,$A$2:$A$500,"&lt;&gt;"))</f>
        <v/>
      </c>
      <c r="M236" s="12">
        <f>IF(AND(A236="",F236=""),"",IF(F236="","Belum ditempatkan",IF(I236="","CEK ID FIXTURE tidak ada di DAFTAR_FIXTURE",IF(G236="","CEK ZONA NO kosong",IF(K236="zona tidak ada di layout","CEK ZONA NO di luar layout",IF(H236&lt;&gt;K236,"CEK JENIS ZONA",IF(A236="","Zona kosong",IF(B236="","CEK SKU DESCRIPTION kosong","OK"))))))))</f>
        <v/>
      </c>
    </row>
    <row r="237">
      <c r="A237" s="10" t="n"/>
      <c r="B237" s="11" t="n"/>
      <c r="C237" s="11" t="n"/>
      <c r="D237" s="11" t="n"/>
      <c r="E237" s="11" t="n"/>
      <c r="F237" s="11" t="n"/>
      <c r="G237" s="11" t="n"/>
      <c r="H237" s="11" t="n"/>
      <c r="I237" s="12">
        <f>IF(F237="","",IFERROR(INDEX(DAFTAR_FIXTURE!$B$2:$B$51,MATCH(F237,DAFTAR_FIXTURE!$A$2:$A$51,0)),""))</f>
        <v/>
      </c>
      <c r="J237" s="12">
        <f>IF(A237="","","https://cdn.ruparupa.io/fit-in/850x850/ruparupa-com/image/upload/Products/"&amp;A237&amp;"_1.jpg")</f>
        <v/>
      </c>
      <c r="K237" s="12">
        <f>IF(OR(I237="",G237=""),"",IFERROR(INDEX(LAYOUT!$D$2:$D$34,MATCH(I237&amp;"|"&amp;G237,LAYOUT!$E$2:$E$34,0)),"zona tidak ada di layout"))</f>
        <v/>
      </c>
      <c r="L237" s="12">
        <f>IF(OR(F237="",A237=""),"",COUNTIFS($F$2:$F$500,F237,$G$2:$G$500,G237,$A$2:$A$500,"&lt;&gt;"))</f>
        <v/>
      </c>
      <c r="M237" s="12">
        <f>IF(AND(A237="",F237=""),"",IF(F237="","Belum ditempatkan",IF(I237="","CEK ID FIXTURE tidak ada di DAFTAR_FIXTURE",IF(G237="","CEK ZONA NO kosong",IF(K237="zona tidak ada di layout","CEK ZONA NO di luar layout",IF(H237&lt;&gt;K237,"CEK JENIS ZONA",IF(A237="","Zona kosong",IF(B237="","CEK SKU DESCRIPTION kosong","OK"))))))))</f>
        <v/>
      </c>
    </row>
    <row r="238">
      <c r="A238" s="10" t="n"/>
      <c r="B238" s="11" t="n"/>
      <c r="C238" s="11" t="n"/>
      <c r="D238" s="11" t="n"/>
      <c r="E238" s="11" t="n"/>
      <c r="F238" s="11" t="n"/>
      <c r="G238" s="11" t="n"/>
      <c r="H238" s="11" t="n"/>
      <c r="I238" s="12">
        <f>IF(F238="","",IFERROR(INDEX(DAFTAR_FIXTURE!$B$2:$B$51,MATCH(F238,DAFTAR_FIXTURE!$A$2:$A$51,0)),""))</f>
        <v/>
      </c>
      <c r="J238" s="12">
        <f>IF(A238="","","https://cdn.ruparupa.io/fit-in/850x850/ruparupa-com/image/upload/Products/"&amp;A238&amp;"_1.jpg")</f>
        <v/>
      </c>
      <c r="K238" s="12">
        <f>IF(OR(I238="",G238=""),"",IFERROR(INDEX(LAYOUT!$D$2:$D$34,MATCH(I238&amp;"|"&amp;G238,LAYOUT!$E$2:$E$34,0)),"zona tidak ada di layout"))</f>
        <v/>
      </c>
      <c r="L238" s="12">
        <f>IF(OR(F238="",A238=""),"",COUNTIFS($F$2:$F$500,F238,$G$2:$G$500,G238,$A$2:$A$500,"&lt;&gt;"))</f>
        <v/>
      </c>
      <c r="M238" s="12">
        <f>IF(AND(A238="",F238=""),"",IF(F238="","Belum ditempatkan",IF(I238="","CEK ID FIXTURE tidak ada di DAFTAR_FIXTURE",IF(G238="","CEK ZONA NO kosong",IF(K238="zona tidak ada di layout","CEK ZONA NO di luar layout",IF(H238&lt;&gt;K238,"CEK JENIS ZONA",IF(A238="","Zona kosong",IF(B238="","CEK SKU DESCRIPTION kosong","OK"))))))))</f>
        <v/>
      </c>
    </row>
    <row r="239">
      <c r="A239" s="10" t="n"/>
      <c r="B239" s="11" t="n"/>
      <c r="C239" s="11" t="n"/>
      <c r="D239" s="11" t="n"/>
      <c r="E239" s="11" t="n"/>
      <c r="F239" s="11" t="n"/>
      <c r="G239" s="11" t="n"/>
      <c r="H239" s="11" t="n"/>
      <c r="I239" s="12">
        <f>IF(F239="","",IFERROR(INDEX(DAFTAR_FIXTURE!$B$2:$B$51,MATCH(F239,DAFTAR_FIXTURE!$A$2:$A$51,0)),""))</f>
        <v/>
      </c>
      <c r="J239" s="12">
        <f>IF(A239="","","https://cdn.ruparupa.io/fit-in/850x850/ruparupa-com/image/upload/Products/"&amp;A239&amp;"_1.jpg")</f>
        <v/>
      </c>
      <c r="K239" s="12">
        <f>IF(OR(I239="",G239=""),"",IFERROR(INDEX(LAYOUT!$D$2:$D$34,MATCH(I239&amp;"|"&amp;G239,LAYOUT!$E$2:$E$34,0)),"zona tidak ada di layout"))</f>
        <v/>
      </c>
      <c r="L239" s="12">
        <f>IF(OR(F239="",A239=""),"",COUNTIFS($F$2:$F$500,F239,$G$2:$G$500,G239,$A$2:$A$500,"&lt;&gt;"))</f>
        <v/>
      </c>
      <c r="M239" s="12">
        <f>IF(AND(A239="",F239=""),"",IF(F239="","Belum ditempatkan",IF(I239="","CEK ID FIXTURE tidak ada di DAFTAR_FIXTURE",IF(G239="","CEK ZONA NO kosong",IF(K239="zona tidak ada di layout","CEK ZONA NO di luar layout",IF(H239&lt;&gt;K239,"CEK JENIS ZONA",IF(A239="","Zona kosong",IF(B239="","CEK SKU DESCRIPTION kosong","OK"))))))))</f>
        <v/>
      </c>
    </row>
    <row r="240">
      <c r="A240" s="10" t="n"/>
      <c r="B240" s="11" t="n"/>
      <c r="C240" s="11" t="n"/>
      <c r="D240" s="11" t="n"/>
      <c r="E240" s="11" t="n"/>
      <c r="F240" s="11" t="n"/>
      <c r="G240" s="11" t="n"/>
      <c r="H240" s="11" t="n"/>
      <c r="I240" s="12">
        <f>IF(F240="","",IFERROR(INDEX(DAFTAR_FIXTURE!$B$2:$B$51,MATCH(F240,DAFTAR_FIXTURE!$A$2:$A$51,0)),""))</f>
        <v/>
      </c>
      <c r="J240" s="12">
        <f>IF(A240="","","https://cdn.ruparupa.io/fit-in/850x850/ruparupa-com/image/upload/Products/"&amp;A240&amp;"_1.jpg")</f>
        <v/>
      </c>
      <c r="K240" s="12">
        <f>IF(OR(I240="",G240=""),"",IFERROR(INDEX(LAYOUT!$D$2:$D$34,MATCH(I240&amp;"|"&amp;G240,LAYOUT!$E$2:$E$34,0)),"zona tidak ada di layout"))</f>
        <v/>
      </c>
      <c r="L240" s="12">
        <f>IF(OR(F240="",A240=""),"",COUNTIFS($F$2:$F$500,F240,$G$2:$G$500,G240,$A$2:$A$500,"&lt;&gt;"))</f>
        <v/>
      </c>
      <c r="M240" s="12">
        <f>IF(AND(A240="",F240=""),"",IF(F240="","Belum ditempatkan",IF(I240="","CEK ID FIXTURE tidak ada di DAFTAR_FIXTURE",IF(G240="","CEK ZONA NO kosong",IF(K240="zona tidak ada di layout","CEK ZONA NO di luar layout",IF(H240&lt;&gt;K240,"CEK JENIS ZONA",IF(A240="","Zona kosong",IF(B240="","CEK SKU DESCRIPTION kosong","OK"))))))))</f>
        <v/>
      </c>
    </row>
    <row r="241">
      <c r="A241" s="10" t="n"/>
      <c r="B241" s="11" t="n"/>
      <c r="C241" s="11" t="n"/>
      <c r="D241" s="11" t="n"/>
      <c r="E241" s="11" t="n"/>
      <c r="F241" s="11" t="n"/>
      <c r="G241" s="11" t="n"/>
      <c r="H241" s="11" t="n"/>
      <c r="I241" s="12">
        <f>IF(F241="","",IFERROR(INDEX(DAFTAR_FIXTURE!$B$2:$B$51,MATCH(F241,DAFTAR_FIXTURE!$A$2:$A$51,0)),""))</f>
        <v/>
      </c>
      <c r="J241" s="12">
        <f>IF(A241="","","https://cdn.ruparupa.io/fit-in/850x850/ruparupa-com/image/upload/Products/"&amp;A241&amp;"_1.jpg")</f>
        <v/>
      </c>
      <c r="K241" s="12">
        <f>IF(OR(I241="",G241=""),"",IFERROR(INDEX(LAYOUT!$D$2:$D$34,MATCH(I241&amp;"|"&amp;G241,LAYOUT!$E$2:$E$34,0)),"zona tidak ada di layout"))</f>
        <v/>
      </c>
      <c r="L241" s="12">
        <f>IF(OR(F241="",A241=""),"",COUNTIFS($F$2:$F$500,F241,$G$2:$G$500,G241,$A$2:$A$500,"&lt;&gt;"))</f>
        <v/>
      </c>
      <c r="M241" s="12">
        <f>IF(AND(A241="",F241=""),"",IF(F241="","Belum ditempatkan",IF(I241="","CEK ID FIXTURE tidak ada di DAFTAR_FIXTURE",IF(G241="","CEK ZONA NO kosong",IF(K241="zona tidak ada di layout","CEK ZONA NO di luar layout",IF(H241&lt;&gt;K241,"CEK JENIS ZONA",IF(A241="","Zona kosong",IF(B241="","CEK SKU DESCRIPTION kosong","OK"))))))))</f>
        <v/>
      </c>
    </row>
    <row r="242">
      <c r="A242" s="10" t="n"/>
      <c r="B242" s="11" t="n"/>
      <c r="C242" s="11" t="n"/>
      <c r="D242" s="11" t="n"/>
      <c r="E242" s="11" t="n"/>
      <c r="F242" s="11" t="n"/>
      <c r="G242" s="11" t="n"/>
      <c r="H242" s="11" t="n"/>
      <c r="I242" s="12">
        <f>IF(F242="","",IFERROR(INDEX(DAFTAR_FIXTURE!$B$2:$B$51,MATCH(F242,DAFTAR_FIXTURE!$A$2:$A$51,0)),""))</f>
        <v/>
      </c>
      <c r="J242" s="12">
        <f>IF(A242="","","https://cdn.ruparupa.io/fit-in/850x850/ruparupa-com/image/upload/Products/"&amp;A242&amp;"_1.jpg")</f>
        <v/>
      </c>
      <c r="K242" s="12">
        <f>IF(OR(I242="",G242=""),"",IFERROR(INDEX(LAYOUT!$D$2:$D$34,MATCH(I242&amp;"|"&amp;G242,LAYOUT!$E$2:$E$34,0)),"zona tidak ada di layout"))</f>
        <v/>
      </c>
      <c r="L242" s="12">
        <f>IF(OR(F242="",A242=""),"",COUNTIFS($F$2:$F$500,F242,$G$2:$G$500,G242,$A$2:$A$500,"&lt;&gt;"))</f>
        <v/>
      </c>
      <c r="M242" s="12">
        <f>IF(AND(A242="",F242=""),"",IF(F242="","Belum ditempatkan",IF(I242="","CEK ID FIXTURE tidak ada di DAFTAR_FIXTURE",IF(G242="","CEK ZONA NO kosong",IF(K242="zona tidak ada di layout","CEK ZONA NO di luar layout",IF(H242&lt;&gt;K242,"CEK JENIS ZONA",IF(A242="","Zona kosong",IF(B242="","CEK SKU DESCRIPTION kosong","OK"))))))))</f>
        <v/>
      </c>
    </row>
    <row r="243">
      <c r="A243" s="10" t="n"/>
      <c r="B243" s="11" t="n"/>
      <c r="C243" s="11" t="n"/>
      <c r="D243" s="11" t="n"/>
      <c r="E243" s="11" t="n"/>
      <c r="F243" s="11" t="n"/>
      <c r="G243" s="11" t="n"/>
      <c r="H243" s="11" t="n"/>
      <c r="I243" s="12">
        <f>IF(F243="","",IFERROR(INDEX(DAFTAR_FIXTURE!$B$2:$B$51,MATCH(F243,DAFTAR_FIXTURE!$A$2:$A$51,0)),""))</f>
        <v/>
      </c>
      <c r="J243" s="12">
        <f>IF(A243="","","https://cdn.ruparupa.io/fit-in/850x850/ruparupa-com/image/upload/Products/"&amp;A243&amp;"_1.jpg")</f>
        <v/>
      </c>
      <c r="K243" s="12">
        <f>IF(OR(I243="",G243=""),"",IFERROR(INDEX(LAYOUT!$D$2:$D$34,MATCH(I243&amp;"|"&amp;G243,LAYOUT!$E$2:$E$34,0)),"zona tidak ada di layout"))</f>
        <v/>
      </c>
      <c r="L243" s="12">
        <f>IF(OR(F243="",A243=""),"",COUNTIFS($F$2:$F$500,F243,$G$2:$G$500,G243,$A$2:$A$500,"&lt;&gt;"))</f>
        <v/>
      </c>
      <c r="M243" s="12">
        <f>IF(AND(A243="",F243=""),"",IF(F243="","Belum ditempatkan",IF(I243="","CEK ID FIXTURE tidak ada di DAFTAR_FIXTURE",IF(G243="","CEK ZONA NO kosong",IF(K243="zona tidak ada di layout","CEK ZONA NO di luar layout",IF(H243&lt;&gt;K243,"CEK JENIS ZONA",IF(A243="","Zona kosong",IF(B243="","CEK SKU DESCRIPTION kosong","OK"))))))))</f>
        <v/>
      </c>
    </row>
    <row r="244">
      <c r="A244" s="10" t="n"/>
      <c r="B244" s="11" t="n"/>
      <c r="C244" s="11" t="n"/>
      <c r="D244" s="11" t="n"/>
      <c r="E244" s="11" t="n"/>
      <c r="F244" s="11" t="n"/>
      <c r="G244" s="11" t="n"/>
      <c r="H244" s="11" t="n"/>
      <c r="I244" s="12">
        <f>IF(F244="","",IFERROR(INDEX(DAFTAR_FIXTURE!$B$2:$B$51,MATCH(F244,DAFTAR_FIXTURE!$A$2:$A$51,0)),""))</f>
        <v/>
      </c>
      <c r="J244" s="12">
        <f>IF(A244="","","https://cdn.ruparupa.io/fit-in/850x850/ruparupa-com/image/upload/Products/"&amp;A244&amp;"_1.jpg")</f>
        <v/>
      </c>
      <c r="K244" s="12">
        <f>IF(OR(I244="",G244=""),"",IFERROR(INDEX(LAYOUT!$D$2:$D$34,MATCH(I244&amp;"|"&amp;G244,LAYOUT!$E$2:$E$34,0)),"zona tidak ada di layout"))</f>
        <v/>
      </c>
      <c r="L244" s="12">
        <f>IF(OR(F244="",A244=""),"",COUNTIFS($F$2:$F$500,F244,$G$2:$G$500,G244,$A$2:$A$500,"&lt;&gt;"))</f>
        <v/>
      </c>
      <c r="M244" s="12">
        <f>IF(AND(A244="",F244=""),"",IF(F244="","Belum ditempatkan",IF(I244="","CEK ID FIXTURE tidak ada di DAFTAR_FIXTURE",IF(G244="","CEK ZONA NO kosong",IF(K244="zona tidak ada di layout","CEK ZONA NO di luar layout",IF(H244&lt;&gt;K244,"CEK JENIS ZONA",IF(A244="","Zona kosong",IF(B244="","CEK SKU DESCRIPTION kosong","OK"))))))))</f>
        <v/>
      </c>
    </row>
    <row r="245">
      <c r="A245" s="10" t="n"/>
      <c r="B245" s="11" t="n"/>
      <c r="C245" s="11" t="n"/>
      <c r="D245" s="11" t="n"/>
      <c r="E245" s="11" t="n"/>
      <c r="F245" s="11" t="n"/>
      <c r="G245" s="11" t="n"/>
      <c r="H245" s="11" t="n"/>
      <c r="I245" s="12">
        <f>IF(F245="","",IFERROR(INDEX(DAFTAR_FIXTURE!$B$2:$B$51,MATCH(F245,DAFTAR_FIXTURE!$A$2:$A$51,0)),""))</f>
        <v/>
      </c>
      <c r="J245" s="12">
        <f>IF(A245="","","https://cdn.ruparupa.io/fit-in/850x850/ruparupa-com/image/upload/Products/"&amp;A245&amp;"_1.jpg")</f>
        <v/>
      </c>
      <c r="K245" s="12">
        <f>IF(OR(I245="",G245=""),"",IFERROR(INDEX(LAYOUT!$D$2:$D$34,MATCH(I245&amp;"|"&amp;G245,LAYOUT!$E$2:$E$34,0)),"zona tidak ada di layout"))</f>
        <v/>
      </c>
      <c r="L245" s="12">
        <f>IF(OR(F245="",A245=""),"",COUNTIFS($F$2:$F$500,F245,$G$2:$G$500,G245,$A$2:$A$500,"&lt;&gt;"))</f>
        <v/>
      </c>
      <c r="M245" s="12">
        <f>IF(AND(A245="",F245=""),"",IF(F245="","Belum ditempatkan",IF(I245="","CEK ID FIXTURE tidak ada di DAFTAR_FIXTURE",IF(G245="","CEK ZONA NO kosong",IF(K245="zona tidak ada di layout","CEK ZONA NO di luar layout",IF(H245&lt;&gt;K245,"CEK JENIS ZONA",IF(A245="","Zona kosong",IF(B245="","CEK SKU DESCRIPTION kosong","OK"))))))))</f>
        <v/>
      </c>
    </row>
    <row r="246">
      <c r="A246" s="10" t="n"/>
      <c r="B246" s="11" t="n"/>
      <c r="C246" s="11" t="n"/>
      <c r="D246" s="11" t="n"/>
      <c r="E246" s="11" t="n"/>
      <c r="F246" s="11" t="n"/>
      <c r="G246" s="11" t="n"/>
      <c r="H246" s="11" t="n"/>
      <c r="I246" s="12">
        <f>IF(F246="","",IFERROR(INDEX(DAFTAR_FIXTURE!$B$2:$B$51,MATCH(F246,DAFTAR_FIXTURE!$A$2:$A$51,0)),""))</f>
        <v/>
      </c>
      <c r="J246" s="12">
        <f>IF(A246="","","https://cdn.ruparupa.io/fit-in/850x850/ruparupa-com/image/upload/Products/"&amp;A246&amp;"_1.jpg")</f>
        <v/>
      </c>
      <c r="K246" s="12">
        <f>IF(OR(I246="",G246=""),"",IFERROR(INDEX(LAYOUT!$D$2:$D$34,MATCH(I246&amp;"|"&amp;G246,LAYOUT!$E$2:$E$34,0)),"zona tidak ada di layout"))</f>
        <v/>
      </c>
      <c r="L246" s="12">
        <f>IF(OR(F246="",A246=""),"",COUNTIFS($F$2:$F$500,F246,$G$2:$G$500,G246,$A$2:$A$500,"&lt;&gt;"))</f>
        <v/>
      </c>
      <c r="M246" s="12">
        <f>IF(AND(A246="",F246=""),"",IF(F246="","Belum ditempatkan",IF(I246="","CEK ID FIXTURE tidak ada di DAFTAR_FIXTURE",IF(G246="","CEK ZONA NO kosong",IF(K246="zona tidak ada di layout","CEK ZONA NO di luar layout",IF(H246&lt;&gt;K246,"CEK JENIS ZONA",IF(A246="","Zona kosong",IF(B246="","CEK SKU DESCRIPTION kosong","OK"))))))))</f>
        <v/>
      </c>
    </row>
    <row r="247">
      <c r="A247" s="10" t="n"/>
      <c r="B247" s="11" t="n"/>
      <c r="C247" s="11" t="n"/>
      <c r="D247" s="11" t="n"/>
      <c r="E247" s="11" t="n"/>
      <c r="F247" s="11" t="n"/>
      <c r="G247" s="11" t="n"/>
      <c r="H247" s="11" t="n"/>
      <c r="I247" s="12">
        <f>IF(F247="","",IFERROR(INDEX(DAFTAR_FIXTURE!$B$2:$B$51,MATCH(F247,DAFTAR_FIXTURE!$A$2:$A$51,0)),""))</f>
        <v/>
      </c>
      <c r="J247" s="12">
        <f>IF(A247="","","https://cdn.ruparupa.io/fit-in/850x850/ruparupa-com/image/upload/Products/"&amp;A247&amp;"_1.jpg")</f>
        <v/>
      </c>
      <c r="K247" s="12">
        <f>IF(OR(I247="",G247=""),"",IFERROR(INDEX(LAYOUT!$D$2:$D$34,MATCH(I247&amp;"|"&amp;G247,LAYOUT!$E$2:$E$34,0)),"zona tidak ada di layout"))</f>
        <v/>
      </c>
      <c r="L247" s="12">
        <f>IF(OR(F247="",A247=""),"",COUNTIFS($F$2:$F$500,F247,$G$2:$G$500,G247,$A$2:$A$500,"&lt;&gt;"))</f>
        <v/>
      </c>
      <c r="M247" s="12">
        <f>IF(AND(A247="",F247=""),"",IF(F247="","Belum ditempatkan",IF(I247="","CEK ID FIXTURE tidak ada di DAFTAR_FIXTURE",IF(G247="","CEK ZONA NO kosong",IF(K247="zona tidak ada di layout","CEK ZONA NO di luar layout",IF(H247&lt;&gt;K247,"CEK JENIS ZONA",IF(A247="","Zona kosong",IF(B247="","CEK SKU DESCRIPTION kosong","OK"))))))))</f>
        <v/>
      </c>
    </row>
    <row r="248">
      <c r="A248" s="10" t="n"/>
      <c r="B248" s="11" t="n"/>
      <c r="C248" s="11" t="n"/>
      <c r="D248" s="11" t="n"/>
      <c r="E248" s="11" t="n"/>
      <c r="F248" s="11" t="n"/>
      <c r="G248" s="11" t="n"/>
      <c r="H248" s="11" t="n"/>
      <c r="I248" s="12">
        <f>IF(F248="","",IFERROR(INDEX(DAFTAR_FIXTURE!$B$2:$B$51,MATCH(F248,DAFTAR_FIXTURE!$A$2:$A$51,0)),""))</f>
        <v/>
      </c>
      <c r="J248" s="12">
        <f>IF(A248="","","https://cdn.ruparupa.io/fit-in/850x850/ruparupa-com/image/upload/Products/"&amp;A248&amp;"_1.jpg")</f>
        <v/>
      </c>
      <c r="K248" s="12">
        <f>IF(OR(I248="",G248=""),"",IFERROR(INDEX(LAYOUT!$D$2:$D$34,MATCH(I248&amp;"|"&amp;G248,LAYOUT!$E$2:$E$34,0)),"zona tidak ada di layout"))</f>
        <v/>
      </c>
      <c r="L248" s="12">
        <f>IF(OR(F248="",A248=""),"",COUNTIFS($F$2:$F$500,F248,$G$2:$G$500,G248,$A$2:$A$500,"&lt;&gt;"))</f>
        <v/>
      </c>
      <c r="M248" s="12">
        <f>IF(AND(A248="",F248=""),"",IF(F248="","Belum ditempatkan",IF(I248="","CEK ID FIXTURE tidak ada di DAFTAR_FIXTURE",IF(G248="","CEK ZONA NO kosong",IF(K248="zona tidak ada di layout","CEK ZONA NO di luar layout",IF(H248&lt;&gt;K248,"CEK JENIS ZONA",IF(A248="","Zona kosong",IF(B248="","CEK SKU DESCRIPTION kosong","OK"))))))))</f>
        <v/>
      </c>
    </row>
    <row r="249">
      <c r="A249" s="10" t="n"/>
      <c r="B249" s="11" t="n"/>
      <c r="C249" s="11" t="n"/>
      <c r="D249" s="11" t="n"/>
      <c r="E249" s="11" t="n"/>
      <c r="F249" s="11" t="n"/>
      <c r="G249" s="11" t="n"/>
      <c r="H249" s="11" t="n"/>
      <c r="I249" s="12">
        <f>IF(F249="","",IFERROR(INDEX(DAFTAR_FIXTURE!$B$2:$B$51,MATCH(F249,DAFTAR_FIXTURE!$A$2:$A$51,0)),""))</f>
        <v/>
      </c>
      <c r="J249" s="12">
        <f>IF(A249="","","https://cdn.ruparupa.io/fit-in/850x850/ruparupa-com/image/upload/Products/"&amp;A249&amp;"_1.jpg")</f>
        <v/>
      </c>
      <c r="K249" s="12">
        <f>IF(OR(I249="",G249=""),"",IFERROR(INDEX(LAYOUT!$D$2:$D$34,MATCH(I249&amp;"|"&amp;G249,LAYOUT!$E$2:$E$34,0)),"zona tidak ada di layout"))</f>
        <v/>
      </c>
      <c r="L249" s="12">
        <f>IF(OR(F249="",A249=""),"",COUNTIFS($F$2:$F$500,F249,$G$2:$G$500,G249,$A$2:$A$500,"&lt;&gt;"))</f>
        <v/>
      </c>
      <c r="M249" s="12">
        <f>IF(AND(A249="",F249=""),"",IF(F249="","Belum ditempatkan",IF(I249="","CEK ID FIXTURE tidak ada di DAFTAR_FIXTURE",IF(G249="","CEK ZONA NO kosong",IF(K249="zona tidak ada di layout","CEK ZONA NO di luar layout",IF(H249&lt;&gt;K249,"CEK JENIS ZONA",IF(A249="","Zona kosong",IF(B249="","CEK SKU DESCRIPTION kosong","OK"))))))))</f>
        <v/>
      </c>
    </row>
    <row r="250">
      <c r="A250" s="10" t="n"/>
      <c r="B250" s="11" t="n"/>
      <c r="C250" s="11" t="n"/>
      <c r="D250" s="11" t="n"/>
      <c r="E250" s="11" t="n"/>
      <c r="F250" s="11" t="n"/>
      <c r="G250" s="11" t="n"/>
      <c r="H250" s="11" t="n"/>
      <c r="I250" s="12">
        <f>IF(F250="","",IFERROR(INDEX(DAFTAR_FIXTURE!$B$2:$B$51,MATCH(F250,DAFTAR_FIXTURE!$A$2:$A$51,0)),""))</f>
        <v/>
      </c>
      <c r="J250" s="12">
        <f>IF(A250="","","https://cdn.ruparupa.io/fit-in/850x850/ruparupa-com/image/upload/Products/"&amp;A250&amp;"_1.jpg")</f>
        <v/>
      </c>
      <c r="K250" s="12">
        <f>IF(OR(I250="",G250=""),"",IFERROR(INDEX(LAYOUT!$D$2:$D$34,MATCH(I250&amp;"|"&amp;G250,LAYOUT!$E$2:$E$34,0)),"zona tidak ada di layout"))</f>
        <v/>
      </c>
      <c r="L250" s="12">
        <f>IF(OR(F250="",A250=""),"",COUNTIFS($F$2:$F$500,F250,$G$2:$G$500,G250,$A$2:$A$500,"&lt;&gt;"))</f>
        <v/>
      </c>
      <c r="M250" s="12">
        <f>IF(AND(A250="",F250=""),"",IF(F250="","Belum ditempatkan",IF(I250="","CEK ID FIXTURE tidak ada di DAFTAR_FIXTURE",IF(G250="","CEK ZONA NO kosong",IF(K250="zona tidak ada di layout","CEK ZONA NO di luar layout",IF(H250&lt;&gt;K250,"CEK JENIS ZONA",IF(A250="","Zona kosong",IF(B250="","CEK SKU DESCRIPTION kosong","OK"))))))))</f>
        <v/>
      </c>
    </row>
    <row r="251">
      <c r="A251" s="10" t="n"/>
      <c r="B251" s="11" t="n"/>
      <c r="C251" s="11" t="n"/>
      <c r="D251" s="11" t="n"/>
      <c r="E251" s="11" t="n"/>
      <c r="F251" s="11" t="n"/>
      <c r="G251" s="11" t="n"/>
      <c r="H251" s="11" t="n"/>
      <c r="I251" s="12">
        <f>IF(F251="","",IFERROR(INDEX(DAFTAR_FIXTURE!$B$2:$B$51,MATCH(F251,DAFTAR_FIXTURE!$A$2:$A$51,0)),""))</f>
        <v/>
      </c>
      <c r="J251" s="12">
        <f>IF(A251="","","https://cdn.ruparupa.io/fit-in/850x850/ruparupa-com/image/upload/Products/"&amp;A251&amp;"_1.jpg")</f>
        <v/>
      </c>
      <c r="K251" s="12">
        <f>IF(OR(I251="",G251=""),"",IFERROR(INDEX(LAYOUT!$D$2:$D$34,MATCH(I251&amp;"|"&amp;G251,LAYOUT!$E$2:$E$34,0)),"zona tidak ada di layout"))</f>
        <v/>
      </c>
      <c r="L251" s="12">
        <f>IF(OR(F251="",A251=""),"",COUNTIFS($F$2:$F$500,F251,$G$2:$G$500,G251,$A$2:$A$500,"&lt;&gt;"))</f>
        <v/>
      </c>
      <c r="M251" s="12">
        <f>IF(AND(A251="",F251=""),"",IF(F251="","Belum ditempatkan",IF(I251="","CEK ID FIXTURE tidak ada di DAFTAR_FIXTURE",IF(G251="","CEK ZONA NO kosong",IF(K251="zona tidak ada di layout","CEK ZONA NO di luar layout",IF(H251&lt;&gt;K251,"CEK JENIS ZONA",IF(A251="","Zona kosong",IF(B251="","CEK SKU DESCRIPTION kosong","OK"))))))))</f>
        <v/>
      </c>
    </row>
    <row r="252">
      <c r="A252" s="10" t="n"/>
      <c r="B252" s="11" t="n"/>
      <c r="C252" s="11" t="n"/>
      <c r="D252" s="11" t="n"/>
      <c r="E252" s="11" t="n"/>
      <c r="F252" s="11" t="n"/>
      <c r="G252" s="11" t="n"/>
      <c r="H252" s="11" t="n"/>
      <c r="I252" s="12">
        <f>IF(F252="","",IFERROR(INDEX(DAFTAR_FIXTURE!$B$2:$B$51,MATCH(F252,DAFTAR_FIXTURE!$A$2:$A$51,0)),""))</f>
        <v/>
      </c>
      <c r="J252" s="12">
        <f>IF(A252="","","https://cdn.ruparupa.io/fit-in/850x850/ruparupa-com/image/upload/Products/"&amp;A252&amp;"_1.jpg")</f>
        <v/>
      </c>
      <c r="K252" s="12">
        <f>IF(OR(I252="",G252=""),"",IFERROR(INDEX(LAYOUT!$D$2:$D$34,MATCH(I252&amp;"|"&amp;G252,LAYOUT!$E$2:$E$34,0)),"zona tidak ada di layout"))</f>
        <v/>
      </c>
      <c r="L252" s="12">
        <f>IF(OR(F252="",A252=""),"",COUNTIFS($F$2:$F$500,F252,$G$2:$G$500,G252,$A$2:$A$500,"&lt;&gt;"))</f>
        <v/>
      </c>
      <c r="M252" s="12">
        <f>IF(AND(A252="",F252=""),"",IF(F252="","Belum ditempatkan",IF(I252="","CEK ID FIXTURE tidak ada di DAFTAR_FIXTURE",IF(G252="","CEK ZONA NO kosong",IF(K252="zona tidak ada di layout","CEK ZONA NO di luar layout",IF(H252&lt;&gt;K252,"CEK JENIS ZONA",IF(A252="","Zona kosong",IF(B252="","CEK SKU DESCRIPTION kosong","OK"))))))))</f>
        <v/>
      </c>
    </row>
    <row r="253">
      <c r="A253" s="10" t="n"/>
      <c r="B253" s="11" t="n"/>
      <c r="C253" s="11" t="n"/>
      <c r="D253" s="11" t="n"/>
      <c r="E253" s="11" t="n"/>
      <c r="F253" s="11" t="n"/>
      <c r="G253" s="11" t="n"/>
      <c r="H253" s="11" t="n"/>
      <c r="I253" s="12">
        <f>IF(F253="","",IFERROR(INDEX(DAFTAR_FIXTURE!$B$2:$B$51,MATCH(F253,DAFTAR_FIXTURE!$A$2:$A$51,0)),""))</f>
        <v/>
      </c>
      <c r="J253" s="12">
        <f>IF(A253="","","https://cdn.ruparupa.io/fit-in/850x850/ruparupa-com/image/upload/Products/"&amp;A253&amp;"_1.jpg")</f>
        <v/>
      </c>
      <c r="K253" s="12">
        <f>IF(OR(I253="",G253=""),"",IFERROR(INDEX(LAYOUT!$D$2:$D$34,MATCH(I253&amp;"|"&amp;G253,LAYOUT!$E$2:$E$34,0)),"zona tidak ada di layout"))</f>
        <v/>
      </c>
      <c r="L253" s="12">
        <f>IF(OR(F253="",A253=""),"",COUNTIFS($F$2:$F$500,F253,$G$2:$G$500,G253,$A$2:$A$500,"&lt;&gt;"))</f>
        <v/>
      </c>
      <c r="M253" s="12">
        <f>IF(AND(A253="",F253=""),"",IF(F253="","Belum ditempatkan",IF(I253="","CEK ID FIXTURE tidak ada di DAFTAR_FIXTURE",IF(G253="","CEK ZONA NO kosong",IF(K253="zona tidak ada di layout","CEK ZONA NO di luar layout",IF(H253&lt;&gt;K253,"CEK JENIS ZONA",IF(A253="","Zona kosong",IF(B253="","CEK SKU DESCRIPTION kosong","OK"))))))))</f>
        <v/>
      </c>
    </row>
    <row r="254">
      <c r="A254" s="10" t="n"/>
      <c r="B254" s="11" t="n"/>
      <c r="C254" s="11" t="n"/>
      <c r="D254" s="11" t="n"/>
      <c r="E254" s="11" t="n"/>
      <c r="F254" s="11" t="n"/>
      <c r="G254" s="11" t="n"/>
      <c r="H254" s="11" t="n"/>
      <c r="I254" s="12">
        <f>IF(F254="","",IFERROR(INDEX(DAFTAR_FIXTURE!$B$2:$B$51,MATCH(F254,DAFTAR_FIXTURE!$A$2:$A$51,0)),""))</f>
        <v/>
      </c>
      <c r="J254" s="12">
        <f>IF(A254="","","https://cdn.ruparupa.io/fit-in/850x850/ruparupa-com/image/upload/Products/"&amp;A254&amp;"_1.jpg")</f>
        <v/>
      </c>
      <c r="K254" s="12">
        <f>IF(OR(I254="",G254=""),"",IFERROR(INDEX(LAYOUT!$D$2:$D$34,MATCH(I254&amp;"|"&amp;G254,LAYOUT!$E$2:$E$34,0)),"zona tidak ada di layout"))</f>
        <v/>
      </c>
      <c r="L254" s="12">
        <f>IF(OR(F254="",A254=""),"",COUNTIFS($F$2:$F$500,F254,$G$2:$G$500,G254,$A$2:$A$500,"&lt;&gt;"))</f>
        <v/>
      </c>
      <c r="M254" s="12">
        <f>IF(AND(A254="",F254=""),"",IF(F254="","Belum ditempatkan",IF(I254="","CEK ID FIXTURE tidak ada di DAFTAR_FIXTURE",IF(G254="","CEK ZONA NO kosong",IF(K254="zona tidak ada di layout","CEK ZONA NO di luar layout",IF(H254&lt;&gt;K254,"CEK JENIS ZONA",IF(A254="","Zona kosong",IF(B254="","CEK SKU DESCRIPTION kosong","OK"))))))))</f>
        <v/>
      </c>
    </row>
    <row r="255">
      <c r="A255" s="10" t="n"/>
      <c r="B255" s="11" t="n"/>
      <c r="C255" s="11" t="n"/>
      <c r="D255" s="11" t="n"/>
      <c r="E255" s="11" t="n"/>
      <c r="F255" s="11" t="n"/>
      <c r="G255" s="11" t="n"/>
      <c r="H255" s="11" t="n"/>
      <c r="I255" s="12">
        <f>IF(F255="","",IFERROR(INDEX(DAFTAR_FIXTURE!$B$2:$B$51,MATCH(F255,DAFTAR_FIXTURE!$A$2:$A$51,0)),""))</f>
        <v/>
      </c>
      <c r="J255" s="12">
        <f>IF(A255="","","https://cdn.ruparupa.io/fit-in/850x850/ruparupa-com/image/upload/Products/"&amp;A255&amp;"_1.jpg")</f>
        <v/>
      </c>
      <c r="K255" s="12">
        <f>IF(OR(I255="",G255=""),"",IFERROR(INDEX(LAYOUT!$D$2:$D$34,MATCH(I255&amp;"|"&amp;G255,LAYOUT!$E$2:$E$34,0)),"zona tidak ada di layout"))</f>
        <v/>
      </c>
      <c r="L255" s="12">
        <f>IF(OR(F255="",A255=""),"",COUNTIFS($F$2:$F$500,F255,$G$2:$G$500,G255,$A$2:$A$500,"&lt;&gt;"))</f>
        <v/>
      </c>
      <c r="M255" s="12">
        <f>IF(AND(A255="",F255=""),"",IF(F255="","Belum ditempatkan",IF(I255="","CEK ID FIXTURE tidak ada di DAFTAR_FIXTURE",IF(G255="","CEK ZONA NO kosong",IF(K255="zona tidak ada di layout","CEK ZONA NO di luar layout",IF(H255&lt;&gt;K255,"CEK JENIS ZONA",IF(A255="","Zona kosong",IF(B255="","CEK SKU DESCRIPTION kosong","OK"))))))))</f>
        <v/>
      </c>
    </row>
    <row r="256">
      <c r="A256" s="10" t="n"/>
      <c r="B256" s="11" t="n"/>
      <c r="C256" s="11" t="n"/>
      <c r="D256" s="11" t="n"/>
      <c r="E256" s="11" t="n"/>
      <c r="F256" s="11" t="n"/>
      <c r="G256" s="11" t="n"/>
      <c r="H256" s="11" t="n"/>
      <c r="I256" s="12">
        <f>IF(F256="","",IFERROR(INDEX(DAFTAR_FIXTURE!$B$2:$B$51,MATCH(F256,DAFTAR_FIXTURE!$A$2:$A$51,0)),""))</f>
        <v/>
      </c>
      <c r="J256" s="12">
        <f>IF(A256="","","https://cdn.ruparupa.io/fit-in/850x850/ruparupa-com/image/upload/Products/"&amp;A256&amp;"_1.jpg")</f>
        <v/>
      </c>
      <c r="K256" s="12">
        <f>IF(OR(I256="",G256=""),"",IFERROR(INDEX(LAYOUT!$D$2:$D$34,MATCH(I256&amp;"|"&amp;G256,LAYOUT!$E$2:$E$34,0)),"zona tidak ada di layout"))</f>
        <v/>
      </c>
      <c r="L256" s="12">
        <f>IF(OR(F256="",A256=""),"",COUNTIFS($F$2:$F$500,F256,$G$2:$G$500,G256,$A$2:$A$500,"&lt;&gt;"))</f>
        <v/>
      </c>
      <c r="M256" s="12">
        <f>IF(AND(A256="",F256=""),"",IF(F256="","Belum ditempatkan",IF(I256="","CEK ID FIXTURE tidak ada di DAFTAR_FIXTURE",IF(G256="","CEK ZONA NO kosong",IF(K256="zona tidak ada di layout","CEK ZONA NO di luar layout",IF(H256&lt;&gt;K256,"CEK JENIS ZONA",IF(A256="","Zona kosong",IF(B256="","CEK SKU DESCRIPTION kosong","OK"))))))))</f>
        <v/>
      </c>
    </row>
    <row r="257">
      <c r="A257" s="10" t="n"/>
      <c r="B257" s="11" t="n"/>
      <c r="C257" s="11" t="n"/>
      <c r="D257" s="11" t="n"/>
      <c r="E257" s="11" t="n"/>
      <c r="F257" s="11" t="n"/>
      <c r="G257" s="11" t="n"/>
      <c r="H257" s="11" t="n"/>
      <c r="I257" s="12">
        <f>IF(F257="","",IFERROR(INDEX(DAFTAR_FIXTURE!$B$2:$B$51,MATCH(F257,DAFTAR_FIXTURE!$A$2:$A$51,0)),""))</f>
        <v/>
      </c>
      <c r="J257" s="12">
        <f>IF(A257="","","https://cdn.ruparupa.io/fit-in/850x850/ruparupa-com/image/upload/Products/"&amp;A257&amp;"_1.jpg")</f>
        <v/>
      </c>
      <c r="K257" s="12">
        <f>IF(OR(I257="",G257=""),"",IFERROR(INDEX(LAYOUT!$D$2:$D$34,MATCH(I257&amp;"|"&amp;G257,LAYOUT!$E$2:$E$34,0)),"zona tidak ada di layout"))</f>
        <v/>
      </c>
      <c r="L257" s="12">
        <f>IF(OR(F257="",A257=""),"",COUNTIFS($F$2:$F$500,F257,$G$2:$G$500,G257,$A$2:$A$500,"&lt;&gt;"))</f>
        <v/>
      </c>
      <c r="M257" s="12">
        <f>IF(AND(A257="",F257=""),"",IF(F257="","Belum ditempatkan",IF(I257="","CEK ID FIXTURE tidak ada di DAFTAR_FIXTURE",IF(G257="","CEK ZONA NO kosong",IF(K257="zona tidak ada di layout","CEK ZONA NO di luar layout",IF(H257&lt;&gt;K257,"CEK JENIS ZONA",IF(A257="","Zona kosong",IF(B257="","CEK SKU DESCRIPTION kosong","OK"))))))))</f>
        <v/>
      </c>
    </row>
    <row r="258">
      <c r="A258" s="10" t="n"/>
      <c r="B258" s="11" t="n"/>
      <c r="C258" s="11" t="n"/>
      <c r="D258" s="11" t="n"/>
      <c r="E258" s="11" t="n"/>
      <c r="F258" s="11" t="n"/>
      <c r="G258" s="11" t="n"/>
      <c r="H258" s="11" t="n"/>
      <c r="I258" s="12">
        <f>IF(F258="","",IFERROR(INDEX(DAFTAR_FIXTURE!$B$2:$B$51,MATCH(F258,DAFTAR_FIXTURE!$A$2:$A$51,0)),""))</f>
        <v/>
      </c>
      <c r="J258" s="12">
        <f>IF(A258="","","https://cdn.ruparupa.io/fit-in/850x850/ruparupa-com/image/upload/Products/"&amp;A258&amp;"_1.jpg")</f>
        <v/>
      </c>
      <c r="K258" s="12">
        <f>IF(OR(I258="",G258=""),"",IFERROR(INDEX(LAYOUT!$D$2:$D$34,MATCH(I258&amp;"|"&amp;G258,LAYOUT!$E$2:$E$34,0)),"zona tidak ada di layout"))</f>
        <v/>
      </c>
      <c r="L258" s="12">
        <f>IF(OR(F258="",A258=""),"",COUNTIFS($F$2:$F$500,F258,$G$2:$G$500,G258,$A$2:$A$500,"&lt;&gt;"))</f>
        <v/>
      </c>
      <c r="M258" s="12">
        <f>IF(AND(A258="",F258=""),"",IF(F258="","Belum ditempatkan",IF(I258="","CEK ID FIXTURE tidak ada di DAFTAR_FIXTURE",IF(G258="","CEK ZONA NO kosong",IF(K258="zona tidak ada di layout","CEK ZONA NO di luar layout",IF(H258&lt;&gt;K258,"CEK JENIS ZONA",IF(A258="","Zona kosong",IF(B258="","CEK SKU DESCRIPTION kosong","OK"))))))))</f>
        <v/>
      </c>
    </row>
    <row r="259">
      <c r="A259" s="10" t="n"/>
      <c r="B259" s="11" t="n"/>
      <c r="C259" s="11" t="n"/>
      <c r="D259" s="11" t="n"/>
      <c r="E259" s="11" t="n"/>
      <c r="F259" s="11" t="n"/>
      <c r="G259" s="11" t="n"/>
      <c r="H259" s="11" t="n"/>
      <c r="I259" s="12">
        <f>IF(F259="","",IFERROR(INDEX(DAFTAR_FIXTURE!$B$2:$B$51,MATCH(F259,DAFTAR_FIXTURE!$A$2:$A$51,0)),""))</f>
        <v/>
      </c>
      <c r="J259" s="12">
        <f>IF(A259="","","https://cdn.ruparupa.io/fit-in/850x850/ruparupa-com/image/upload/Products/"&amp;A259&amp;"_1.jpg")</f>
        <v/>
      </c>
      <c r="K259" s="12">
        <f>IF(OR(I259="",G259=""),"",IFERROR(INDEX(LAYOUT!$D$2:$D$34,MATCH(I259&amp;"|"&amp;G259,LAYOUT!$E$2:$E$34,0)),"zona tidak ada di layout"))</f>
        <v/>
      </c>
      <c r="L259" s="12">
        <f>IF(OR(F259="",A259=""),"",COUNTIFS($F$2:$F$500,F259,$G$2:$G$500,G259,$A$2:$A$500,"&lt;&gt;"))</f>
        <v/>
      </c>
      <c r="M259" s="12">
        <f>IF(AND(A259="",F259=""),"",IF(F259="","Belum ditempatkan",IF(I259="","CEK ID FIXTURE tidak ada di DAFTAR_FIXTURE",IF(G259="","CEK ZONA NO kosong",IF(K259="zona tidak ada di layout","CEK ZONA NO di luar layout",IF(H259&lt;&gt;K259,"CEK JENIS ZONA",IF(A259="","Zona kosong",IF(B259="","CEK SKU DESCRIPTION kosong","OK"))))))))</f>
        <v/>
      </c>
    </row>
    <row r="260">
      <c r="A260" s="10" t="n"/>
      <c r="B260" s="11" t="n"/>
      <c r="C260" s="11" t="n"/>
      <c r="D260" s="11" t="n"/>
      <c r="E260" s="11" t="n"/>
      <c r="F260" s="11" t="n"/>
      <c r="G260" s="11" t="n"/>
      <c r="H260" s="11" t="n"/>
      <c r="I260" s="12">
        <f>IF(F260="","",IFERROR(INDEX(DAFTAR_FIXTURE!$B$2:$B$51,MATCH(F260,DAFTAR_FIXTURE!$A$2:$A$51,0)),""))</f>
        <v/>
      </c>
      <c r="J260" s="12">
        <f>IF(A260="","","https://cdn.ruparupa.io/fit-in/850x850/ruparupa-com/image/upload/Products/"&amp;A260&amp;"_1.jpg")</f>
        <v/>
      </c>
      <c r="K260" s="12">
        <f>IF(OR(I260="",G260=""),"",IFERROR(INDEX(LAYOUT!$D$2:$D$34,MATCH(I260&amp;"|"&amp;G260,LAYOUT!$E$2:$E$34,0)),"zona tidak ada di layout"))</f>
        <v/>
      </c>
      <c r="L260" s="12">
        <f>IF(OR(F260="",A260=""),"",COUNTIFS($F$2:$F$500,F260,$G$2:$G$500,G260,$A$2:$A$500,"&lt;&gt;"))</f>
        <v/>
      </c>
      <c r="M260" s="12">
        <f>IF(AND(A260="",F260=""),"",IF(F260="","Belum ditempatkan",IF(I260="","CEK ID FIXTURE tidak ada di DAFTAR_FIXTURE",IF(G260="","CEK ZONA NO kosong",IF(K260="zona tidak ada di layout","CEK ZONA NO di luar layout",IF(H260&lt;&gt;K260,"CEK JENIS ZONA",IF(A260="","Zona kosong",IF(B260="","CEK SKU DESCRIPTION kosong","OK"))))))))</f>
        <v/>
      </c>
    </row>
    <row r="261">
      <c r="A261" s="10" t="n"/>
      <c r="B261" s="11" t="n"/>
      <c r="C261" s="11" t="n"/>
      <c r="D261" s="11" t="n"/>
      <c r="E261" s="11" t="n"/>
      <c r="F261" s="11" t="n"/>
      <c r="G261" s="11" t="n"/>
      <c r="H261" s="11" t="n"/>
      <c r="I261" s="12">
        <f>IF(F261="","",IFERROR(INDEX(DAFTAR_FIXTURE!$B$2:$B$51,MATCH(F261,DAFTAR_FIXTURE!$A$2:$A$51,0)),""))</f>
        <v/>
      </c>
      <c r="J261" s="12">
        <f>IF(A261="","","https://cdn.ruparupa.io/fit-in/850x850/ruparupa-com/image/upload/Products/"&amp;A261&amp;"_1.jpg")</f>
        <v/>
      </c>
      <c r="K261" s="12">
        <f>IF(OR(I261="",G261=""),"",IFERROR(INDEX(LAYOUT!$D$2:$D$34,MATCH(I261&amp;"|"&amp;G261,LAYOUT!$E$2:$E$34,0)),"zona tidak ada di layout"))</f>
        <v/>
      </c>
      <c r="L261" s="12">
        <f>IF(OR(F261="",A261=""),"",COUNTIFS($F$2:$F$500,F261,$G$2:$G$500,G261,$A$2:$A$500,"&lt;&gt;"))</f>
        <v/>
      </c>
      <c r="M261" s="12">
        <f>IF(AND(A261="",F261=""),"",IF(F261="","Belum ditempatkan",IF(I261="","CEK ID FIXTURE tidak ada di DAFTAR_FIXTURE",IF(G261="","CEK ZONA NO kosong",IF(K261="zona tidak ada di layout","CEK ZONA NO di luar layout",IF(H261&lt;&gt;K261,"CEK JENIS ZONA",IF(A261="","Zona kosong",IF(B261="","CEK SKU DESCRIPTION kosong","OK"))))))))</f>
        <v/>
      </c>
    </row>
    <row r="262">
      <c r="A262" s="10" t="n"/>
      <c r="B262" s="11" t="n"/>
      <c r="C262" s="11" t="n"/>
      <c r="D262" s="11" t="n"/>
      <c r="E262" s="11" t="n"/>
      <c r="F262" s="11" t="n"/>
      <c r="G262" s="11" t="n"/>
      <c r="H262" s="11" t="n"/>
      <c r="I262" s="12">
        <f>IF(F262="","",IFERROR(INDEX(DAFTAR_FIXTURE!$B$2:$B$51,MATCH(F262,DAFTAR_FIXTURE!$A$2:$A$51,0)),""))</f>
        <v/>
      </c>
      <c r="J262" s="12">
        <f>IF(A262="","","https://cdn.ruparupa.io/fit-in/850x850/ruparupa-com/image/upload/Products/"&amp;A262&amp;"_1.jpg")</f>
        <v/>
      </c>
      <c r="K262" s="12">
        <f>IF(OR(I262="",G262=""),"",IFERROR(INDEX(LAYOUT!$D$2:$D$34,MATCH(I262&amp;"|"&amp;G262,LAYOUT!$E$2:$E$34,0)),"zona tidak ada di layout"))</f>
        <v/>
      </c>
      <c r="L262" s="12">
        <f>IF(OR(F262="",A262=""),"",COUNTIFS($F$2:$F$500,F262,$G$2:$G$500,G262,$A$2:$A$500,"&lt;&gt;"))</f>
        <v/>
      </c>
      <c r="M262" s="12">
        <f>IF(AND(A262="",F262=""),"",IF(F262="","Belum ditempatkan",IF(I262="","CEK ID FIXTURE tidak ada di DAFTAR_FIXTURE",IF(G262="","CEK ZONA NO kosong",IF(K262="zona tidak ada di layout","CEK ZONA NO di luar layout",IF(H262&lt;&gt;K262,"CEK JENIS ZONA",IF(A262="","Zona kosong",IF(B262="","CEK SKU DESCRIPTION kosong","OK"))))))))</f>
        <v/>
      </c>
    </row>
    <row r="263">
      <c r="A263" s="10" t="n"/>
      <c r="B263" s="11" t="n"/>
      <c r="C263" s="11" t="n"/>
      <c r="D263" s="11" t="n"/>
      <c r="E263" s="11" t="n"/>
      <c r="F263" s="11" t="n"/>
      <c r="G263" s="11" t="n"/>
      <c r="H263" s="11" t="n"/>
      <c r="I263" s="12">
        <f>IF(F263="","",IFERROR(INDEX(DAFTAR_FIXTURE!$B$2:$B$51,MATCH(F263,DAFTAR_FIXTURE!$A$2:$A$51,0)),""))</f>
        <v/>
      </c>
      <c r="J263" s="12">
        <f>IF(A263="","","https://cdn.ruparupa.io/fit-in/850x850/ruparupa-com/image/upload/Products/"&amp;A263&amp;"_1.jpg")</f>
        <v/>
      </c>
      <c r="K263" s="12">
        <f>IF(OR(I263="",G263=""),"",IFERROR(INDEX(LAYOUT!$D$2:$D$34,MATCH(I263&amp;"|"&amp;G263,LAYOUT!$E$2:$E$34,0)),"zona tidak ada di layout"))</f>
        <v/>
      </c>
      <c r="L263" s="12">
        <f>IF(OR(F263="",A263=""),"",COUNTIFS($F$2:$F$500,F263,$G$2:$G$500,G263,$A$2:$A$500,"&lt;&gt;"))</f>
        <v/>
      </c>
      <c r="M263" s="12">
        <f>IF(AND(A263="",F263=""),"",IF(F263="","Belum ditempatkan",IF(I263="","CEK ID FIXTURE tidak ada di DAFTAR_FIXTURE",IF(G263="","CEK ZONA NO kosong",IF(K263="zona tidak ada di layout","CEK ZONA NO di luar layout",IF(H263&lt;&gt;K263,"CEK JENIS ZONA",IF(A263="","Zona kosong",IF(B263="","CEK SKU DESCRIPTION kosong","OK"))))))))</f>
        <v/>
      </c>
    </row>
    <row r="264">
      <c r="A264" s="10" t="n"/>
      <c r="B264" s="11" t="n"/>
      <c r="C264" s="11" t="n"/>
      <c r="D264" s="11" t="n"/>
      <c r="E264" s="11" t="n"/>
      <c r="F264" s="11" t="n"/>
      <c r="G264" s="11" t="n"/>
      <c r="H264" s="11" t="n"/>
      <c r="I264" s="12">
        <f>IF(F264="","",IFERROR(INDEX(DAFTAR_FIXTURE!$B$2:$B$51,MATCH(F264,DAFTAR_FIXTURE!$A$2:$A$51,0)),""))</f>
        <v/>
      </c>
      <c r="J264" s="12">
        <f>IF(A264="","","https://cdn.ruparupa.io/fit-in/850x850/ruparupa-com/image/upload/Products/"&amp;A264&amp;"_1.jpg")</f>
        <v/>
      </c>
      <c r="K264" s="12">
        <f>IF(OR(I264="",G264=""),"",IFERROR(INDEX(LAYOUT!$D$2:$D$34,MATCH(I264&amp;"|"&amp;G264,LAYOUT!$E$2:$E$34,0)),"zona tidak ada di layout"))</f>
        <v/>
      </c>
      <c r="L264" s="12">
        <f>IF(OR(F264="",A264=""),"",COUNTIFS($F$2:$F$500,F264,$G$2:$G$500,G264,$A$2:$A$500,"&lt;&gt;"))</f>
        <v/>
      </c>
      <c r="M264" s="12">
        <f>IF(AND(A264="",F264=""),"",IF(F264="","Belum ditempatkan",IF(I264="","CEK ID FIXTURE tidak ada di DAFTAR_FIXTURE",IF(G264="","CEK ZONA NO kosong",IF(K264="zona tidak ada di layout","CEK ZONA NO di luar layout",IF(H264&lt;&gt;K264,"CEK JENIS ZONA",IF(A264="","Zona kosong",IF(B264="","CEK SKU DESCRIPTION kosong","OK"))))))))</f>
        <v/>
      </c>
    </row>
    <row r="265">
      <c r="A265" s="10" t="n"/>
      <c r="B265" s="11" t="n"/>
      <c r="C265" s="11" t="n"/>
      <c r="D265" s="11" t="n"/>
      <c r="E265" s="11" t="n"/>
      <c r="F265" s="11" t="n"/>
      <c r="G265" s="11" t="n"/>
      <c r="H265" s="11" t="n"/>
      <c r="I265" s="12">
        <f>IF(F265="","",IFERROR(INDEX(DAFTAR_FIXTURE!$B$2:$B$51,MATCH(F265,DAFTAR_FIXTURE!$A$2:$A$51,0)),""))</f>
        <v/>
      </c>
      <c r="J265" s="12">
        <f>IF(A265="","","https://cdn.ruparupa.io/fit-in/850x850/ruparupa-com/image/upload/Products/"&amp;A265&amp;"_1.jpg")</f>
        <v/>
      </c>
      <c r="K265" s="12">
        <f>IF(OR(I265="",G265=""),"",IFERROR(INDEX(LAYOUT!$D$2:$D$34,MATCH(I265&amp;"|"&amp;G265,LAYOUT!$E$2:$E$34,0)),"zona tidak ada di layout"))</f>
        <v/>
      </c>
      <c r="L265" s="12">
        <f>IF(OR(F265="",A265=""),"",COUNTIFS($F$2:$F$500,F265,$G$2:$G$500,G265,$A$2:$A$500,"&lt;&gt;"))</f>
        <v/>
      </c>
      <c r="M265" s="12">
        <f>IF(AND(A265="",F265=""),"",IF(F265="","Belum ditempatkan",IF(I265="","CEK ID FIXTURE tidak ada di DAFTAR_FIXTURE",IF(G265="","CEK ZONA NO kosong",IF(K265="zona tidak ada di layout","CEK ZONA NO di luar layout",IF(H265&lt;&gt;K265,"CEK JENIS ZONA",IF(A265="","Zona kosong",IF(B265="","CEK SKU DESCRIPTION kosong","OK"))))))))</f>
        <v/>
      </c>
    </row>
    <row r="266">
      <c r="A266" s="10" t="n"/>
      <c r="B266" s="11" t="n"/>
      <c r="C266" s="11" t="n"/>
      <c r="D266" s="11" t="n"/>
      <c r="E266" s="11" t="n"/>
      <c r="F266" s="11" t="n"/>
      <c r="G266" s="11" t="n"/>
      <c r="H266" s="11" t="n"/>
      <c r="I266" s="12">
        <f>IF(F266="","",IFERROR(INDEX(DAFTAR_FIXTURE!$B$2:$B$51,MATCH(F266,DAFTAR_FIXTURE!$A$2:$A$51,0)),""))</f>
        <v/>
      </c>
      <c r="J266" s="12">
        <f>IF(A266="","","https://cdn.ruparupa.io/fit-in/850x850/ruparupa-com/image/upload/Products/"&amp;A266&amp;"_1.jpg")</f>
        <v/>
      </c>
      <c r="K266" s="12">
        <f>IF(OR(I266="",G266=""),"",IFERROR(INDEX(LAYOUT!$D$2:$D$34,MATCH(I266&amp;"|"&amp;G266,LAYOUT!$E$2:$E$34,0)),"zona tidak ada di layout"))</f>
        <v/>
      </c>
      <c r="L266" s="12">
        <f>IF(OR(F266="",A266=""),"",COUNTIFS($F$2:$F$500,F266,$G$2:$G$500,G266,$A$2:$A$500,"&lt;&gt;"))</f>
        <v/>
      </c>
      <c r="M266" s="12">
        <f>IF(AND(A266="",F266=""),"",IF(F266="","Belum ditempatkan",IF(I266="","CEK ID FIXTURE tidak ada di DAFTAR_FIXTURE",IF(G266="","CEK ZONA NO kosong",IF(K266="zona tidak ada di layout","CEK ZONA NO di luar layout",IF(H266&lt;&gt;K266,"CEK JENIS ZONA",IF(A266="","Zona kosong",IF(B266="","CEK SKU DESCRIPTION kosong","OK"))))))))</f>
        <v/>
      </c>
    </row>
    <row r="267">
      <c r="A267" s="10" t="n"/>
      <c r="B267" s="11" t="n"/>
      <c r="C267" s="11" t="n"/>
      <c r="D267" s="11" t="n"/>
      <c r="E267" s="11" t="n"/>
      <c r="F267" s="11" t="n"/>
      <c r="G267" s="11" t="n"/>
      <c r="H267" s="11" t="n"/>
      <c r="I267" s="12">
        <f>IF(F267="","",IFERROR(INDEX(DAFTAR_FIXTURE!$B$2:$B$51,MATCH(F267,DAFTAR_FIXTURE!$A$2:$A$51,0)),""))</f>
        <v/>
      </c>
      <c r="J267" s="12">
        <f>IF(A267="","","https://cdn.ruparupa.io/fit-in/850x850/ruparupa-com/image/upload/Products/"&amp;A267&amp;"_1.jpg")</f>
        <v/>
      </c>
      <c r="K267" s="12">
        <f>IF(OR(I267="",G267=""),"",IFERROR(INDEX(LAYOUT!$D$2:$D$34,MATCH(I267&amp;"|"&amp;G267,LAYOUT!$E$2:$E$34,0)),"zona tidak ada di layout"))</f>
        <v/>
      </c>
      <c r="L267" s="12">
        <f>IF(OR(F267="",A267=""),"",COUNTIFS($F$2:$F$500,F267,$G$2:$G$500,G267,$A$2:$A$500,"&lt;&gt;"))</f>
        <v/>
      </c>
      <c r="M267" s="12">
        <f>IF(AND(A267="",F267=""),"",IF(F267="","Belum ditempatkan",IF(I267="","CEK ID FIXTURE tidak ada di DAFTAR_FIXTURE",IF(G267="","CEK ZONA NO kosong",IF(K267="zona tidak ada di layout","CEK ZONA NO di luar layout",IF(H267&lt;&gt;K267,"CEK JENIS ZONA",IF(A267="","Zona kosong",IF(B267="","CEK SKU DESCRIPTION kosong","OK"))))))))</f>
        <v/>
      </c>
    </row>
    <row r="268">
      <c r="A268" s="10" t="n"/>
      <c r="B268" s="11" t="n"/>
      <c r="C268" s="11" t="n"/>
      <c r="D268" s="11" t="n"/>
      <c r="E268" s="11" t="n"/>
      <c r="F268" s="11" t="n"/>
      <c r="G268" s="11" t="n"/>
      <c r="H268" s="11" t="n"/>
      <c r="I268" s="12">
        <f>IF(F268="","",IFERROR(INDEX(DAFTAR_FIXTURE!$B$2:$B$51,MATCH(F268,DAFTAR_FIXTURE!$A$2:$A$51,0)),""))</f>
        <v/>
      </c>
      <c r="J268" s="12">
        <f>IF(A268="","","https://cdn.ruparupa.io/fit-in/850x850/ruparupa-com/image/upload/Products/"&amp;A268&amp;"_1.jpg")</f>
        <v/>
      </c>
      <c r="K268" s="12">
        <f>IF(OR(I268="",G268=""),"",IFERROR(INDEX(LAYOUT!$D$2:$D$34,MATCH(I268&amp;"|"&amp;G268,LAYOUT!$E$2:$E$34,0)),"zona tidak ada di layout"))</f>
        <v/>
      </c>
      <c r="L268" s="12">
        <f>IF(OR(F268="",A268=""),"",COUNTIFS($F$2:$F$500,F268,$G$2:$G$500,G268,$A$2:$A$500,"&lt;&gt;"))</f>
        <v/>
      </c>
      <c r="M268" s="12">
        <f>IF(AND(A268="",F268=""),"",IF(F268="","Belum ditempatkan",IF(I268="","CEK ID FIXTURE tidak ada di DAFTAR_FIXTURE",IF(G268="","CEK ZONA NO kosong",IF(K268="zona tidak ada di layout","CEK ZONA NO di luar layout",IF(H268&lt;&gt;K268,"CEK JENIS ZONA",IF(A268="","Zona kosong",IF(B268="","CEK SKU DESCRIPTION kosong","OK"))))))))</f>
        <v/>
      </c>
    </row>
    <row r="269">
      <c r="A269" s="10" t="n"/>
      <c r="B269" s="11" t="n"/>
      <c r="C269" s="11" t="n"/>
      <c r="D269" s="11" t="n"/>
      <c r="E269" s="11" t="n"/>
      <c r="F269" s="11" t="n"/>
      <c r="G269" s="11" t="n"/>
      <c r="H269" s="11" t="n"/>
      <c r="I269" s="12">
        <f>IF(F269="","",IFERROR(INDEX(DAFTAR_FIXTURE!$B$2:$B$51,MATCH(F269,DAFTAR_FIXTURE!$A$2:$A$51,0)),""))</f>
        <v/>
      </c>
      <c r="J269" s="12">
        <f>IF(A269="","","https://cdn.ruparupa.io/fit-in/850x850/ruparupa-com/image/upload/Products/"&amp;A269&amp;"_1.jpg")</f>
        <v/>
      </c>
      <c r="K269" s="12">
        <f>IF(OR(I269="",G269=""),"",IFERROR(INDEX(LAYOUT!$D$2:$D$34,MATCH(I269&amp;"|"&amp;G269,LAYOUT!$E$2:$E$34,0)),"zona tidak ada di layout"))</f>
        <v/>
      </c>
      <c r="L269" s="12">
        <f>IF(OR(F269="",A269=""),"",COUNTIFS($F$2:$F$500,F269,$G$2:$G$500,G269,$A$2:$A$500,"&lt;&gt;"))</f>
        <v/>
      </c>
      <c r="M269" s="12">
        <f>IF(AND(A269="",F269=""),"",IF(F269="","Belum ditempatkan",IF(I269="","CEK ID FIXTURE tidak ada di DAFTAR_FIXTURE",IF(G269="","CEK ZONA NO kosong",IF(K269="zona tidak ada di layout","CEK ZONA NO di luar layout",IF(H269&lt;&gt;K269,"CEK JENIS ZONA",IF(A269="","Zona kosong",IF(B269="","CEK SKU DESCRIPTION kosong","OK"))))))))</f>
        <v/>
      </c>
    </row>
    <row r="270">
      <c r="A270" s="10" t="n"/>
      <c r="B270" s="11" t="n"/>
      <c r="C270" s="11" t="n"/>
      <c r="D270" s="11" t="n"/>
      <c r="E270" s="11" t="n"/>
      <c r="F270" s="11" t="n"/>
      <c r="G270" s="11" t="n"/>
      <c r="H270" s="11" t="n"/>
      <c r="I270" s="12">
        <f>IF(F270="","",IFERROR(INDEX(DAFTAR_FIXTURE!$B$2:$B$51,MATCH(F270,DAFTAR_FIXTURE!$A$2:$A$51,0)),""))</f>
        <v/>
      </c>
      <c r="J270" s="12">
        <f>IF(A270="","","https://cdn.ruparupa.io/fit-in/850x850/ruparupa-com/image/upload/Products/"&amp;A270&amp;"_1.jpg")</f>
        <v/>
      </c>
      <c r="K270" s="12">
        <f>IF(OR(I270="",G270=""),"",IFERROR(INDEX(LAYOUT!$D$2:$D$34,MATCH(I270&amp;"|"&amp;G270,LAYOUT!$E$2:$E$34,0)),"zona tidak ada di layout"))</f>
        <v/>
      </c>
      <c r="L270" s="12">
        <f>IF(OR(F270="",A270=""),"",COUNTIFS($F$2:$F$500,F270,$G$2:$G$500,G270,$A$2:$A$500,"&lt;&gt;"))</f>
        <v/>
      </c>
      <c r="M270" s="12">
        <f>IF(AND(A270="",F270=""),"",IF(F270="","Belum ditempatkan",IF(I270="","CEK ID FIXTURE tidak ada di DAFTAR_FIXTURE",IF(G270="","CEK ZONA NO kosong",IF(K270="zona tidak ada di layout","CEK ZONA NO di luar layout",IF(H270&lt;&gt;K270,"CEK JENIS ZONA",IF(A270="","Zona kosong",IF(B270="","CEK SKU DESCRIPTION kosong","OK"))))))))</f>
        <v/>
      </c>
    </row>
    <row r="271">
      <c r="A271" s="10" t="n"/>
      <c r="B271" s="11" t="n"/>
      <c r="C271" s="11" t="n"/>
      <c r="D271" s="11" t="n"/>
      <c r="E271" s="11" t="n"/>
      <c r="F271" s="11" t="n"/>
      <c r="G271" s="11" t="n"/>
      <c r="H271" s="11" t="n"/>
      <c r="I271" s="12">
        <f>IF(F271="","",IFERROR(INDEX(DAFTAR_FIXTURE!$B$2:$B$51,MATCH(F271,DAFTAR_FIXTURE!$A$2:$A$51,0)),""))</f>
        <v/>
      </c>
      <c r="J271" s="12">
        <f>IF(A271="","","https://cdn.ruparupa.io/fit-in/850x850/ruparupa-com/image/upload/Products/"&amp;A271&amp;"_1.jpg")</f>
        <v/>
      </c>
      <c r="K271" s="12">
        <f>IF(OR(I271="",G271=""),"",IFERROR(INDEX(LAYOUT!$D$2:$D$34,MATCH(I271&amp;"|"&amp;G271,LAYOUT!$E$2:$E$34,0)),"zona tidak ada di layout"))</f>
        <v/>
      </c>
      <c r="L271" s="12">
        <f>IF(OR(F271="",A271=""),"",COUNTIFS($F$2:$F$500,F271,$G$2:$G$500,G271,$A$2:$A$500,"&lt;&gt;"))</f>
        <v/>
      </c>
      <c r="M271" s="12">
        <f>IF(AND(A271="",F271=""),"",IF(F271="","Belum ditempatkan",IF(I271="","CEK ID FIXTURE tidak ada di DAFTAR_FIXTURE",IF(G271="","CEK ZONA NO kosong",IF(K271="zona tidak ada di layout","CEK ZONA NO di luar layout",IF(H271&lt;&gt;K271,"CEK JENIS ZONA",IF(A271="","Zona kosong",IF(B271="","CEK SKU DESCRIPTION kosong","OK"))))))))</f>
        <v/>
      </c>
    </row>
    <row r="272">
      <c r="A272" s="10" t="n"/>
      <c r="B272" s="11" t="n"/>
      <c r="C272" s="11" t="n"/>
      <c r="D272" s="11" t="n"/>
      <c r="E272" s="11" t="n"/>
      <c r="F272" s="11" t="n"/>
      <c r="G272" s="11" t="n"/>
      <c r="H272" s="11" t="n"/>
      <c r="I272" s="12">
        <f>IF(F272="","",IFERROR(INDEX(DAFTAR_FIXTURE!$B$2:$B$51,MATCH(F272,DAFTAR_FIXTURE!$A$2:$A$51,0)),""))</f>
        <v/>
      </c>
      <c r="J272" s="12">
        <f>IF(A272="","","https://cdn.ruparupa.io/fit-in/850x850/ruparupa-com/image/upload/Products/"&amp;A272&amp;"_1.jpg")</f>
        <v/>
      </c>
      <c r="K272" s="12">
        <f>IF(OR(I272="",G272=""),"",IFERROR(INDEX(LAYOUT!$D$2:$D$34,MATCH(I272&amp;"|"&amp;G272,LAYOUT!$E$2:$E$34,0)),"zona tidak ada di layout"))</f>
        <v/>
      </c>
      <c r="L272" s="12">
        <f>IF(OR(F272="",A272=""),"",COUNTIFS($F$2:$F$500,F272,$G$2:$G$500,G272,$A$2:$A$500,"&lt;&gt;"))</f>
        <v/>
      </c>
      <c r="M272" s="12">
        <f>IF(AND(A272="",F272=""),"",IF(F272="","Belum ditempatkan",IF(I272="","CEK ID FIXTURE tidak ada di DAFTAR_FIXTURE",IF(G272="","CEK ZONA NO kosong",IF(K272="zona tidak ada di layout","CEK ZONA NO di luar layout",IF(H272&lt;&gt;K272,"CEK JENIS ZONA",IF(A272="","Zona kosong",IF(B272="","CEK SKU DESCRIPTION kosong","OK"))))))))</f>
        <v/>
      </c>
    </row>
    <row r="273">
      <c r="A273" s="10" t="n"/>
      <c r="B273" s="11" t="n"/>
      <c r="C273" s="11" t="n"/>
      <c r="D273" s="11" t="n"/>
      <c r="E273" s="11" t="n"/>
      <c r="F273" s="11" t="n"/>
      <c r="G273" s="11" t="n"/>
      <c r="H273" s="11" t="n"/>
      <c r="I273" s="12">
        <f>IF(F273="","",IFERROR(INDEX(DAFTAR_FIXTURE!$B$2:$B$51,MATCH(F273,DAFTAR_FIXTURE!$A$2:$A$51,0)),""))</f>
        <v/>
      </c>
      <c r="J273" s="12">
        <f>IF(A273="","","https://cdn.ruparupa.io/fit-in/850x850/ruparupa-com/image/upload/Products/"&amp;A273&amp;"_1.jpg")</f>
        <v/>
      </c>
      <c r="K273" s="12">
        <f>IF(OR(I273="",G273=""),"",IFERROR(INDEX(LAYOUT!$D$2:$D$34,MATCH(I273&amp;"|"&amp;G273,LAYOUT!$E$2:$E$34,0)),"zona tidak ada di layout"))</f>
        <v/>
      </c>
      <c r="L273" s="12">
        <f>IF(OR(F273="",A273=""),"",COUNTIFS($F$2:$F$500,F273,$G$2:$G$500,G273,$A$2:$A$500,"&lt;&gt;"))</f>
        <v/>
      </c>
      <c r="M273" s="12">
        <f>IF(AND(A273="",F273=""),"",IF(F273="","Belum ditempatkan",IF(I273="","CEK ID FIXTURE tidak ada di DAFTAR_FIXTURE",IF(G273="","CEK ZONA NO kosong",IF(K273="zona tidak ada di layout","CEK ZONA NO di luar layout",IF(H273&lt;&gt;K273,"CEK JENIS ZONA",IF(A273="","Zona kosong",IF(B273="","CEK SKU DESCRIPTION kosong","OK"))))))))</f>
        <v/>
      </c>
    </row>
    <row r="274">
      <c r="A274" s="10" t="n"/>
      <c r="B274" s="11" t="n"/>
      <c r="C274" s="11" t="n"/>
      <c r="D274" s="11" t="n"/>
      <c r="E274" s="11" t="n"/>
      <c r="F274" s="11" t="n"/>
      <c r="G274" s="11" t="n"/>
      <c r="H274" s="11" t="n"/>
      <c r="I274" s="12">
        <f>IF(F274="","",IFERROR(INDEX(DAFTAR_FIXTURE!$B$2:$B$51,MATCH(F274,DAFTAR_FIXTURE!$A$2:$A$51,0)),""))</f>
        <v/>
      </c>
      <c r="J274" s="12">
        <f>IF(A274="","","https://cdn.ruparupa.io/fit-in/850x850/ruparupa-com/image/upload/Products/"&amp;A274&amp;"_1.jpg")</f>
        <v/>
      </c>
      <c r="K274" s="12">
        <f>IF(OR(I274="",G274=""),"",IFERROR(INDEX(LAYOUT!$D$2:$D$34,MATCH(I274&amp;"|"&amp;G274,LAYOUT!$E$2:$E$34,0)),"zona tidak ada di layout"))</f>
        <v/>
      </c>
      <c r="L274" s="12">
        <f>IF(OR(F274="",A274=""),"",COUNTIFS($F$2:$F$500,F274,$G$2:$G$500,G274,$A$2:$A$500,"&lt;&gt;"))</f>
        <v/>
      </c>
      <c r="M274" s="12">
        <f>IF(AND(A274="",F274=""),"",IF(F274="","Belum ditempatkan",IF(I274="","CEK ID FIXTURE tidak ada di DAFTAR_FIXTURE",IF(G274="","CEK ZONA NO kosong",IF(K274="zona tidak ada di layout","CEK ZONA NO di luar layout",IF(H274&lt;&gt;K274,"CEK JENIS ZONA",IF(A274="","Zona kosong",IF(B274="","CEK SKU DESCRIPTION kosong","OK"))))))))</f>
        <v/>
      </c>
    </row>
    <row r="275">
      <c r="A275" s="10" t="n"/>
      <c r="B275" s="11" t="n"/>
      <c r="C275" s="11" t="n"/>
      <c r="D275" s="11" t="n"/>
      <c r="E275" s="11" t="n"/>
      <c r="F275" s="11" t="n"/>
      <c r="G275" s="11" t="n"/>
      <c r="H275" s="11" t="n"/>
      <c r="I275" s="12">
        <f>IF(F275="","",IFERROR(INDEX(DAFTAR_FIXTURE!$B$2:$B$51,MATCH(F275,DAFTAR_FIXTURE!$A$2:$A$51,0)),""))</f>
        <v/>
      </c>
      <c r="J275" s="12">
        <f>IF(A275="","","https://cdn.ruparupa.io/fit-in/850x850/ruparupa-com/image/upload/Products/"&amp;A275&amp;"_1.jpg")</f>
        <v/>
      </c>
      <c r="K275" s="12">
        <f>IF(OR(I275="",G275=""),"",IFERROR(INDEX(LAYOUT!$D$2:$D$34,MATCH(I275&amp;"|"&amp;G275,LAYOUT!$E$2:$E$34,0)),"zona tidak ada di layout"))</f>
        <v/>
      </c>
      <c r="L275" s="12">
        <f>IF(OR(F275="",A275=""),"",COUNTIFS($F$2:$F$500,F275,$G$2:$G$500,G275,$A$2:$A$500,"&lt;&gt;"))</f>
        <v/>
      </c>
      <c r="M275" s="12">
        <f>IF(AND(A275="",F275=""),"",IF(F275="","Belum ditempatkan",IF(I275="","CEK ID FIXTURE tidak ada di DAFTAR_FIXTURE",IF(G275="","CEK ZONA NO kosong",IF(K275="zona tidak ada di layout","CEK ZONA NO di luar layout",IF(H275&lt;&gt;K275,"CEK JENIS ZONA",IF(A275="","Zona kosong",IF(B275="","CEK SKU DESCRIPTION kosong","OK"))))))))</f>
        <v/>
      </c>
    </row>
    <row r="276">
      <c r="A276" s="10" t="n"/>
      <c r="B276" s="11" t="n"/>
      <c r="C276" s="11" t="n"/>
      <c r="D276" s="11" t="n"/>
      <c r="E276" s="11" t="n"/>
      <c r="F276" s="11" t="n"/>
      <c r="G276" s="11" t="n"/>
      <c r="H276" s="11" t="n"/>
      <c r="I276" s="12">
        <f>IF(F276="","",IFERROR(INDEX(DAFTAR_FIXTURE!$B$2:$B$51,MATCH(F276,DAFTAR_FIXTURE!$A$2:$A$51,0)),""))</f>
        <v/>
      </c>
      <c r="J276" s="12">
        <f>IF(A276="","","https://cdn.ruparupa.io/fit-in/850x850/ruparupa-com/image/upload/Products/"&amp;A276&amp;"_1.jpg")</f>
        <v/>
      </c>
      <c r="K276" s="12">
        <f>IF(OR(I276="",G276=""),"",IFERROR(INDEX(LAYOUT!$D$2:$D$34,MATCH(I276&amp;"|"&amp;G276,LAYOUT!$E$2:$E$34,0)),"zona tidak ada di layout"))</f>
        <v/>
      </c>
      <c r="L276" s="12">
        <f>IF(OR(F276="",A276=""),"",COUNTIFS($F$2:$F$500,F276,$G$2:$G$500,G276,$A$2:$A$500,"&lt;&gt;"))</f>
        <v/>
      </c>
      <c r="M276" s="12">
        <f>IF(AND(A276="",F276=""),"",IF(F276="","Belum ditempatkan",IF(I276="","CEK ID FIXTURE tidak ada di DAFTAR_FIXTURE",IF(G276="","CEK ZONA NO kosong",IF(K276="zona tidak ada di layout","CEK ZONA NO di luar layout",IF(H276&lt;&gt;K276,"CEK JENIS ZONA",IF(A276="","Zona kosong",IF(B276="","CEK SKU DESCRIPTION kosong","OK"))))))))</f>
        <v/>
      </c>
    </row>
    <row r="277">
      <c r="A277" s="10" t="n"/>
      <c r="B277" s="11" t="n"/>
      <c r="C277" s="11" t="n"/>
      <c r="D277" s="11" t="n"/>
      <c r="E277" s="11" t="n"/>
      <c r="F277" s="11" t="n"/>
      <c r="G277" s="11" t="n"/>
      <c r="H277" s="11" t="n"/>
      <c r="I277" s="12">
        <f>IF(F277="","",IFERROR(INDEX(DAFTAR_FIXTURE!$B$2:$B$51,MATCH(F277,DAFTAR_FIXTURE!$A$2:$A$51,0)),""))</f>
        <v/>
      </c>
      <c r="J277" s="12">
        <f>IF(A277="","","https://cdn.ruparupa.io/fit-in/850x850/ruparupa-com/image/upload/Products/"&amp;A277&amp;"_1.jpg")</f>
        <v/>
      </c>
      <c r="K277" s="12">
        <f>IF(OR(I277="",G277=""),"",IFERROR(INDEX(LAYOUT!$D$2:$D$34,MATCH(I277&amp;"|"&amp;G277,LAYOUT!$E$2:$E$34,0)),"zona tidak ada di layout"))</f>
        <v/>
      </c>
      <c r="L277" s="12">
        <f>IF(OR(F277="",A277=""),"",COUNTIFS($F$2:$F$500,F277,$G$2:$G$500,G277,$A$2:$A$500,"&lt;&gt;"))</f>
        <v/>
      </c>
      <c r="M277" s="12">
        <f>IF(AND(A277="",F277=""),"",IF(F277="","Belum ditempatkan",IF(I277="","CEK ID FIXTURE tidak ada di DAFTAR_FIXTURE",IF(G277="","CEK ZONA NO kosong",IF(K277="zona tidak ada di layout","CEK ZONA NO di luar layout",IF(H277&lt;&gt;K277,"CEK JENIS ZONA",IF(A277="","Zona kosong",IF(B277="","CEK SKU DESCRIPTION kosong","OK"))))))))</f>
        <v/>
      </c>
    </row>
    <row r="278">
      <c r="A278" s="10" t="n"/>
      <c r="B278" s="11" t="n"/>
      <c r="C278" s="11" t="n"/>
      <c r="D278" s="11" t="n"/>
      <c r="E278" s="11" t="n"/>
      <c r="F278" s="11" t="n"/>
      <c r="G278" s="11" t="n"/>
      <c r="H278" s="11" t="n"/>
      <c r="I278" s="12">
        <f>IF(F278="","",IFERROR(INDEX(DAFTAR_FIXTURE!$B$2:$B$51,MATCH(F278,DAFTAR_FIXTURE!$A$2:$A$51,0)),""))</f>
        <v/>
      </c>
      <c r="J278" s="12">
        <f>IF(A278="","","https://cdn.ruparupa.io/fit-in/850x850/ruparupa-com/image/upload/Products/"&amp;A278&amp;"_1.jpg")</f>
        <v/>
      </c>
      <c r="K278" s="12">
        <f>IF(OR(I278="",G278=""),"",IFERROR(INDEX(LAYOUT!$D$2:$D$34,MATCH(I278&amp;"|"&amp;G278,LAYOUT!$E$2:$E$34,0)),"zona tidak ada di layout"))</f>
        <v/>
      </c>
      <c r="L278" s="12">
        <f>IF(OR(F278="",A278=""),"",COUNTIFS($F$2:$F$500,F278,$G$2:$G$500,G278,$A$2:$A$500,"&lt;&gt;"))</f>
        <v/>
      </c>
      <c r="M278" s="12">
        <f>IF(AND(A278="",F278=""),"",IF(F278="","Belum ditempatkan",IF(I278="","CEK ID FIXTURE tidak ada di DAFTAR_FIXTURE",IF(G278="","CEK ZONA NO kosong",IF(K278="zona tidak ada di layout","CEK ZONA NO di luar layout",IF(H278&lt;&gt;K278,"CEK JENIS ZONA",IF(A278="","Zona kosong",IF(B278="","CEK SKU DESCRIPTION kosong","OK"))))))))</f>
        <v/>
      </c>
    </row>
    <row r="279">
      <c r="A279" s="10" t="n"/>
      <c r="B279" s="11" t="n"/>
      <c r="C279" s="11" t="n"/>
      <c r="D279" s="11" t="n"/>
      <c r="E279" s="11" t="n"/>
      <c r="F279" s="11" t="n"/>
      <c r="G279" s="11" t="n"/>
      <c r="H279" s="11" t="n"/>
      <c r="I279" s="12">
        <f>IF(F279="","",IFERROR(INDEX(DAFTAR_FIXTURE!$B$2:$B$51,MATCH(F279,DAFTAR_FIXTURE!$A$2:$A$51,0)),""))</f>
        <v/>
      </c>
      <c r="J279" s="12">
        <f>IF(A279="","","https://cdn.ruparupa.io/fit-in/850x850/ruparupa-com/image/upload/Products/"&amp;A279&amp;"_1.jpg")</f>
        <v/>
      </c>
      <c r="K279" s="12">
        <f>IF(OR(I279="",G279=""),"",IFERROR(INDEX(LAYOUT!$D$2:$D$34,MATCH(I279&amp;"|"&amp;G279,LAYOUT!$E$2:$E$34,0)),"zona tidak ada di layout"))</f>
        <v/>
      </c>
      <c r="L279" s="12">
        <f>IF(OR(F279="",A279=""),"",COUNTIFS($F$2:$F$500,F279,$G$2:$G$500,G279,$A$2:$A$500,"&lt;&gt;"))</f>
        <v/>
      </c>
      <c r="M279" s="12">
        <f>IF(AND(A279="",F279=""),"",IF(F279="","Belum ditempatkan",IF(I279="","CEK ID FIXTURE tidak ada di DAFTAR_FIXTURE",IF(G279="","CEK ZONA NO kosong",IF(K279="zona tidak ada di layout","CEK ZONA NO di luar layout",IF(H279&lt;&gt;K279,"CEK JENIS ZONA",IF(A279="","Zona kosong",IF(B279="","CEK SKU DESCRIPTION kosong","OK"))))))))</f>
        <v/>
      </c>
    </row>
    <row r="280">
      <c r="A280" s="10" t="n"/>
      <c r="B280" s="11" t="n"/>
      <c r="C280" s="11" t="n"/>
      <c r="D280" s="11" t="n"/>
      <c r="E280" s="11" t="n"/>
      <c r="F280" s="11" t="n"/>
      <c r="G280" s="11" t="n"/>
      <c r="H280" s="11" t="n"/>
      <c r="I280" s="12">
        <f>IF(F280="","",IFERROR(INDEX(DAFTAR_FIXTURE!$B$2:$B$51,MATCH(F280,DAFTAR_FIXTURE!$A$2:$A$51,0)),""))</f>
        <v/>
      </c>
      <c r="J280" s="12">
        <f>IF(A280="","","https://cdn.ruparupa.io/fit-in/850x850/ruparupa-com/image/upload/Products/"&amp;A280&amp;"_1.jpg")</f>
        <v/>
      </c>
      <c r="K280" s="12">
        <f>IF(OR(I280="",G280=""),"",IFERROR(INDEX(LAYOUT!$D$2:$D$34,MATCH(I280&amp;"|"&amp;G280,LAYOUT!$E$2:$E$34,0)),"zona tidak ada di layout"))</f>
        <v/>
      </c>
      <c r="L280" s="12">
        <f>IF(OR(F280="",A280=""),"",COUNTIFS($F$2:$F$500,F280,$G$2:$G$500,G280,$A$2:$A$500,"&lt;&gt;"))</f>
        <v/>
      </c>
      <c r="M280" s="12">
        <f>IF(AND(A280="",F280=""),"",IF(F280="","Belum ditempatkan",IF(I280="","CEK ID FIXTURE tidak ada di DAFTAR_FIXTURE",IF(G280="","CEK ZONA NO kosong",IF(K280="zona tidak ada di layout","CEK ZONA NO di luar layout",IF(H280&lt;&gt;K280,"CEK JENIS ZONA",IF(A280="","Zona kosong",IF(B280="","CEK SKU DESCRIPTION kosong","OK"))))))))</f>
        <v/>
      </c>
    </row>
    <row r="281">
      <c r="A281" s="10" t="n"/>
      <c r="B281" s="11" t="n"/>
      <c r="C281" s="11" t="n"/>
      <c r="D281" s="11" t="n"/>
      <c r="E281" s="11" t="n"/>
      <c r="F281" s="11" t="n"/>
      <c r="G281" s="11" t="n"/>
      <c r="H281" s="11" t="n"/>
      <c r="I281" s="12">
        <f>IF(F281="","",IFERROR(INDEX(DAFTAR_FIXTURE!$B$2:$B$51,MATCH(F281,DAFTAR_FIXTURE!$A$2:$A$51,0)),""))</f>
        <v/>
      </c>
      <c r="J281" s="12">
        <f>IF(A281="","","https://cdn.ruparupa.io/fit-in/850x850/ruparupa-com/image/upload/Products/"&amp;A281&amp;"_1.jpg")</f>
        <v/>
      </c>
      <c r="K281" s="12">
        <f>IF(OR(I281="",G281=""),"",IFERROR(INDEX(LAYOUT!$D$2:$D$34,MATCH(I281&amp;"|"&amp;G281,LAYOUT!$E$2:$E$34,0)),"zona tidak ada di layout"))</f>
        <v/>
      </c>
      <c r="L281" s="12">
        <f>IF(OR(F281="",A281=""),"",COUNTIFS($F$2:$F$500,F281,$G$2:$G$500,G281,$A$2:$A$500,"&lt;&gt;"))</f>
        <v/>
      </c>
      <c r="M281" s="12">
        <f>IF(AND(A281="",F281=""),"",IF(F281="","Belum ditempatkan",IF(I281="","CEK ID FIXTURE tidak ada di DAFTAR_FIXTURE",IF(G281="","CEK ZONA NO kosong",IF(K281="zona tidak ada di layout","CEK ZONA NO di luar layout",IF(H281&lt;&gt;K281,"CEK JENIS ZONA",IF(A281="","Zona kosong",IF(B281="","CEK SKU DESCRIPTION kosong","OK"))))))))</f>
        <v/>
      </c>
    </row>
    <row r="282">
      <c r="A282" s="10" t="n"/>
      <c r="B282" s="11" t="n"/>
      <c r="C282" s="11" t="n"/>
      <c r="D282" s="11" t="n"/>
      <c r="E282" s="11" t="n"/>
      <c r="F282" s="11" t="n"/>
      <c r="G282" s="11" t="n"/>
      <c r="H282" s="11" t="n"/>
      <c r="I282" s="12">
        <f>IF(F282="","",IFERROR(INDEX(DAFTAR_FIXTURE!$B$2:$B$51,MATCH(F282,DAFTAR_FIXTURE!$A$2:$A$51,0)),""))</f>
        <v/>
      </c>
      <c r="J282" s="12">
        <f>IF(A282="","","https://cdn.ruparupa.io/fit-in/850x850/ruparupa-com/image/upload/Products/"&amp;A282&amp;"_1.jpg")</f>
        <v/>
      </c>
      <c r="K282" s="12">
        <f>IF(OR(I282="",G282=""),"",IFERROR(INDEX(LAYOUT!$D$2:$D$34,MATCH(I282&amp;"|"&amp;G282,LAYOUT!$E$2:$E$34,0)),"zona tidak ada di layout"))</f>
        <v/>
      </c>
      <c r="L282" s="12">
        <f>IF(OR(F282="",A282=""),"",COUNTIFS($F$2:$F$500,F282,$G$2:$G$500,G282,$A$2:$A$500,"&lt;&gt;"))</f>
        <v/>
      </c>
      <c r="M282" s="12">
        <f>IF(AND(A282="",F282=""),"",IF(F282="","Belum ditempatkan",IF(I282="","CEK ID FIXTURE tidak ada di DAFTAR_FIXTURE",IF(G282="","CEK ZONA NO kosong",IF(K282="zona tidak ada di layout","CEK ZONA NO di luar layout",IF(H282&lt;&gt;K282,"CEK JENIS ZONA",IF(A282="","Zona kosong",IF(B282="","CEK SKU DESCRIPTION kosong","OK"))))))))</f>
        <v/>
      </c>
    </row>
    <row r="283">
      <c r="A283" s="10" t="n"/>
      <c r="B283" s="11" t="n"/>
      <c r="C283" s="11" t="n"/>
      <c r="D283" s="11" t="n"/>
      <c r="E283" s="11" t="n"/>
      <c r="F283" s="11" t="n"/>
      <c r="G283" s="11" t="n"/>
      <c r="H283" s="11" t="n"/>
      <c r="I283" s="12">
        <f>IF(F283="","",IFERROR(INDEX(DAFTAR_FIXTURE!$B$2:$B$51,MATCH(F283,DAFTAR_FIXTURE!$A$2:$A$51,0)),""))</f>
        <v/>
      </c>
      <c r="J283" s="12">
        <f>IF(A283="","","https://cdn.ruparupa.io/fit-in/850x850/ruparupa-com/image/upload/Products/"&amp;A283&amp;"_1.jpg")</f>
        <v/>
      </c>
      <c r="K283" s="12">
        <f>IF(OR(I283="",G283=""),"",IFERROR(INDEX(LAYOUT!$D$2:$D$34,MATCH(I283&amp;"|"&amp;G283,LAYOUT!$E$2:$E$34,0)),"zona tidak ada di layout"))</f>
        <v/>
      </c>
      <c r="L283" s="12">
        <f>IF(OR(F283="",A283=""),"",COUNTIFS($F$2:$F$500,F283,$G$2:$G$500,G283,$A$2:$A$500,"&lt;&gt;"))</f>
        <v/>
      </c>
      <c r="M283" s="12">
        <f>IF(AND(A283="",F283=""),"",IF(F283="","Belum ditempatkan",IF(I283="","CEK ID FIXTURE tidak ada di DAFTAR_FIXTURE",IF(G283="","CEK ZONA NO kosong",IF(K283="zona tidak ada di layout","CEK ZONA NO di luar layout",IF(H283&lt;&gt;K283,"CEK JENIS ZONA",IF(A283="","Zona kosong",IF(B283="","CEK SKU DESCRIPTION kosong","OK"))))))))</f>
        <v/>
      </c>
    </row>
    <row r="284">
      <c r="A284" s="10" t="n"/>
      <c r="B284" s="11" t="n"/>
      <c r="C284" s="11" t="n"/>
      <c r="D284" s="11" t="n"/>
      <c r="E284" s="11" t="n"/>
      <c r="F284" s="11" t="n"/>
      <c r="G284" s="11" t="n"/>
      <c r="H284" s="11" t="n"/>
      <c r="I284" s="12">
        <f>IF(F284="","",IFERROR(INDEX(DAFTAR_FIXTURE!$B$2:$B$51,MATCH(F284,DAFTAR_FIXTURE!$A$2:$A$51,0)),""))</f>
        <v/>
      </c>
      <c r="J284" s="12">
        <f>IF(A284="","","https://cdn.ruparupa.io/fit-in/850x850/ruparupa-com/image/upload/Products/"&amp;A284&amp;"_1.jpg")</f>
        <v/>
      </c>
      <c r="K284" s="12">
        <f>IF(OR(I284="",G284=""),"",IFERROR(INDEX(LAYOUT!$D$2:$D$34,MATCH(I284&amp;"|"&amp;G284,LAYOUT!$E$2:$E$34,0)),"zona tidak ada di layout"))</f>
        <v/>
      </c>
      <c r="L284" s="12">
        <f>IF(OR(F284="",A284=""),"",COUNTIFS($F$2:$F$500,F284,$G$2:$G$500,G284,$A$2:$A$500,"&lt;&gt;"))</f>
        <v/>
      </c>
      <c r="M284" s="12">
        <f>IF(AND(A284="",F284=""),"",IF(F284="","Belum ditempatkan",IF(I284="","CEK ID FIXTURE tidak ada di DAFTAR_FIXTURE",IF(G284="","CEK ZONA NO kosong",IF(K284="zona tidak ada di layout","CEK ZONA NO di luar layout",IF(H284&lt;&gt;K284,"CEK JENIS ZONA",IF(A284="","Zona kosong",IF(B284="","CEK SKU DESCRIPTION kosong","OK"))))))))</f>
        <v/>
      </c>
    </row>
    <row r="285">
      <c r="A285" s="10" t="n"/>
      <c r="B285" s="11" t="n"/>
      <c r="C285" s="11" t="n"/>
      <c r="D285" s="11" t="n"/>
      <c r="E285" s="11" t="n"/>
      <c r="F285" s="11" t="n"/>
      <c r="G285" s="11" t="n"/>
      <c r="H285" s="11" t="n"/>
      <c r="I285" s="12">
        <f>IF(F285="","",IFERROR(INDEX(DAFTAR_FIXTURE!$B$2:$B$51,MATCH(F285,DAFTAR_FIXTURE!$A$2:$A$51,0)),""))</f>
        <v/>
      </c>
      <c r="J285" s="12">
        <f>IF(A285="","","https://cdn.ruparupa.io/fit-in/850x850/ruparupa-com/image/upload/Products/"&amp;A285&amp;"_1.jpg")</f>
        <v/>
      </c>
      <c r="K285" s="12">
        <f>IF(OR(I285="",G285=""),"",IFERROR(INDEX(LAYOUT!$D$2:$D$34,MATCH(I285&amp;"|"&amp;G285,LAYOUT!$E$2:$E$34,0)),"zona tidak ada di layout"))</f>
        <v/>
      </c>
      <c r="L285" s="12">
        <f>IF(OR(F285="",A285=""),"",COUNTIFS($F$2:$F$500,F285,$G$2:$G$500,G285,$A$2:$A$500,"&lt;&gt;"))</f>
        <v/>
      </c>
      <c r="M285" s="12">
        <f>IF(AND(A285="",F285=""),"",IF(F285="","Belum ditempatkan",IF(I285="","CEK ID FIXTURE tidak ada di DAFTAR_FIXTURE",IF(G285="","CEK ZONA NO kosong",IF(K285="zona tidak ada di layout","CEK ZONA NO di luar layout",IF(H285&lt;&gt;K285,"CEK JENIS ZONA",IF(A285="","Zona kosong",IF(B285="","CEK SKU DESCRIPTION kosong","OK"))))))))</f>
        <v/>
      </c>
    </row>
    <row r="286">
      <c r="A286" s="10" t="n"/>
      <c r="B286" s="11" t="n"/>
      <c r="C286" s="11" t="n"/>
      <c r="D286" s="11" t="n"/>
      <c r="E286" s="11" t="n"/>
      <c r="F286" s="11" t="n"/>
      <c r="G286" s="11" t="n"/>
      <c r="H286" s="11" t="n"/>
      <c r="I286" s="12">
        <f>IF(F286="","",IFERROR(INDEX(DAFTAR_FIXTURE!$B$2:$B$51,MATCH(F286,DAFTAR_FIXTURE!$A$2:$A$51,0)),""))</f>
        <v/>
      </c>
      <c r="J286" s="12">
        <f>IF(A286="","","https://cdn.ruparupa.io/fit-in/850x850/ruparupa-com/image/upload/Products/"&amp;A286&amp;"_1.jpg")</f>
        <v/>
      </c>
      <c r="K286" s="12">
        <f>IF(OR(I286="",G286=""),"",IFERROR(INDEX(LAYOUT!$D$2:$D$34,MATCH(I286&amp;"|"&amp;G286,LAYOUT!$E$2:$E$34,0)),"zona tidak ada di layout"))</f>
        <v/>
      </c>
      <c r="L286" s="12">
        <f>IF(OR(F286="",A286=""),"",COUNTIFS($F$2:$F$500,F286,$G$2:$G$500,G286,$A$2:$A$500,"&lt;&gt;"))</f>
        <v/>
      </c>
      <c r="M286" s="12">
        <f>IF(AND(A286="",F286=""),"",IF(F286="","Belum ditempatkan",IF(I286="","CEK ID FIXTURE tidak ada di DAFTAR_FIXTURE",IF(G286="","CEK ZONA NO kosong",IF(K286="zona tidak ada di layout","CEK ZONA NO di luar layout",IF(H286&lt;&gt;K286,"CEK JENIS ZONA",IF(A286="","Zona kosong",IF(B286="","CEK SKU DESCRIPTION kosong","OK"))))))))</f>
        <v/>
      </c>
    </row>
    <row r="287">
      <c r="A287" s="10" t="n"/>
      <c r="B287" s="11" t="n"/>
      <c r="C287" s="11" t="n"/>
      <c r="D287" s="11" t="n"/>
      <c r="E287" s="11" t="n"/>
      <c r="F287" s="11" t="n"/>
      <c r="G287" s="11" t="n"/>
      <c r="H287" s="11" t="n"/>
      <c r="I287" s="12">
        <f>IF(F287="","",IFERROR(INDEX(DAFTAR_FIXTURE!$B$2:$B$51,MATCH(F287,DAFTAR_FIXTURE!$A$2:$A$51,0)),""))</f>
        <v/>
      </c>
      <c r="J287" s="12">
        <f>IF(A287="","","https://cdn.ruparupa.io/fit-in/850x850/ruparupa-com/image/upload/Products/"&amp;A287&amp;"_1.jpg")</f>
        <v/>
      </c>
      <c r="K287" s="12">
        <f>IF(OR(I287="",G287=""),"",IFERROR(INDEX(LAYOUT!$D$2:$D$34,MATCH(I287&amp;"|"&amp;G287,LAYOUT!$E$2:$E$34,0)),"zona tidak ada di layout"))</f>
        <v/>
      </c>
      <c r="L287" s="12">
        <f>IF(OR(F287="",A287=""),"",COUNTIFS($F$2:$F$500,F287,$G$2:$G$500,G287,$A$2:$A$500,"&lt;&gt;"))</f>
        <v/>
      </c>
      <c r="M287" s="12">
        <f>IF(AND(A287="",F287=""),"",IF(F287="","Belum ditempatkan",IF(I287="","CEK ID FIXTURE tidak ada di DAFTAR_FIXTURE",IF(G287="","CEK ZONA NO kosong",IF(K287="zona tidak ada di layout","CEK ZONA NO di luar layout",IF(H287&lt;&gt;K287,"CEK JENIS ZONA",IF(A287="","Zona kosong",IF(B287="","CEK SKU DESCRIPTION kosong","OK"))))))))</f>
        <v/>
      </c>
    </row>
    <row r="288">
      <c r="A288" s="10" t="n"/>
      <c r="B288" s="11" t="n"/>
      <c r="C288" s="11" t="n"/>
      <c r="D288" s="11" t="n"/>
      <c r="E288" s="11" t="n"/>
      <c r="F288" s="11" t="n"/>
      <c r="G288" s="11" t="n"/>
      <c r="H288" s="11" t="n"/>
      <c r="I288" s="12">
        <f>IF(F288="","",IFERROR(INDEX(DAFTAR_FIXTURE!$B$2:$B$51,MATCH(F288,DAFTAR_FIXTURE!$A$2:$A$51,0)),""))</f>
        <v/>
      </c>
      <c r="J288" s="12">
        <f>IF(A288="","","https://cdn.ruparupa.io/fit-in/850x850/ruparupa-com/image/upload/Products/"&amp;A288&amp;"_1.jpg")</f>
        <v/>
      </c>
      <c r="K288" s="12">
        <f>IF(OR(I288="",G288=""),"",IFERROR(INDEX(LAYOUT!$D$2:$D$34,MATCH(I288&amp;"|"&amp;G288,LAYOUT!$E$2:$E$34,0)),"zona tidak ada di layout"))</f>
        <v/>
      </c>
      <c r="L288" s="12">
        <f>IF(OR(F288="",A288=""),"",COUNTIFS($F$2:$F$500,F288,$G$2:$G$500,G288,$A$2:$A$500,"&lt;&gt;"))</f>
        <v/>
      </c>
      <c r="M288" s="12">
        <f>IF(AND(A288="",F288=""),"",IF(F288="","Belum ditempatkan",IF(I288="","CEK ID FIXTURE tidak ada di DAFTAR_FIXTURE",IF(G288="","CEK ZONA NO kosong",IF(K288="zona tidak ada di layout","CEK ZONA NO di luar layout",IF(H288&lt;&gt;K288,"CEK JENIS ZONA",IF(A288="","Zona kosong",IF(B288="","CEK SKU DESCRIPTION kosong","OK"))))))))</f>
        <v/>
      </c>
    </row>
    <row r="289">
      <c r="A289" s="10" t="n"/>
      <c r="B289" s="11" t="n"/>
      <c r="C289" s="11" t="n"/>
      <c r="D289" s="11" t="n"/>
      <c r="E289" s="11" t="n"/>
      <c r="F289" s="11" t="n"/>
      <c r="G289" s="11" t="n"/>
      <c r="H289" s="11" t="n"/>
      <c r="I289" s="12">
        <f>IF(F289="","",IFERROR(INDEX(DAFTAR_FIXTURE!$B$2:$B$51,MATCH(F289,DAFTAR_FIXTURE!$A$2:$A$51,0)),""))</f>
        <v/>
      </c>
      <c r="J289" s="12">
        <f>IF(A289="","","https://cdn.ruparupa.io/fit-in/850x850/ruparupa-com/image/upload/Products/"&amp;A289&amp;"_1.jpg")</f>
        <v/>
      </c>
      <c r="K289" s="12">
        <f>IF(OR(I289="",G289=""),"",IFERROR(INDEX(LAYOUT!$D$2:$D$34,MATCH(I289&amp;"|"&amp;G289,LAYOUT!$E$2:$E$34,0)),"zona tidak ada di layout"))</f>
        <v/>
      </c>
      <c r="L289" s="12">
        <f>IF(OR(F289="",A289=""),"",COUNTIFS($F$2:$F$500,F289,$G$2:$G$500,G289,$A$2:$A$500,"&lt;&gt;"))</f>
        <v/>
      </c>
      <c r="M289" s="12">
        <f>IF(AND(A289="",F289=""),"",IF(F289="","Belum ditempatkan",IF(I289="","CEK ID FIXTURE tidak ada di DAFTAR_FIXTURE",IF(G289="","CEK ZONA NO kosong",IF(K289="zona tidak ada di layout","CEK ZONA NO di luar layout",IF(H289&lt;&gt;K289,"CEK JENIS ZONA",IF(A289="","Zona kosong",IF(B289="","CEK SKU DESCRIPTION kosong","OK"))))))))</f>
        <v/>
      </c>
    </row>
    <row r="290">
      <c r="A290" s="10" t="n"/>
      <c r="B290" s="11" t="n"/>
      <c r="C290" s="11" t="n"/>
      <c r="D290" s="11" t="n"/>
      <c r="E290" s="11" t="n"/>
      <c r="F290" s="11" t="n"/>
      <c r="G290" s="11" t="n"/>
      <c r="H290" s="11" t="n"/>
      <c r="I290" s="12">
        <f>IF(F290="","",IFERROR(INDEX(DAFTAR_FIXTURE!$B$2:$B$51,MATCH(F290,DAFTAR_FIXTURE!$A$2:$A$51,0)),""))</f>
        <v/>
      </c>
      <c r="J290" s="12">
        <f>IF(A290="","","https://cdn.ruparupa.io/fit-in/850x850/ruparupa-com/image/upload/Products/"&amp;A290&amp;"_1.jpg")</f>
        <v/>
      </c>
      <c r="K290" s="12">
        <f>IF(OR(I290="",G290=""),"",IFERROR(INDEX(LAYOUT!$D$2:$D$34,MATCH(I290&amp;"|"&amp;G290,LAYOUT!$E$2:$E$34,0)),"zona tidak ada di layout"))</f>
        <v/>
      </c>
      <c r="L290" s="12">
        <f>IF(OR(F290="",A290=""),"",COUNTIFS($F$2:$F$500,F290,$G$2:$G$500,G290,$A$2:$A$500,"&lt;&gt;"))</f>
        <v/>
      </c>
      <c r="M290" s="12">
        <f>IF(AND(A290="",F290=""),"",IF(F290="","Belum ditempatkan",IF(I290="","CEK ID FIXTURE tidak ada di DAFTAR_FIXTURE",IF(G290="","CEK ZONA NO kosong",IF(K290="zona tidak ada di layout","CEK ZONA NO di luar layout",IF(H290&lt;&gt;K290,"CEK JENIS ZONA",IF(A290="","Zona kosong",IF(B290="","CEK SKU DESCRIPTION kosong","OK"))))))))</f>
        <v/>
      </c>
    </row>
    <row r="291">
      <c r="A291" s="10" t="n"/>
      <c r="B291" s="11" t="n"/>
      <c r="C291" s="11" t="n"/>
      <c r="D291" s="11" t="n"/>
      <c r="E291" s="11" t="n"/>
      <c r="F291" s="11" t="n"/>
      <c r="G291" s="11" t="n"/>
      <c r="H291" s="11" t="n"/>
      <c r="I291" s="12">
        <f>IF(F291="","",IFERROR(INDEX(DAFTAR_FIXTURE!$B$2:$B$51,MATCH(F291,DAFTAR_FIXTURE!$A$2:$A$51,0)),""))</f>
        <v/>
      </c>
      <c r="J291" s="12">
        <f>IF(A291="","","https://cdn.ruparupa.io/fit-in/850x850/ruparupa-com/image/upload/Products/"&amp;A291&amp;"_1.jpg")</f>
        <v/>
      </c>
      <c r="K291" s="12">
        <f>IF(OR(I291="",G291=""),"",IFERROR(INDEX(LAYOUT!$D$2:$D$34,MATCH(I291&amp;"|"&amp;G291,LAYOUT!$E$2:$E$34,0)),"zona tidak ada di layout"))</f>
        <v/>
      </c>
      <c r="L291" s="12">
        <f>IF(OR(F291="",A291=""),"",COUNTIFS($F$2:$F$500,F291,$G$2:$G$500,G291,$A$2:$A$500,"&lt;&gt;"))</f>
        <v/>
      </c>
      <c r="M291" s="12">
        <f>IF(AND(A291="",F291=""),"",IF(F291="","Belum ditempatkan",IF(I291="","CEK ID FIXTURE tidak ada di DAFTAR_FIXTURE",IF(G291="","CEK ZONA NO kosong",IF(K291="zona tidak ada di layout","CEK ZONA NO di luar layout",IF(H291&lt;&gt;K291,"CEK JENIS ZONA",IF(A291="","Zona kosong",IF(B291="","CEK SKU DESCRIPTION kosong","OK"))))))))</f>
        <v/>
      </c>
    </row>
    <row r="292">
      <c r="A292" s="10" t="n"/>
      <c r="B292" s="11" t="n"/>
      <c r="C292" s="11" t="n"/>
      <c r="D292" s="11" t="n"/>
      <c r="E292" s="11" t="n"/>
      <c r="F292" s="11" t="n"/>
      <c r="G292" s="11" t="n"/>
      <c r="H292" s="11" t="n"/>
      <c r="I292" s="12">
        <f>IF(F292="","",IFERROR(INDEX(DAFTAR_FIXTURE!$B$2:$B$51,MATCH(F292,DAFTAR_FIXTURE!$A$2:$A$51,0)),""))</f>
        <v/>
      </c>
      <c r="J292" s="12">
        <f>IF(A292="","","https://cdn.ruparupa.io/fit-in/850x850/ruparupa-com/image/upload/Products/"&amp;A292&amp;"_1.jpg")</f>
        <v/>
      </c>
      <c r="K292" s="12">
        <f>IF(OR(I292="",G292=""),"",IFERROR(INDEX(LAYOUT!$D$2:$D$34,MATCH(I292&amp;"|"&amp;G292,LAYOUT!$E$2:$E$34,0)),"zona tidak ada di layout"))</f>
        <v/>
      </c>
      <c r="L292" s="12">
        <f>IF(OR(F292="",A292=""),"",COUNTIFS($F$2:$F$500,F292,$G$2:$G$500,G292,$A$2:$A$500,"&lt;&gt;"))</f>
        <v/>
      </c>
      <c r="M292" s="12">
        <f>IF(AND(A292="",F292=""),"",IF(F292="","Belum ditempatkan",IF(I292="","CEK ID FIXTURE tidak ada di DAFTAR_FIXTURE",IF(G292="","CEK ZONA NO kosong",IF(K292="zona tidak ada di layout","CEK ZONA NO di luar layout",IF(H292&lt;&gt;K292,"CEK JENIS ZONA",IF(A292="","Zona kosong",IF(B292="","CEK SKU DESCRIPTION kosong","OK"))))))))</f>
        <v/>
      </c>
    </row>
    <row r="293">
      <c r="A293" s="10" t="n"/>
      <c r="B293" s="11" t="n"/>
      <c r="C293" s="11" t="n"/>
      <c r="D293" s="11" t="n"/>
      <c r="E293" s="11" t="n"/>
      <c r="F293" s="11" t="n"/>
      <c r="G293" s="11" t="n"/>
      <c r="H293" s="11" t="n"/>
      <c r="I293" s="12">
        <f>IF(F293="","",IFERROR(INDEX(DAFTAR_FIXTURE!$B$2:$B$51,MATCH(F293,DAFTAR_FIXTURE!$A$2:$A$51,0)),""))</f>
        <v/>
      </c>
      <c r="J293" s="12">
        <f>IF(A293="","","https://cdn.ruparupa.io/fit-in/850x850/ruparupa-com/image/upload/Products/"&amp;A293&amp;"_1.jpg")</f>
        <v/>
      </c>
      <c r="K293" s="12">
        <f>IF(OR(I293="",G293=""),"",IFERROR(INDEX(LAYOUT!$D$2:$D$34,MATCH(I293&amp;"|"&amp;G293,LAYOUT!$E$2:$E$34,0)),"zona tidak ada di layout"))</f>
        <v/>
      </c>
      <c r="L293" s="12">
        <f>IF(OR(F293="",A293=""),"",COUNTIFS($F$2:$F$500,F293,$G$2:$G$500,G293,$A$2:$A$500,"&lt;&gt;"))</f>
        <v/>
      </c>
      <c r="M293" s="12">
        <f>IF(AND(A293="",F293=""),"",IF(F293="","Belum ditempatkan",IF(I293="","CEK ID FIXTURE tidak ada di DAFTAR_FIXTURE",IF(G293="","CEK ZONA NO kosong",IF(K293="zona tidak ada di layout","CEK ZONA NO di luar layout",IF(H293&lt;&gt;K293,"CEK JENIS ZONA",IF(A293="","Zona kosong",IF(B293="","CEK SKU DESCRIPTION kosong","OK"))))))))</f>
        <v/>
      </c>
    </row>
    <row r="294">
      <c r="A294" s="10" t="n"/>
      <c r="B294" s="11" t="n"/>
      <c r="C294" s="11" t="n"/>
      <c r="D294" s="11" t="n"/>
      <c r="E294" s="11" t="n"/>
      <c r="F294" s="11" t="n"/>
      <c r="G294" s="11" t="n"/>
      <c r="H294" s="11" t="n"/>
      <c r="I294" s="12">
        <f>IF(F294="","",IFERROR(INDEX(DAFTAR_FIXTURE!$B$2:$B$51,MATCH(F294,DAFTAR_FIXTURE!$A$2:$A$51,0)),""))</f>
        <v/>
      </c>
      <c r="J294" s="12">
        <f>IF(A294="","","https://cdn.ruparupa.io/fit-in/850x850/ruparupa-com/image/upload/Products/"&amp;A294&amp;"_1.jpg")</f>
        <v/>
      </c>
      <c r="K294" s="12">
        <f>IF(OR(I294="",G294=""),"",IFERROR(INDEX(LAYOUT!$D$2:$D$34,MATCH(I294&amp;"|"&amp;G294,LAYOUT!$E$2:$E$34,0)),"zona tidak ada di layout"))</f>
        <v/>
      </c>
      <c r="L294" s="12">
        <f>IF(OR(F294="",A294=""),"",COUNTIFS($F$2:$F$500,F294,$G$2:$G$500,G294,$A$2:$A$500,"&lt;&gt;"))</f>
        <v/>
      </c>
      <c r="M294" s="12">
        <f>IF(AND(A294="",F294=""),"",IF(F294="","Belum ditempatkan",IF(I294="","CEK ID FIXTURE tidak ada di DAFTAR_FIXTURE",IF(G294="","CEK ZONA NO kosong",IF(K294="zona tidak ada di layout","CEK ZONA NO di luar layout",IF(H294&lt;&gt;K294,"CEK JENIS ZONA",IF(A294="","Zona kosong",IF(B294="","CEK SKU DESCRIPTION kosong","OK"))))))))</f>
        <v/>
      </c>
    </row>
    <row r="295">
      <c r="A295" s="10" t="n"/>
      <c r="B295" s="11" t="n"/>
      <c r="C295" s="11" t="n"/>
      <c r="D295" s="11" t="n"/>
      <c r="E295" s="11" t="n"/>
      <c r="F295" s="11" t="n"/>
      <c r="G295" s="11" t="n"/>
      <c r="H295" s="11" t="n"/>
      <c r="I295" s="12">
        <f>IF(F295="","",IFERROR(INDEX(DAFTAR_FIXTURE!$B$2:$B$51,MATCH(F295,DAFTAR_FIXTURE!$A$2:$A$51,0)),""))</f>
        <v/>
      </c>
      <c r="J295" s="12">
        <f>IF(A295="","","https://cdn.ruparupa.io/fit-in/850x850/ruparupa-com/image/upload/Products/"&amp;A295&amp;"_1.jpg")</f>
        <v/>
      </c>
      <c r="K295" s="12">
        <f>IF(OR(I295="",G295=""),"",IFERROR(INDEX(LAYOUT!$D$2:$D$34,MATCH(I295&amp;"|"&amp;G295,LAYOUT!$E$2:$E$34,0)),"zona tidak ada di layout"))</f>
        <v/>
      </c>
      <c r="L295" s="12">
        <f>IF(OR(F295="",A295=""),"",COUNTIFS($F$2:$F$500,F295,$G$2:$G$500,G295,$A$2:$A$500,"&lt;&gt;"))</f>
        <v/>
      </c>
      <c r="M295" s="12">
        <f>IF(AND(A295="",F295=""),"",IF(F295="","Belum ditempatkan",IF(I295="","CEK ID FIXTURE tidak ada di DAFTAR_FIXTURE",IF(G295="","CEK ZONA NO kosong",IF(K295="zona tidak ada di layout","CEK ZONA NO di luar layout",IF(H295&lt;&gt;K295,"CEK JENIS ZONA",IF(A295="","Zona kosong",IF(B295="","CEK SKU DESCRIPTION kosong","OK"))))))))</f>
        <v/>
      </c>
    </row>
    <row r="296">
      <c r="A296" s="10" t="n"/>
      <c r="B296" s="11" t="n"/>
      <c r="C296" s="11" t="n"/>
      <c r="D296" s="11" t="n"/>
      <c r="E296" s="11" t="n"/>
      <c r="F296" s="11" t="n"/>
      <c r="G296" s="11" t="n"/>
      <c r="H296" s="11" t="n"/>
      <c r="I296" s="12">
        <f>IF(F296="","",IFERROR(INDEX(DAFTAR_FIXTURE!$B$2:$B$51,MATCH(F296,DAFTAR_FIXTURE!$A$2:$A$51,0)),""))</f>
        <v/>
      </c>
      <c r="J296" s="12">
        <f>IF(A296="","","https://cdn.ruparupa.io/fit-in/850x850/ruparupa-com/image/upload/Products/"&amp;A296&amp;"_1.jpg")</f>
        <v/>
      </c>
      <c r="K296" s="12">
        <f>IF(OR(I296="",G296=""),"",IFERROR(INDEX(LAYOUT!$D$2:$D$34,MATCH(I296&amp;"|"&amp;G296,LAYOUT!$E$2:$E$34,0)),"zona tidak ada di layout"))</f>
        <v/>
      </c>
      <c r="L296" s="12">
        <f>IF(OR(F296="",A296=""),"",COUNTIFS($F$2:$F$500,F296,$G$2:$G$500,G296,$A$2:$A$500,"&lt;&gt;"))</f>
        <v/>
      </c>
      <c r="M296" s="12">
        <f>IF(AND(A296="",F296=""),"",IF(F296="","Belum ditempatkan",IF(I296="","CEK ID FIXTURE tidak ada di DAFTAR_FIXTURE",IF(G296="","CEK ZONA NO kosong",IF(K296="zona tidak ada di layout","CEK ZONA NO di luar layout",IF(H296&lt;&gt;K296,"CEK JENIS ZONA",IF(A296="","Zona kosong",IF(B296="","CEK SKU DESCRIPTION kosong","OK"))))))))</f>
        <v/>
      </c>
    </row>
    <row r="297">
      <c r="A297" s="10" t="n"/>
      <c r="B297" s="11" t="n"/>
      <c r="C297" s="11" t="n"/>
      <c r="D297" s="11" t="n"/>
      <c r="E297" s="11" t="n"/>
      <c r="F297" s="11" t="n"/>
      <c r="G297" s="11" t="n"/>
      <c r="H297" s="11" t="n"/>
      <c r="I297" s="12">
        <f>IF(F297="","",IFERROR(INDEX(DAFTAR_FIXTURE!$B$2:$B$51,MATCH(F297,DAFTAR_FIXTURE!$A$2:$A$51,0)),""))</f>
        <v/>
      </c>
      <c r="J297" s="12">
        <f>IF(A297="","","https://cdn.ruparupa.io/fit-in/850x850/ruparupa-com/image/upload/Products/"&amp;A297&amp;"_1.jpg")</f>
        <v/>
      </c>
      <c r="K297" s="12">
        <f>IF(OR(I297="",G297=""),"",IFERROR(INDEX(LAYOUT!$D$2:$D$34,MATCH(I297&amp;"|"&amp;G297,LAYOUT!$E$2:$E$34,0)),"zona tidak ada di layout"))</f>
        <v/>
      </c>
      <c r="L297" s="12">
        <f>IF(OR(F297="",A297=""),"",COUNTIFS($F$2:$F$500,F297,$G$2:$G$500,G297,$A$2:$A$500,"&lt;&gt;"))</f>
        <v/>
      </c>
      <c r="M297" s="12">
        <f>IF(AND(A297="",F297=""),"",IF(F297="","Belum ditempatkan",IF(I297="","CEK ID FIXTURE tidak ada di DAFTAR_FIXTURE",IF(G297="","CEK ZONA NO kosong",IF(K297="zona tidak ada di layout","CEK ZONA NO di luar layout",IF(H297&lt;&gt;K297,"CEK JENIS ZONA",IF(A297="","Zona kosong",IF(B297="","CEK SKU DESCRIPTION kosong","OK"))))))))</f>
        <v/>
      </c>
    </row>
    <row r="298">
      <c r="A298" s="10" t="n"/>
      <c r="B298" s="11" t="n"/>
      <c r="C298" s="11" t="n"/>
      <c r="D298" s="11" t="n"/>
      <c r="E298" s="11" t="n"/>
      <c r="F298" s="11" t="n"/>
      <c r="G298" s="11" t="n"/>
      <c r="H298" s="11" t="n"/>
      <c r="I298" s="12">
        <f>IF(F298="","",IFERROR(INDEX(DAFTAR_FIXTURE!$B$2:$B$51,MATCH(F298,DAFTAR_FIXTURE!$A$2:$A$51,0)),""))</f>
        <v/>
      </c>
      <c r="J298" s="12">
        <f>IF(A298="","","https://cdn.ruparupa.io/fit-in/850x850/ruparupa-com/image/upload/Products/"&amp;A298&amp;"_1.jpg")</f>
        <v/>
      </c>
      <c r="K298" s="12">
        <f>IF(OR(I298="",G298=""),"",IFERROR(INDEX(LAYOUT!$D$2:$D$34,MATCH(I298&amp;"|"&amp;G298,LAYOUT!$E$2:$E$34,0)),"zona tidak ada di layout"))</f>
        <v/>
      </c>
      <c r="L298" s="12">
        <f>IF(OR(F298="",A298=""),"",COUNTIFS($F$2:$F$500,F298,$G$2:$G$500,G298,$A$2:$A$500,"&lt;&gt;"))</f>
        <v/>
      </c>
      <c r="M298" s="12">
        <f>IF(AND(A298="",F298=""),"",IF(F298="","Belum ditempatkan",IF(I298="","CEK ID FIXTURE tidak ada di DAFTAR_FIXTURE",IF(G298="","CEK ZONA NO kosong",IF(K298="zona tidak ada di layout","CEK ZONA NO di luar layout",IF(H298&lt;&gt;K298,"CEK JENIS ZONA",IF(A298="","Zona kosong",IF(B298="","CEK SKU DESCRIPTION kosong","OK"))))))))</f>
        <v/>
      </c>
    </row>
    <row r="299">
      <c r="A299" s="10" t="n"/>
      <c r="B299" s="11" t="n"/>
      <c r="C299" s="11" t="n"/>
      <c r="D299" s="11" t="n"/>
      <c r="E299" s="11" t="n"/>
      <c r="F299" s="11" t="n"/>
      <c r="G299" s="11" t="n"/>
      <c r="H299" s="11" t="n"/>
      <c r="I299" s="12">
        <f>IF(F299="","",IFERROR(INDEX(DAFTAR_FIXTURE!$B$2:$B$51,MATCH(F299,DAFTAR_FIXTURE!$A$2:$A$51,0)),""))</f>
        <v/>
      </c>
      <c r="J299" s="12">
        <f>IF(A299="","","https://cdn.ruparupa.io/fit-in/850x850/ruparupa-com/image/upload/Products/"&amp;A299&amp;"_1.jpg")</f>
        <v/>
      </c>
      <c r="K299" s="12">
        <f>IF(OR(I299="",G299=""),"",IFERROR(INDEX(LAYOUT!$D$2:$D$34,MATCH(I299&amp;"|"&amp;G299,LAYOUT!$E$2:$E$34,0)),"zona tidak ada di layout"))</f>
        <v/>
      </c>
      <c r="L299" s="12">
        <f>IF(OR(F299="",A299=""),"",COUNTIFS($F$2:$F$500,F299,$G$2:$G$500,G299,$A$2:$A$500,"&lt;&gt;"))</f>
        <v/>
      </c>
      <c r="M299" s="12">
        <f>IF(AND(A299="",F299=""),"",IF(F299="","Belum ditempatkan",IF(I299="","CEK ID FIXTURE tidak ada di DAFTAR_FIXTURE",IF(G299="","CEK ZONA NO kosong",IF(K299="zona tidak ada di layout","CEK ZONA NO di luar layout",IF(H299&lt;&gt;K299,"CEK JENIS ZONA",IF(A299="","Zona kosong",IF(B299="","CEK SKU DESCRIPTION kosong","OK"))))))))</f>
        <v/>
      </c>
    </row>
    <row r="300">
      <c r="A300" s="10" t="n"/>
      <c r="B300" s="11" t="n"/>
      <c r="C300" s="11" t="n"/>
      <c r="D300" s="11" t="n"/>
      <c r="E300" s="11" t="n"/>
      <c r="F300" s="11" t="n"/>
      <c r="G300" s="11" t="n"/>
      <c r="H300" s="11" t="n"/>
      <c r="I300" s="12">
        <f>IF(F300="","",IFERROR(INDEX(DAFTAR_FIXTURE!$B$2:$B$51,MATCH(F300,DAFTAR_FIXTURE!$A$2:$A$51,0)),""))</f>
        <v/>
      </c>
      <c r="J300" s="12">
        <f>IF(A300="","","https://cdn.ruparupa.io/fit-in/850x850/ruparupa-com/image/upload/Products/"&amp;A300&amp;"_1.jpg")</f>
        <v/>
      </c>
      <c r="K300" s="12">
        <f>IF(OR(I300="",G300=""),"",IFERROR(INDEX(LAYOUT!$D$2:$D$34,MATCH(I300&amp;"|"&amp;G300,LAYOUT!$E$2:$E$34,0)),"zona tidak ada di layout"))</f>
        <v/>
      </c>
      <c r="L300" s="12">
        <f>IF(OR(F300="",A300=""),"",COUNTIFS($F$2:$F$500,F300,$G$2:$G$500,G300,$A$2:$A$500,"&lt;&gt;"))</f>
        <v/>
      </c>
      <c r="M300" s="12">
        <f>IF(AND(A300="",F300=""),"",IF(F300="","Belum ditempatkan",IF(I300="","CEK ID FIXTURE tidak ada di DAFTAR_FIXTURE",IF(G300="","CEK ZONA NO kosong",IF(K300="zona tidak ada di layout","CEK ZONA NO di luar layout",IF(H300&lt;&gt;K300,"CEK JENIS ZONA",IF(A300="","Zona kosong",IF(B300="","CEK SKU DESCRIPTION kosong","OK"))))))))</f>
        <v/>
      </c>
    </row>
    <row r="301">
      <c r="A301" s="10" t="n"/>
      <c r="B301" s="11" t="n"/>
      <c r="C301" s="11" t="n"/>
      <c r="D301" s="11" t="n"/>
      <c r="E301" s="11" t="n"/>
      <c r="F301" s="11" t="n"/>
      <c r="G301" s="11" t="n"/>
      <c r="H301" s="11" t="n"/>
      <c r="I301" s="12">
        <f>IF(F301="","",IFERROR(INDEX(DAFTAR_FIXTURE!$B$2:$B$51,MATCH(F301,DAFTAR_FIXTURE!$A$2:$A$51,0)),""))</f>
        <v/>
      </c>
      <c r="J301" s="12">
        <f>IF(A301="","","https://cdn.ruparupa.io/fit-in/850x850/ruparupa-com/image/upload/Products/"&amp;A301&amp;"_1.jpg")</f>
        <v/>
      </c>
      <c r="K301" s="12">
        <f>IF(OR(I301="",G301=""),"",IFERROR(INDEX(LAYOUT!$D$2:$D$34,MATCH(I301&amp;"|"&amp;G301,LAYOUT!$E$2:$E$34,0)),"zona tidak ada di layout"))</f>
        <v/>
      </c>
      <c r="L301" s="12">
        <f>IF(OR(F301="",A301=""),"",COUNTIFS($F$2:$F$500,F301,$G$2:$G$500,G301,$A$2:$A$500,"&lt;&gt;"))</f>
        <v/>
      </c>
      <c r="M301" s="12">
        <f>IF(AND(A301="",F301=""),"",IF(F301="","Belum ditempatkan",IF(I301="","CEK ID FIXTURE tidak ada di DAFTAR_FIXTURE",IF(G301="","CEK ZONA NO kosong",IF(K301="zona tidak ada di layout","CEK ZONA NO di luar layout",IF(H301&lt;&gt;K301,"CEK JENIS ZONA",IF(A301="","Zona kosong",IF(B301="","CEK SKU DESCRIPTION kosong","OK"))))))))</f>
        <v/>
      </c>
    </row>
    <row r="302">
      <c r="A302" s="10" t="n"/>
      <c r="B302" s="11" t="n"/>
      <c r="C302" s="11" t="n"/>
      <c r="D302" s="11" t="n"/>
      <c r="E302" s="11" t="n"/>
      <c r="F302" s="11" t="n"/>
      <c r="G302" s="11" t="n"/>
      <c r="H302" s="11" t="n"/>
      <c r="I302" s="12">
        <f>IF(F302="","",IFERROR(INDEX(DAFTAR_FIXTURE!$B$2:$B$51,MATCH(F302,DAFTAR_FIXTURE!$A$2:$A$51,0)),""))</f>
        <v/>
      </c>
      <c r="J302" s="12">
        <f>IF(A302="","","https://cdn.ruparupa.io/fit-in/850x850/ruparupa-com/image/upload/Products/"&amp;A302&amp;"_1.jpg")</f>
        <v/>
      </c>
      <c r="K302" s="12">
        <f>IF(OR(I302="",G302=""),"",IFERROR(INDEX(LAYOUT!$D$2:$D$34,MATCH(I302&amp;"|"&amp;G302,LAYOUT!$E$2:$E$34,0)),"zona tidak ada di layout"))</f>
        <v/>
      </c>
      <c r="L302" s="12">
        <f>IF(OR(F302="",A302=""),"",COUNTIFS($F$2:$F$500,F302,$G$2:$G$500,G302,$A$2:$A$500,"&lt;&gt;"))</f>
        <v/>
      </c>
      <c r="M302" s="12">
        <f>IF(AND(A302="",F302=""),"",IF(F302="","Belum ditempatkan",IF(I302="","CEK ID FIXTURE tidak ada di DAFTAR_FIXTURE",IF(G302="","CEK ZONA NO kosong",IF(K302="zona tidak ada di layout","CEK ZONA NO di luar layout",IF(H302&lt;&gt;K302,"CEK JENIS ZONA",IF(A302="","Zona kosong",IF(B302="","CEK SKU DESCRIPTION kosong","OK"))))))))</f>
        <v/>
      </c>
    </row>
    <row r="303">
      <c r="A303" s="10" t="n"/>
      <c r="B303" s="11" t="n"/>
      <c r="C303" s="11" t="n"/>
      <c r="D303" s="11" t="n"/>
      <c r="E303" s="11" t="n"/>
      <c r="F303" s="11" t="n"/>
      <c r="G303" s="11" t="n"/>
      <c r="H303" s="11" t="n"/>
      <c r="I303" s="12">
        <f>IF(F303="","",IFERROR(INDEX(DAFTAR_FIXTURE!$B$2:$B$51,MATCH(F303,DAFTAR_FIXTURE!$A$2:$A$51,0)),""))</f>
        <v/>
      </c>
      <c r="J303" s="12">
        <f>IF(A303="","","https://cdn.ruparupa.io/fit-in/850x850/ruparupa-com/image/upload/Products/"&amp;A303&amp;"_1.jpg")</f>
        <v/>
      </c>
      <c r="K303" s="12">
        <f>IF(OR(I303="",G303=""),"",IFERROR(INDEX(LAYOUT!$D$2:$D$34,MATCH(I303&amp;"|"&amp;G303,LAYOUT!$E$2:$E$34,0)),"zona tidak ada di layout"))</f>
        <v/>
      </c>
      <c r="L303" s="12">
        <f>IF(OR(F303="",A303=""),"",COUNTIFS($F$2:$F$500,F303,$G$2:$G$500,G303,$A$2:$A$500,"&lt;&gt;"))</f>
        <v/>
      </c>
      <c r="M303" s="12">
        <f>IF(AND(A303="",F303=""),"",IF(F303="","Belum ditempatkan",IF(I303="","CEK ID FIXTURE tidak ada di DAFTAR_FIXTURE",IF(G303="","CEK ZONA NO kosong",IF(K303="zona tidak ada di layout","CEK ZONA NO di luar layout",IF(H303&lt;&gt;K303,"CEK JENIS ZONA",IF(A303="","Zona kosong",IF(B303="","CEK SKU DESCRIPTION kosong","OK"))))))))</f>
        <v/>
      </c>
    </row>
    <row r="304">
      <c r="A304" s="10" t="n"/>
      <c r="B304" s="11" t="n"/>
      <c r="C304" s="11" t="n"/>
      <c r="D304" s="11" t="n"/>
      <c r="E304" s="11" t="n"/>
      <c r="F304" s="11" t="n"/>
      <c r="G304" s="11" t="n"/>
      <c r="H304" s="11" t="n"/>
      <c r="I304" s="12">
        <f>IF(F304="","",IFERROR(INDEX(DAFTAR_FIXTURE!$B$2:$B$51,MATCH(F304,DAFTAR_FIXTURE!$A$2:$A$51,0)),""))</f>
        <v/>
      </c>
      <c r="J304" s="12">
        <f>IF(A304="","","https://cdn.ruparupa.io/fit-in/850x850/ruparupa-com/image/upload/Products/"&amp;A304&amp;"_1.jpg")</f>
        <v/>
      </c>
      <c r="K304" s="12">
        <f>IF(OR(I304="",G304=""),"",IFERROR(INDEX(LAYOUT!$D$2:$D$34,MATCH(I304&amp;"|"&amp;G304,LAYOUT!$E$2:$E$34,0)),"zona tidak ada di layout"))</f>
        <v/>
      </c>
      <c r="L304" s="12">
        <f>IF(OR(F304="",A304=""),"",COUNTIFS($F$2:$F$500,F304,$G$2:$G$500,G304,$A$2:$A$500,"&lt;&gt;"))</f>
        <v/>
      </c>
      <c r="M304" s="12">
        <f>IF(AND(A304="",F304=""),"",IF(F304="","Belum ditempatkan",IF(I304="","CEK ID FIXTURE tidak ada di DAFTAR_FIXTURE",IF(G304="","CEK ZONA NO kosong",IF(K304="zona tidak ada di layout","CEK ZONA NO di luar layout",IF(H304&lt;&gt;K304,"CEK JENIS ZONA",IF(A304="","Zona kosong",IF(B304="","CEK SKU DESCRIPTION kosong","OK"))))))))</f>
        <v/>
      </c>
    </row>
    <row r="305">
      <c r="A305" s="10" t="n"/>
      <c r="B305" s="11" t="n"/>
      <c r="C305" s="11" t="n"/>
      <c r="D305" s="11" t="n"/>
      <c r="E305" s="11" t="n"/>
      <c r="F305" s="11" t="n"/>
      <c r="G305" s="11" t="n"/>
      <c r="H305" s="11" t="n"/>
      <c r="I305" s="12">
        <f>IF(F305="","",IFERROR(INDEX(DAFTAR_FIXTURE!$B$2:$B$51,MATCH(F305,DAFTAR_FIXTURE!$A$2:$A$51,0)),""))</f>
        <v/>
      </c>
      <c r="J305" s="12">
        <f>IF(A305="","","https://cdn.ruparupa.io/fit-in/850x850/ruparupa-com/image/upload/Products/"&amp;A305&amp;"_1.jpg")</f>
        <v/>
      </c>
      <c r="K305" s="12">
        <f>IF(OR(I305="",G305=""),"",IFERROR(INDEX(LAYOUT!$D$2:$D$34,MATCH(I305&amp;"|"&amp;G305,LAYOUT!$E$2:$E$34,0)),"zona tidak ada di layout"))</f>
        <v/>
      </c>
      <c r="L305" s="12">
        <f>IF(OR(F305="",A305=""),"",COUNTIFS($F$2:$F$500,F305,$G$2:$G$500,G305,$A$2:$A$500,"&lt;&gt;"))</f>
        <v/>
      </c>
      <c r="M305" s="12">
        <f>IF(AND(A305="",F305=""),"",IF(F305="","Belum ditempatkan",IF(I305="","CEK ID FIXTURE tidak ada di DAFTAR_FIXTURE",IF(G305="","CEK ZONA NO kosong",IF(K305="zona tidak ada di layout","CEK ZONA NO di luar layout",IF(H305&lt;&gt;K305,"CEK JENIS ZONA",IF(A305="","Zona kosong",IF(B305="","CEK SKU DESCRIPTION kosong","OK"))))))))</f>
        <v/>
      </c>
    </row>
    <row r="306">
      <c r="A306" s="10" t="n"/>
      <c r="B306" s="11" t="n"/>
      <c r="C306" s="11" t="n"/>
      <c r="D306" s="11" t="n"/>
      <c r="E306" s="11" t="n"/>
      <c r="F306" s="11" t="n"/>
      <c r="G306" s="11" t="n"/>
      <c r="H306" s="11" t="n"/>
      <c r="I306" s="12">
        <f>IF(F306="","",IFERROR(INDEX(DAFTAR_FIXTURE!$B$2:$B$51,MATCH(F306,DAFTAR_FIXTURE!$A$2:$A$51,0)),""))</f>
        <v/>
      </c>
      <c r="J306" s="12">
        <f>IF(A306="","","https://cdn.ruparupa.io/fit-in/850x850/ruparupa-com/image/upload/Products/"&amp;A306&amp;"_1.jpg")</f>
        <v/>
      </c>
      <c r="K306" s="12">
        <f>IF(OR(I306="",G306=""),"",IFERROR(INDEX(LAYOUT!$D$2:$D$34,MATCH(I306&amp;"|"&amp;G306,LAYOUT!$E$2:$E$34,0)),"zona tidak ada di layout"))</f>
        <v/>
      </c>
      <c r="L306" s="12">
        <f>IF(OR(F306="",A306=""),"",COUNTIFS($F$2:$F$500,F306,$G$2:$G$500,G306,$A$2:$A$500,"&lt;&gt;"))</f>
        <v/>
      </c>
      <c r="M306" s="12">
        <f>IF(AND(A306="",F306=""),"",IF(F306="","Belum ditempatkan",IF(I306="","CEK ID FIXTURE tidak ada di DAFTAR_FIXTURE",IF(G306="","CEK ZONA NO kosong",IF(K306="zona tidak ada di layout","CEK ZONA NO di luar layout",IF(H306&lt;&gt;K306,"CEK JENIS ZONA",IF(A306="","Zona kosong",IF(B306="","CEK SKU DESCRIPTION kosong","OK"))))))))</f>
        <v/>
      </c>
    </row>
    <row r="307">
      <c r="A307" s="10" t="n"/>
      <c r="B307" s="11" t="n"/>
      <c r="C307" s="11" t="n"/>
      <c r="D307" s="11" t="n"/>
      <c r="E307" s="11" t="n"/>
      <c r="F307" s="11" t="n"/>
      <c r="G307" s="11" t="n"/>
      <c r="H307" s="11" t="n"/>
      <c r="I307" s="12">
        <f>IF(F307="","",IFERROR(INDEX(DAFTAR_FIXTURE!$B$2:$B$51,MATCH(F307,DAFTAR_FIXTURE!$A$2:$A$51,0)),""))</f>
        <v/>
      </c>
      <c r="J307" s="12">
        <f>IF(A307="","","https://cdn.ruparupa.io/fit-in/850x850/ruparupa-com/image/upload/Products/"&amp;A307&amp;"_1.jpg")</f>
        <v/>
      </c>
      <c r="K307" s="12">
        <f>IF(OR(I307="",G307=""),"",IFERROR(INDEX(LAYOUT!$D$2:$D$34,MATCH(I307&amp;"|"&amp;G307,LAYOUT!$E$2:$E$34,0)),"zona tidak ada di layout"))</f>
        <v/>
      </c>
      <c r="L307" s="12">
        <f>IF(OR(F307="",A307=""),"",COUNTIFS($F$2:$F$500,F307,$G$2:$G$500,G307,$A$2:$A$500,"&lt;&gt;"))</f>
        <v/>
      </c>
      <c r="M307" s="12">
        <f>IF(AND(A307="",F307=""),"",IF(F307="","Belum ditempatkan",IF(I307="","CEK ID FIXTURE tidak ada di DAFTAR_FIXTURE",IF(G307="","CEK ZONA NO kosong",IF(K307="zona tidak ada di layout","CEK ZONA NO di luar layout",IF(H307&lt;&gt;K307,"CEK JENIS ZONA",IF(A307="","Zona kosong",IF(B307="","CEK SKU DESCRIPTION kosong","OK"))))))))</f>
        <v/>
      </c>
    </row>
    <row r="308">
      <c r="A308" s="10" t="n"/>
      <c r="B308" s="11" t="n"/>
      <c r="C308" s="11" t="n"/>
      <c r="D308" s="11" t="n"/>
      <c r="E308" s="11" t="n"/>
      <c r="F308" s="11" t="n"/>
      <c r="G308" s="11" t="n"/>
      <c r="H308" s="11" t="n"/>
      <c r="I308" s="12">
        <f>IF(F308="","",IFERROR(INDEX(DAFTAR_FIXTURE!$B$2:$B$51,MATCH(F308,DAFTAR_FIXTURE!$A$2:$A$51,0)),""))</f>
        <v/>
      </c>
      <c r="J308" s="12">
        <f>IF(A308="","","https://cdn.ruparupa.io/fit-in/850x850/ruparupa-com/image/upload/Products/"&amp;A308&amp;"_1.jpg")</f>
        <v/>
      </c>
      <c r="K308" s="12">
        <f>IF(OR(I308="",G308=""),"",IFERROR(INDEX(LAYOUT!$D$2:$D$34,MATCH(I308&amp;"|"&amp;G308,LAYOUT!$E$2:$E$34,0)),"zona tidak ada di layout"))</f>
        <v/>
      </c>
      <c r="L308" s="12">
        <f>IF(OR(F308="",A308=""),"",COUNTIFS($F$2:$F$500,F308,$G$2:$G$500,G308,$A$2:$A$500,"&lt;&gt;"))</f>
        <v/>
      </c>
      <c r="M308" s="12">
        <f>IF(AND(A308="",F308=""),"",IF(F308="","Belum ditempatkan",IF(I308="","CEK ID FIXTURE tidak ada di DAFTAR_FIXTURE",IF(G308="","CEK ZONA NO kosong",IF(K308="zona tidak ada di layout","CEK ZONA NO di luar layout",IF(H308&lt;&gt;K308,"CEK JENIS ZONA",IF(A308="","Zona kosong",IF(B308="","CEK SKU DESCRIPTION kosong","OK"))))))))</f>
        <v/>
      </c>
    </row>
    <row r="309">
      <c r="A309" s="10" t="n"/>
      <c r="B309" s="11" t="n"/>
      <c r="C309" s="11" t="n"/>
      <c r="D309" s="11" t="n"/>
      <c r="E309" s="11" t="n"/>
      <c r="F309" s="11" t="n"/>
      <c r="G309" s="11" t="n"/>
      <c r="H309" s="11" t="n"/>
      <c r="I309" s="12">
        <f>IF(F309="","",IFERROR(INDEX(DAFTAR_FIXTURE!$B$2:$B$51,MATCH(F309,DAFTAR_FIXTURE!$A$2:$A$51,0)),""))</f>
        <v/>
      </c>
      <c r="J309" s="12">
        <f>IF(A309="","","https://cdn.ruparupa.io/fit-in/850x850/ruparupa-com/image/upload/Products/"&amp;A309&amp;"_1.jpg")</f>
        <v/>
      </c>
      <c r="K309" s="12">
        <f>IF(OR(I309="",G309=""),"",IFERROR(INDEX(LAYOUT!$D$2:$D$34,MATCH(I309&amp;"|"&amp;G309,LAYOUT!$E$2:$E$34,0)),"zona tidak ada di layout"))</f>
        <v/>
      </c>
      <c r="L309" s="12">
        <f>IF(OR(F309="",A309=""),"",COUNTIFS($F$2:$F$500,F309,$G$2:$G$500,G309,$A$2:$A$500,"&lt;&gt;"))</f>
        <v/>
      </c>
      <c r="M309" s="12">
        <f>IF(AND(A309="",F309=""),"",IF(F309="","Belum ditempatkan",IF(I309="","CEK ID FIXTURE tidak ada di DAFTAR_FIXTURE",IF(G309="","CEK ZONA NO kosong",IF(K309="zona tidak ada di layout","CEK ZONA NO di luar layout",IF(H309&lt;&gt;K309,"CEK JENIS ZONA",IF(A309="","Zona kosong",IF(B309="","CEK SKU DESCRIPTION kosong","OK"))))))))</f>
        <v/>
      </c>
    </row>
    <row r="310">
      <c r="A310" s="10" t="n"/>
      <c r="B310" s="11" t="n"/>
      <c r="C310" s="11" t="n"/>
      <c r="D310" s="11" t="n"/>
      <c r="E310" s="11" t="n"/>
      <c r="F310" s="11" t="n"/>
      <c r="G310" s="11" t="n"/>
      <c r="H310" s="11" t="n"/>
      <c r="I310" s="12">
        <f>IF(F310="","",IFERROR(INDEX(DAFTAR_FIXTURE!$B$2:$B$51,MATCH(F310,DAFTAR_FIXTURE!$A$2:$A$51,0)),""))</f>
        <v/>
      </c>
      <c r="J310" s="12">
        <f>IF(A310="","","https://cdn.ruparupa.io/fit-in/850x850/ruparupa-com/image/upload/Products/"&amp;A310&amp;"_1.jpg")</f>
        <v/>
      </c>
      <c r="K310" s="12">
        <f>IF(OR(I310="",G310=""),"",IFERROR(INDEX(LAYOUT!$D$2:$D$34,MATCH(I310&amp;"|"&amp;G310,LAYOUT!$E$2:$E$34,0)),"zona tidak ada di layout"))</f>
        <v/>
      </c>
      <c r="L310" s="12">
        <f>IF(OR(F310="",A310=""),"",COUNTIFS($F$2:$F$500,F310,$G$2:$G$500,G310,$A$2:$A$500,"&lt;&gt;"))</f>
        <v/>
      </c>
      <c r="M310" s="12">
        <f>IF(AND(A310="",F310=""),"",IF(F310="","Belum ditempatkan",IF(I310="","CEK ID FIXTURE tidak ada di DAFTAR_FIXTURE",IF(G310="","CEK ZONA NO kosong",IF(K310="zona tidak ada di layout","CEK ZONA NO di luar layout",IF(H310&lt;&gt;K310,"CEK JENIS ZONA",IF(A310="","Zona kosong",IF(B310="","CEK SKU DESCRIPTION kosong","OK"))))))))</f>
        <v/>
      </c>
    </row>
    <row r="311">
      <c r="A311" s="10" t="n"/>
      <c r="B311" s="11" t="n"/>
      <c r="C311" s="11" t="n"/>
      <c r="D311" s="11" t="n"/>
      <c r="E311" s="11" t="n"/>
      <c r="F311" s="11" t="n"/>
      <c r="G311" s="11" t="n"/>
      <c r="H311" s="11" t="n"/>
      <c r="I311" s="12">
        <f>IF(F311="","",IFERROR(INDEX(DAFTAR_FIXTURE!$B$2:$B$51,MATCH(F311,DAFTAR_FIXTURE!$A$2:$A$51,0)),""))</f>
        <v/>
      </c>
      <c r="J311" s="12">
        <f>IF(A311="","","https://cdn.ruparupa.io/fit-in/850x850/ruparupa-com/image/upload/Products/"&amp;A311&amp;"_1.jpg")</f>
        <v/>
      </c>
      <c r="K311" s="12">
        <f>IF(OR(I311="",G311=""),"",IFERROR(INDEX(LAYOUT!$D$2:$D$34,MATCH(I311&amp;"|"&amp;G311,LAYOUT!$E$2:$E$34,0)),"zona tidak ada di layout"))</f>
        <v/>
      </c>
      <c r="L311" s="12">
        <f>IF(OR(F311="",A311=""),"",COUNTIFS($F$2:$F$500,F311,$G$2:$G$500,G311,$A$2:$A$500,"&lt;&gt;"))</f>
        <v/>
      </c>
      <c r="M311" s="12">
        <f>IF(AND(A311="",F311=""),"",IF(F311="","Belum ditempatkan",IF(I311="","CEK ID FIXTURE tidak ada di DAFTAR_FIXTURE",IF(G311="","CEK ZONA NO kosong",IF(K311="zona tidak ada di layout","CEK ZONA NO di luar layout",IF(H311&lt;&gt;K311,"CEK JENIS ZONA",IF(A311="","Zona kosong",IF(B311="","CEK SKU DESCRIPTION kosong","OK"))))))))</f>
        <v/>
      </c>
    </row>
    <row r="312">
      <c r="A312" s="10" t="n"/>
      <c r="B312" s="11" t="n"/>
      <c r="C312" s="11" t="n"/>
      <c r="D312" s="11" t="n"/>
      <c r="E312" s="11" t="n"/>
      <c r="F312" s="11" t="n"/>
      <c r="G312" s="11" t="n"/>
      <c r="H312" s="11" t="n"/>
      <c r="I312" s="12">
        <f>IF(F312="","",IFERROR(INDEX(DAFTAR_FIXTURE!$B$2:$B$51,MATCH(F312,DAFTAR_FIXTURE!$A$2:$A$51,0)),""))</f>
        <v/>
      </c>
      <c r="J312" s="12">
        <f>IF(A312="","","https://cdn.ruparupa.io/fit-in/850x850/ruparupa-com/image/upload/Products/"&amp;A312&amp;"_1.jpg")</f>
        <v/>
      </c>
      <c r="K312" s="12">
        <f>IF(OR(I312="",G312=""),"",IFERROR(INDEX(LAYOUT!$D$2:$D$34,MATCH(I312&amp;"|"&amp;G312,LAYOUT!$E$2:$E$34,0)),"zona tidak ada di layout"))</f>
        <v/>
      </c>
      <c r="L312" s="12">
        <f>IF(OR(F312="",A312=""),"",COUNTIFS($F$2:$F$500,F312,$G$2:$G$500,G312,$A$2:$A$500,"&lt;&gt;"))</f>
        <v/>
      </c>
      <c r="M312" s="12">
        <f>IF(AND(A312="",F312=""),"",IF(F312="","Belum ditempatkan",IF(I312="","CEK ID FIXTURE tidak ada di DAFTAR_FIXTURE",IF(G312="","CEK ZONA NO kosong",IF(K312="zona tidak ada di layout","CEK ZONA NO di luar layout",IF(H312&lt;&gt;K312,"CEK JENIS ZONA",IF(A312="","Zona kosong",IF(B312="","CEK SKU DESCRIPTION kosong","OK"))))))))</f>
        <v/>
      </c>
    </row>
    <row r="313">
      <c r="A313" s="10" t="n"/>
      <c r="B313" s="11" t="n"/>
      <c r="C313" s="11" t="n"/>
      <c r="D313" s="11" t="n"/>
      <c r="E313" s="11" t="n"/>
      <c r="F313" s="11" t="n"/>
      <c r="G313" s="11" t="n"/>
      <c r="H313" s="11" t="n"/>
      <c r="I313" s="12">
        <f>IF(F313="","",IFERROR(INDEX(DAFTAR_FIXTURE!$B$2:$B$51,MATCH(F313,DAFTAR_FIXTURE!$A$2:$A$51,0)),""))</f>
        <v/>
      </c>
      <c r="J313" s="12">
        <f>IF(A313="","","https://cdn.ruparupa.io/fit-in/850x850/ruparupa-com/image/upload/Products/"&amp;A313&amp;"_1.jpg")</f>
        <v/>
      </c>
      <c r="K313" s="12">
        <f>IF(OR(I313="",G313=""),"",IFERROR(INDEX(LAYOUT!$D$2:$D$34,MATCH(I313&amp;"|"&amp;G313,LAYOUT!$E$2:$E$34,0)),"zona tidak ada di layout"))</f>
        <v/>
      </c>
      <c r="L313" s="12">
        <f>IF(OR(F313="",A313=""),"",COUNTIFS($F$2:$F$500,F313,$G$2:$G$500,G313,$A$2:$A$500,"&lt;&gt;"))</f>
        <v/>
      </c>
      <c r="M313" s="12">
        <f>IF(AND(A313="",F313=""),"",IF(F313="","Belum ditempatkan",IF(I313="","CEK ID FIXTURE tidak ada di DAFTAR_FIXTURE",IF(G313="","CEK ZONA NO kosong",IF(K313="zona tidak ada di layout","CEK ZONA NO di luar layout",IF(H313&lt;&gt;K313,"CEK JENIS ZONA",IF(A313="","Zona kosong",IF(B313="","CEK SKU DESCRIPTION kosong","OK"))))))))</f>
        <v/>
      </c>
    </row>
    <row r="314">
      <c r="A314" s="10" t="n"/>
      <c r="B314" s="11" t="n"/>
      <c r="C314" s="11" t="n"/>
      <c r="D314" s="11" t="n"/>
      <c r="E314" s="11" t="n"/>
      <c r="F314" s="11" t="n"/>
      <c r="G314" s="11" t="n"/>
      <c r="H314" s="11" t="n"/>
      <c r="I314" s="12">
        <f>IF(F314="","",IFERROR(INDEX(DAFTAR_FIXTURE!$B$2:$B$51,MATCH(F314,DAFTAR_FIXTURE!$A$2:$A$51,0)),""))</f>
        <v/>
      </c>
      <c r="J314" s="12">
        <f>IF(A314="","","https://cdn.ruparupa.io/fit-in/850x850/ruparupa-com/image/upload/Products/"&amp;A314&amp;"_1.jpg")</f>
        <v/>
      </c>
      <c r="K314" s="12">
        <f>IF(OR(I314="",G314=""),"",IFERROR(INDEX(LAYOUT!$D$2:$D$34,MATCH(I314&amp;"|"&amp;G314,LAYOUT!$E$2:$E$34,0)),"zona tidak ada di layout"))</f>
        <v/>
      </c>
      <c r="L314" s="12">
        <f>IF(OR(F314="",A314=""),"",COUNTIFS($F$2:$F$500,F314,$G$2:$G$500,G314,$A$2:$A$500,"&lt;&gt;"))</f>
        <v/>
      </c>
      <c r="M314" s="12">
        <f>IF(AND(A314="",F314=""),"",IF(F314="","Belum ditempatkan",IF(I314="","CEK ID FIXTURE tidak ada di DAFTAR_FIXTURE",IF(G314="","CEK ZONA NO kosong",IF(K314="zona tidak ada di layout","CEK ZONA NO di luar layout",IF(H314&lt;&gt;K314,"CEK JENIS ZONA",IF(A314="","Zona kosong",IF(B314="","CEK SKU DESCRIPTION kosong","OK"))))))))</f>
        <v/>
      </c>
    </row>
    <row r="315">
      <c r="A315" s="10" t="n"/>
      <c r="B315" s="11" t="n"/>
      <c r="C315" s="11" t="n"/>
      <c r="D315" s="11" t="n"/>
      <c r="E315" s="11" t="n"/>
      <c r="F315" s="11" t="n"/>
      <c r="G315" s="11" t="n"/>
      <c r="H315" s="11" t="n"/>
      <c r="I315" s="12">
        <f>IF(F315="","",IFERROR(INDEX(DAFTAR_FIXTURE!$B$2:$B$51,MATCH(F315,DAFTAR_FIXTURE!$A$2:$A$51,0)),""))</f>
        <v/>
      </c>
      <c r="J315" s="12">
        <f>IF(A315="","","https://cdn.ruparupa.io/fit-in/850x850/ruparupa-com/image/upload/Products/"&amp;A315&amp;"_1.jpg")</f>
        <v/>
      </c>
      <c r="K315" s="12">
        <f>IF(OR(I315="",G315=""),"",IFERROR(INDEX(LAYOUT!$D$2:$D$34,MATCH(I315&amp;"|"&amp;G315,LAYOUT!$E$2:$E$34,0)),"zona tidak ada di layout"))</f>
        <v/>
      </c>
      <c r="L315" s="12">
        <f>IF(OR(F315="",A315=""),"",COUNTIFS($F$2:$F$500,F315,$G$2:$G$500,G315,$A$2:$A$500,"&lt;&gt;"))</f>
        <v/>
      </c>
      <c r="M315" s="12">
        <f>IF(AND(A315="",F315=""),"",IF(F315="","Belum ditempatkan",IF(I315="","CEK ID FIXTURE tidak ada di DAFTAR_FIXTURE",IF(G315="","CEK ZONA NO kosong",IF(K315="zona tidak ada di layout","CEK ZONA NO di luar layout",IF(H315&lt;&gt;K315,"CEK JENIS ZONA",IF(A315="","Zona kosong",IF(B315="","CEK SKU DESCRIPTION kosong","OK"))))))))</f>
        <v/>
      </c>
    </row>
    <row r="316">
      <c r="A316" s="10" t="n"/>
      <c r="B316" s="11" t="n"/>
      <c r="C316" s="11" t="n"/>
      <c r="D316" s="11" t="n"/>
      <c r="E316" s="11" t="n"/>
      <c r="F316" s="11" t="n"/>
      <c r="G316" s="11" t="n"/>
      <c r="H316" s="11" t="n"/>
      <c r="I316" s="12">
        <f>IF(F316="","",IFERROR(INDEX(DAFTAR_FIXTURE!$B$2:$B$51,MATCH(F316,DAFTAR_FIXTURE!$A$2:$A$51,0)),""))</f>
        <v/>
      </c>
      <c r="J316" s="12">
        <f>IF(A316="","","https://cdn.ruparupa.io/fit-in/850x850/ruparupa-com/image/upload/Products/"&amp;A316&amp;"_1.jpg")</f>
        <v/>
      </c>
      <c r="K316" s="12">
        <f>IF(OR(I316="",G316=""),"",IFERROR(INDEX(LAYOUT!$D$2:$D$34,MATCH(I316&amp;"|"&amp;G316,LAYOUT!$E$2:$E$34,0)),"zona tidak ada di layout"))</f>
        <v/>
      </c>
      <c r="L316" s="12">
        <f>IF(OR(F316="",A316=""),"",COUNTIFS($F$2:$F$500,F316,$G$2:$G$500,G316,$A$2:$A$500,"&lt;&gt;"))</f>
        <v/>
      </c>
      <c r="M316" s="12">
        <f>IF(AND(A316="",F316=""),"",IF(F316="","Belum ditempatkan",IF(I316="","CEK ID FIXTURE tidak ada di DAFTAR_FIXTURE",IF(G316="","CEK ZONA NO kosong",IF(K316="zona tidak ada di layout","CEK ZONA NO di luar layout",IF(H316&lt;&gt;K316,"CEK JENIS ZONA",IF(A316="","Zona kosong",IF(B316="","CEK SKU DESCRIPTION kosong","OK"))))))))</f>
        <v/>
      </c>
    </row>
    <row r="317">
      <c r="A317" s="10" t="n"/>
      <c r="B317" s="11" t="n"/>
      <c r="C317" s="11" t="n"/>
      <c r="D317" s="11" t="n"/>
      <c r="E317" s="11" t="n"/>
      <c r="F317" s="11" t="n"/>
      <c r="G317" s="11" t="n"/>
      <c r="H317" s="11" t="n"/>
      <c r="I317" s="12">
        <f>IF(F317="","",IFERROR(INDEX(DAFTAR_FIXTURE!$B$2:$B$51,MATCH(F317,DAFTAR_FIXTURE!$A$2:$A$51,0)),""))</f>
        <v/>
      </c>
      <c r="J317" s="12">
        <f>IF(A317="","","https://cdn.ruparupa.io/fit-in/850x850/ruparupa-com/image/upload/Products/"&amp;A317&amp;"_1.jpg")</f>
        <v/>
      </c>
      <c r="K317" s="12">
        <f>IF(OR(I317="",G317=""),"",IFERROR(INDEX(LAYOUT!$D$2:$D$34,MATCH(I317&amp;"|"&amp;G317,LAYOUT!$E$2:$E$34,0)),"zona tidak ada di layout"))</f>
        <v/>
      </c>
      <c r="L317" s="12">
        <f>IF(OR(F317="",A317=""),"",COUNTIFS($F$2:$F$500,F317,$G$2:$G$500,G317,$A$2:$A$500,"&lt;&gt;"))</f>
        <v/>
      </c>
      <c r="M317" s="12">
        <f>IF(AND(A317="",F317=""),"",IF(F317="","Belum ditempatkan",IF(I317="","CEK ID FIXTURE tidak ada di DAFTAR_FIXTURE",IF(G317="","CEK ZONA NO kosong",IF(K317="zona tidak ada di layout","CEK ZONA NO di luar layout",IF(H317&lt;&gt;K317,"CEK JENIS ZONA",IF(A317="","Zona kosong",IF(B317="","CEK SKU DESCRIPTION kosong","OK"))))))))</f>
        <v/>
      </c>
    </row>
    <row r="318">
      <c r="A318" s="10" t="n"/>
      <c r="B318" s="11" t="n"/>
      <c r="C318" s="11" t="n"/>
      <c r="D318" s="11" t="n"/>
      <c r="E318" s="11" t="n"/>
      <c r="F318" s="11" t="n"/>
      <c r="G318" s="11" t="n"/>
      <c r="H318" s="11" t="n"/>
      <c r="I318" s="12">
        <f>IF(F318="","",IFERROR(INDEX(DAFTAR_FIXTURE!$B$2:$B$51,MATCH(F318,DAFTAR_FIXTURE!$A$2:$A$51,0)),""))</f>
        <v/>
      </c>
      <c r="J318" s="12">
        <f>IF(A318="","","https://cdn.ruparupa.io/fit-in/850x850/ruparupa-com/image/upload/Products/"&amp;A318&amp;"_1.jpg")</f>
        <v/>
      </c>
      <c r="K318" s="12">
        <f>IF(OR(I318="",G318=""),"",IFERROR(INDEX(LAYOUT!$D$2:$D$34,MATCH(I318&amp;"|"&amp;G318,LAYOUT!$E$2:$E$34,0)),"zona tidak ada di layout"))</f>
        <v/>
      </c>
      <c r="L318" s="12">
        <f>IF(OR(F318="",A318=""),"",COUNTIFS($F$2:$F$500,F318,$G$2:$G$500,G318,$A$2:$A$500,"&lt;&gt;"))</f>
        <v/>
      </c>
      <c r="M318" s="12">
        <f>IF(AND(A318="",F318=""),"",IF(F318="","Belum ditempatkan",IF(I318="","CEK ID FIXTURE tidak ada di DAFTAR_FIXTURE",IF(G318="","CEK ZONA NO kosong",IF(K318="zona tidak ada di layout","CEK ZONA NO di luar layout",IF(H318&lt;&gt;K318,"CEK JENIS ZONA",IF(A318="","Zona kosong",IF(B318="","CEK SKU DESCRIPTION kosong","OK"))))))))</f>
        <v/>
      </c>
    </row>
    <row r="319">
      <c r="A319" s="10" t="n"/>
      <c r="B319" s="11" t="n"/>
      <c r="C319" s="11" t="n"/>
      <c r="D319" s="11" t="n"/>
      <c r="E319" s="11" t="n"/>
      <c r="F319" s="11" t="n"/>
      <c r="G319" s="11" t="n"/>
      <c r="H319" s="11" t="n"/>
      <c r="I319" s="12">
        <f>IF(F319="","",IFERROR(INDEX(DAFTAR_FIXTURE!$B$2:$B$51,MATCH(F319,DAFTAR_FIXTURE!$A$2:$A$51,0)),""))</f>
        <v/>
      </c>
      <c r="J319" s="12">
        <f>IF(A319="","","https://cdn.ruparupa.io/fit-in/850x850/ruparupa-com/image/upload/Products/"&amp;A319&amp;"_1.jpg")</f>
        <v/>
      </c>
      <c r="K319" s="12">
        <f>IF(OR(I319="",G319=""),"",IFERROR(INDEX(LAYOUT!$D$2:$D$34,MATCH(I319&amp;"|"&amp;G319,LAYOUT!$E$2:$E$34,0)),"zona tidak ada di layout"))</f>
        <v/>
      </c>
      <c r="L319" s="12">
        <f>IF(OR(F319="",A319=""),"",COUNTIFS($F$2:$F$500,F319,$G$2:$G$500,G319,$A$2:$A$500,"&lt;&gt;"))</f>
        <v/>
      </c>
      <c r="M319" s="12">
        <f>IF(AND(A319="",F319=""),"",IF(F319="","Belum ditempatkan",IF(I319="","CEK ID FIXTURE tidak ada di DAFTAR_FIXTURE",IF(G319="","CEK ZONA NO kosong",IF(K319="zona tidak ada di layout","CEK ZONA NO di luar layout",IF(H319&lt;&gt;K319,"CEK JENIS ZONA",IF(A319="","Zona kosong",IF(B319="","CEK SKU DESCRIPTION kosong","OK"))))))))</f>
        <v/>
      </c>
    </row>
    <row r="320">
      <c r="A320" s="10" t="n"/>
      <c r="B320" s="11" t="n"/>
      <c r="C320" s="11" t="n"/>
      <c r="D320" s="11" t="n"/>
      <c r="E320" s="11" t="n"/>
      <c r="F320" s="11" t="n"/>
      <c r="G320" s="11" t="n"/>
      <c r="H320" s="11" t="n"/>
      <c r="I320" s="12">
        <f>IF(F320="","",IFERROR(INDEX(DAFTAR_FIXTURE!$B$2:$B$51,MATCH(F320,DAFTAR_FIXTURE!$A$2:$A$51,0)),""))</f>
        <v/>
      </c>
      <c r="J320" s="12">
        <f>IF(A320="","","https://cdn.ruparupa.io/fit-in/850x850/ruparupa-com/image/upload/Products/"&amp;A320&amp;"_1.jpg")</f>
        <v/>
      </c>
      <c r="K320" s="12">
        <f>IF(OR(I320="",G320=""),"",IFERROR(INDEX(LAYOUT!$D$2:$D$34,MATCH(I320&amp;"|"&amp;G320,LAYOUT!$E$2:$E$34,0)),"zona tidak ada di layout"))</f>
        <v/>
      </c>
      <c r="L320" s="12">
        <f>IF(OR(F320="",A320=""),"",COUNTIFS($F$2:$F$500,F320,$G$2:$G$500,G320,$A$2:$A$500,"&lt;&gt;"))</f>
        <v/>
      </c>
      <c r="M320" s="12">
        <f>IF(AND(A320="",F320=""),"",IF(F320="","Belum ditempatkan",IF(I320="","CEK ID FIXTURE tidak ada di DAFTAR_FIXTURE",IF(G320="","CEK ZONA NO kosong",IF(K320="zona tidak ada di layout","CEK ZONA NO di luar layout",IF(H320&lt;&gt;K320,"CEK JENIS ZONA",IF(A320="","Zona kosong",IF(B320="","CEK SKU DESCRIPTION kosong","OK"))))))))</f>
        <v/>
      </c>
    </row>
    <row r="321">
      <c r="A321" s="10" t="n"/>
      <c r="B321" s="11" t="n"/>
      <c r="C321" s="11" t="n"/>
      <c r="D321" s="11" t="n"/>
      <c r="E321" s="11" t="n"/>
      <c r="F321" s="11" t="n"/>
      <c r="G321" s="11" t="n"/>
      <c r="H321" s="11" t="n"/>
      <c r="I321" s="12">
        <f>IF(F321="","",IFERROR(INDEX(DAFTAR_FIXTURE!$B$2:$B$51,MATCH(F321,DAFTAR_FIXTURE!$A$2:$A$51,0)),""))</f>
        <v/>
      </c>
      <c r="J321" s="12">
        <f>IF(A321="","","https://cdn.ruparupa.io/fit-in/850x850/ruparupa-com/image/upload/Products/"&amp;A321&amp;"_1.jpg")</f>
        <v/>
      </c>
      <c r="K321" s="12">
        <f>IF(OR(I321="",G321=""),"",IFERROR(INDEX(LAYOUT!$D$2:$D$34,MATCH(I321&amp;"|"&amp;G321,LAYOUT!$E$2:$E$34,0)),"zona tidak ada di layout"))</f>
        <v/>
      </c>
      <c r="L321" s="12">
        <f>IF(OR(F321="",A321=""),"",COUNTIFS($F$2:$F$500,F321,$G$2:$G$500,G321,$A$2:$A$500,"&lt;&gt;"))</f>
        <v/>
      </c>
      <c r="M321" s="12">
        <f>IF(AND(A321="",F321=""),"",IF(F321="","Belum ditempatkan",IF(I321="","CEK ID FIXTURE tidak ada di DAFTAR_FIXTURE",IF(G321="","CEK ZONA NO kosong",IF(K321="zona tidak ada di layout","CEK ZONA NO di luar layout",IF(H321&lt;&gt;K321,"CEK JENIS ZONA",IF(A321="","Zona kosong",IF(B321="","CEK SKU DESCRIPTION kosong","OK"))))))))</f>
        <v/>
      </c>
    </row>
    <row r="322">
      <c r="A322" s="10" t="n"/>
      <c r="B322" s="11" t="n"/>
      <c r="C322" s="11" t="n"/>
      <c r="D322" s="11" t="n"/>
      <c r="E322" s="11" t="n"/>
      <c r="F322" s="11" t="n"/>
      <c r="G322" s="11" t="n"/>
      <c r="H322" s="11" t="n"/>
      <c r="I322" s="12">
        <f>IF(F322="","",IFERROR(INDEX(DAFTAR_FIXTURE!$B$2:$B$51,MATCH(F322,DAFTAR_FIXTURE!$A$2:$A$51,0)),""))</f>
        <v/>
      </c>
      <c r="J322" s="12">
        <f>IF(A322="","","https://cdn.ruparupa.io/fit-in/850x850/ruparupa-com/image/upload/Products/"&amp;A322&amp;"_1.jpg")</f>
        <v/>
      </c>
      <c r="K322" s="12">
        <f>IF(OR(I322="",G322=""),"",IFERROR(INDEX(LAYOUT!$D$2:$D$34,MATCH(I322&amp;"|"&amp;G322,LAYOUT!$E$2:$E$34,0)),"zona tidak ada di layout"))</f>
        <v/>
      </c>
      <c r="L322" s="12">
        <f>IF(OR(F322="",A322=""),"",COUNTIFS($F$2:$F$500,F322,$G$2:$G$500,G322,$A$2:$A$500,"&lt;&gt;"))</f>
        <v/>
      </c>
      <c r="M322" s="12">
        <f>IF(AND(A322="",F322=""),"",IF(F322="","Belum ditempatkan",IF(I322="","CEK ID FIXTURE tidak ada di DAFTAR_FIXTURE",IF(G322="","CEK ZONA NO kosong",IF(K322="zona tidak ada di layout","CEK ZONA NO di luar layout",IF(H322&lt;&gt;K322,"CEK JENIS ZONA",IF(A322="","Zona kosong",IF(B322="","CEK SKU DESCRIPTION kosong","OK"))))))))</f>
        <v/>
      </c>
    </row>
    <row r="323">
      <c r="A323" s="10" t="n"/>
      <c r="B323" s="11" t="n"/>
      <c r="C323" s="11" t="n"/>
      <c r="D323" s="11" t="n"/>
      <c r="E323" s="11" t="n"/>
      <c r="F323" s="11" t="n"/>
      <c r="G323" s="11" t="n"/>
      <c r="H323" s="11" t="n"/>
      <c r="I323" s="12">
        <f>IF(F323="","",IFERROR(INDEX(DAFTAR_FIXTURE!$B$2:$B$51,MATCH(F323,DAFTAR_FIXTURE!$A$2:$A$51,0)),""))</f>
        <v/>
      </c>
      <c r="J323" s="12">
        <f>IF(A323="","","https://cdn.ruparupa.io/fit-in/850x850/ruparupa-com/image/upload/Products/"&amp;A323&amp;"_1.jpg")</f>
        <v/>
      </c>
      <c r="K323" s="12">
        <f>IF(OR(I323="",G323=""),"",IFERROR(INDEX(LAYOUT!$D$2:$D$34,MATCH(I323&amp;"|"&amp;G323,LAYOUT!$E$2:$E$34,0)),"zona tidak ada di layout"))</f>
        <v/>
      </c>
      <c r="L323" s="12">
        <f>IF(OR(F323="",A323=""),"",COUNTIFS($F$2:$F$500,F323,$G$2:$G$500,G323,$A$2:$A$500,"&lt;&gt;"))</f>
        <v/>
      </c>
      <c r="M323" s="12">
        <f>IF(AND(A323="",F323=""),"",IF(F323="","Belum ditempatkan",IF(I323="","CEK ID FIXTURE tidak ada di DAFTAR_FIXTURE",IF(G323="","CEK ZONA NO kosong",IF(K323="zona tidak ada di layout","CEK ZONA NO di luar layout",IF(H323&lt;&gt;K323,"CEK JENIS ZONA",IF(A323="","Zona kosong",IF(B323="","CEK SKU DESCRIPTION kosong","OK"))))))))</f>
        <v/>
      </c>
    </row>
    <row r="324">
      <c r="A324" s="10" t="n"/>
      <c r="B324" s="11" t="n"/>
      <c r="C324" s="11" t="n"/>
      <c r="D324" s="11" t="n"/>
      <c r="E324" s="11" t="n"/>
      <c r="F324" s="11" t="n"/>
      <c r="G324" s="11" t="n"/>
      <c r="H324" s="11" t="n"/>
      <c r="I324" s="12">
        <f>IF(F324="","",IFERROR(INDEX(DAFTAR_FIXTURE!$B$2:$B$51,MATCH(F324,DAFTAR_FIXTURE!$A$2:$A$51,0)),""))</f>
        <v/>
      </c>
      <c r="J324" s="12">
        <f>IF(A324="","","https://cdn.ruparupa.io/fit-in/850x850/ruparupa-com/image/upload/Products/"&amp;A324&amp;"_1.jpg")</f>
        <v/>
      </c>
      <c r="K324" s="12">
        <f>IF(OR(I324="",G324=""),"",IFERROR(INDEX(LAYOUT!$D$2:$D$34,MATCH(I324&amp;"|"&amp;G324,LAYOUT!$E$2:$E$34,0)),"zona tidak ada di layout"))</f>
        <v/>
      </c>
      <c r="L324" s="12">
        <f>IF(OR(F324="",A324=""),"",COUNTIFS($F$2:$F$500,F324,$G$2:$G$500,G324,$A$2:$A$500,"&lt;&gt;"))</f>
        <v/>
      </c>
      <c r="M324" s="12">
        <f>IF(AND(A324="",F324=""),"",IF(F324="","Belum ditempatkan",IF(I324="","CEK ID FIXTURE tidak ada di DAFTAR_FIXTURE",IF(G324="","CEK ZONA NO kosong",IF(K324="zona tidak ada di layout","CEK ZONA NO di luar layout",IF(H324&lt;&gt;K324,"CEK JENIS ZONA",IF(A324="","Zona kosong",IF(B324="","CEK SKU DESCRIPTION kosong","OK"))))))))</f>
        <v/>
      </c>
    </row>
    <row r="325">
      <c r="A325" s="10" t="n"/>
      <c r="B325" s="11" t="n"/>
      <c r="C325" s="11" t="n"/>
      <c r="D325" s="11" t="n"/>
      <c r="E325" s="11" t="n"/>
      <c r="F325" s="11" t="n"/>
      <c r="G325" s="11" t="n"/>
      <c r="H325" s="11" t="n"/>
      <c r="I325" s="12">
        <f>IF(F325="","",IFERROR(INDEX(DAFTAR_FIXTURE!$B$2:$B$51,MATCH(F325,DAFTAR_FIXTURE!$A$2:$A$51,0)),""))</f>
        <v/>
      </c>
      <c r="J325" s="12">
        <f>IF(A325="","","https://cdn.ruparupa.io/fit-in/850x850/ruparupa-com/image/upload/Products/"&amp;A325&amp;"_1.jpg")</f>
        <v/>
      </c>
      <c r="K325" s="12">
        <f>IF(OR(I325="",G325=""),"",IFERROR(INDEX(LAYOUT!$D$2:$D$34,MATCH(I325&amp;"|"&amp;G325,LAYOUT!$E$2:$E$34,0)),"zona tidak ada di layout"))</f>
        <v/>
      </c>
      <c r="L325" s="12">
        <f>IF(OR(F325="",A325=""),"",COUNTIFS($F$2:$F$500,F325,$G$2:$G$500,G325,$A$2:$A$500,"&lt;&gt;"))</f>
        <v/>
      </c>
      <c r="M325" s="12">
        <f>IF(AND(A325="",F325=""),"",IF(F325="","Belum ditempatkan",IF(I325="","CEK ID FIXTURE tidak ada di DAFTAR_FIXTURE",IF(G325="","CEK ZONA NO kosong",IF(K325="zona tidak ada di layout","CEK ZONA NO di luar layout",IF(H325&lt;&gt;K325,"CEK JENIS ZONA",IF(A325="","Zona kosong",IF(B325="","CEK SKU DESCRIPTION kosong","OK"))))))))</f>
        <v/>
      </c>
    </row>
    <row r="326">
      <c r="A326" s="10" t="n"/>
      <c r="B326" s="11" t="n"/>
      <c r="C326" s="11" t="n"/>
      <c r="D326" s="11" t="n"/>
      <c r="E326" s="11" t="n"/>
      <c r="F326" s="11" t="n"/>
      <c r="G326" s="11" t="n"/>
      <c r="H326" s="11" t="n"/>
      <c r="I326" s="12">
        <f>IF(F326="","",IFERROR(INDEX(DAFTAR_FIXTURE!$B$2:$B$51,MATCH(F326,DAFTAR_FIXTURE!$A$2:$A$51,0)),""))</f>
        <v/>
      </c>
      <c r="J326" s="12">
        <f>IF(A326="","","https://cdn.ruparupa.io/fit-in/850x850/ruparupa-com/image/upload/Products/"&amp;A326&amp;"_1.jpg")</f>
        <v/>
      </c>
      <c r="K326" s="12">
        <f>IF(OR(I326="",G326=""),"",IFERROR(INDEX(LAYOUT!$D$2:$D$34,MATCH(I326&amp;"|"&amp;G326,LAYOUT!$E$2:$E$34,0)),"zona tidak ada di layout"))</f>
        <v/>
      </c>
      <c r="L326" s="12">
        <f>IF(OR(F326="",A326=""),"",COUNTIFS($F$2:$F$500,F326,$G$2:$G$500,G326,$A$2:$A$500,"&lt;&gt;"))</f>
        <v/>
      </c>
      <c r="M326" s="12">
        <f>IF(AND(A326="",F326=""),"",IF(F326="","Belum ditempatkan",IF(I326="","CEK ID FIXTURE tidak ada di DAFTAR_FIXTURE",IF(G326="","CEK ZONA NO kosong",IF(K326="zona tidak ada di layout","CEK ZONA NO di luar layout",IF(H326&lt;&gt;K326,"CEK JENIS ZONA",IF(A326="","Zona kosong",IF(B326="","CEK SKU DESCRIPTION kosong","OK"))))))))</f>
        <v/>
      </c>
    </row>
    <row r="327">
      <c r="A327" s="10" t="n"/>
      <c r="B327" s="11" t="n"/>
      <c r="C327" s="11" t="n"/>
      <c r="D327" s="11" t="n"/>
      <c r="E327" s="11" t="n"/>
      <c r="F327" s="11" t="n"/>
      <c r="G327" s="11" t="n"/>
      <c r="H327" s="11" t="n"/>
      <c r="I327" s="12">
        <f>IF(F327="","",IFERROR(INDEX(DAFTAR_FIXTURE!$B$2:$B$51,MATCH(F327,DAFTAR_FIXTURE!$A$2:$A$51,0)),""))</f>
        <v/>
      </c>
      <c r="J327" s="12">
        <f>IF(A327="","","https://cdn.ruparupa.io/fit-in/850x850/ruparupa-com/image/upload/Products/"&amp;A327&amp;"_1.jpg")</f>
        <v/>
      </c>
      <c r="K327" s="12">
        <f>IF(OR(I327="",G327=""),"",IFERROR(INDEX(LAYOUT!$D$2:$D$34,MATCH(I327&amp;"|"&amp;G327,LAYOUT!$E$2:$E$34,0)),"zona tidak ada di layout"))</f>
        <v/>
      </c>
      <c r="L327" s="12">
        <f>IF(OR(F327="",A327=""),"",COUNTIFS($F$2:$F$500,F327,$G$2:$G$500,G327,$A$2:$A$500,"&lt;&gt;"))</f>
        <v/>
      </c>
      <c r="M327" s="12">
        <f>IF(AND(A327="",F327=""),"",IF(F327="","Belum ditempatkan",IF(I327="","CEK ID FIXTURE tidak ada di DAFTAR_FIXTURE",IF(G327="","CEK ZONA NO kosong",IF(K327="zona tidak ada di layout","CEK ZONA NO di luar layout",IF(H327&lt;&gt;K327,"CEK JENIS ZONA",IF(A327="","Zona kosong",IF(B327="","CEK SKU DESCRIPTION kosong","OK"))))))))</f>
        <v/>
      </c>
    </row>
    <row r="328">
      <c r="A328" s="10" t="n"/>
      <c r="B328" s="11" t="n"/>
      <c r="C328" s="11" t="n"/>
      <c r="D328" s="11" t="n"/>
      <c r="E328" s="11" t="n"/>
      <c r="F328" s="11" t="n"/>
      <c r="G328" s="11" t="n"/>
      <c r="H328" s="11" t="n"/>
      <c r="I328" s="12">
        <f>IF(F328="","",IFERROR(INDEX(DAFTAR_FIXTURE!$B$2:$B$51,MATCH(F328,DAFTAR_FIXTURE!$A$2:$A$51,0)),""))</f>
        <v/>
      </c>
      <c r="J328" s="12">
        <f>IF(A328="","","https://cdn.ruparupa.io/fit-in/850x850/ruparupa-com/image/upload/Products/"&amp;A328&amp;"_1.jpg")</f>
        <v/>
      </c>
      <c r="K328" s="12">
        <f>IF(OR(I328="",G328=""),"",IFERROR(INDEX(LAYOUT!$D$2:$D$34,MATCH(I328&amp;"|"&amp;G328,LAYOUT!$E$2:$E$34,0)),"zona tidak ada di layout"))</f>
        <v/>
      </c>
      <c r="L328" s="12">
        <f>IF(OR(F328="",A328=""),"",COUNTIFS($F$2:$F$500,F328,$G$2:$G$500,G328,$A$2:$A$500,"&lt;&gt;"))</f>
        <v/>
      </c>
      <c r="M328" s="12">
        <f>IF(AND(A328="",F328=""),"",IF(F328="","Belum ditempatkan",IF(I328="","CEK ID FIXTURE tidak ada di DAFTAR_FIXTURE",IF(G328="","CEK ZONA NO kosong",IF(K328="zona tidak ada di layout","CEK ZONA NO di luar layout",IF(H328&lt;&gt;K328,"CEK JENIS ZONA",IF(A328="","Zona kosong",IF(B328="","CEK SKU DESCRIPTION kosong","OK"))))))))</f>
        <v/>
      </c>
    </row>
    <row r="329">
      <c r="A329" s="10" t="n"/>
      <c r="B329" s="11" t="n"/>
      <c r="C329" s="11" t="n"/>
      <c r="D329" s="11" t="n"/>
      <c r="E329" s="11" t="n"/>
      <c r="F329" s="11" t="n"/>
      <c r="G329" s="11" t="n"/>
      <c r="H329" s="11" t="n"/>
      <c r="I329" s="12">
        <f>IF(F329="","",IFERROR(INDEX(DAFTAR_FIXTURE!$B$2:$B$51,MATCH(F329,DAFTAR_FIXTURE!$A$2:$A$51,0)),""))</f>
        <v/>
      </c>
      <c r="J329" s="12">
        <f>IF(A329="","","https://cdn.ruparupa.io/fit-in/850x850/ruparupa-com/image/upload/Products/"&amp;A329&amp;"_1.jpg")</f>
        <v/>
      </c>
      <c r="K329" s="12">
        <f>IF(OR(I329="",G329=""),"",IFERROR(INDEX(LAYOUT!$D$2:$D$34,MATCH(I329&amp;"|"&amp;G329,LAYOUT!$E$2:$E$34,0)),"zona tidak ada di layout"))</f>
        <v/>
      </c>
      <c r="L329" s="12">
        <f>IF(OR(F329="",A329=""),"",COUNTIFS($F$2:$F$500,F329,$G$2:$G$500,G329,$A$2:$A$500,"&lt;&gt;"))</f>
        <v/>
      </c>
      <c r="M329" s="12">
        <f>IF(AND(A329="",F329=""),"",IF(F329="","Belum ditempatkan",IF(I329="","CEK ID FIXTURE tidak ada di DAFTAR_FIXTURE",IF(G329="","CEK ZONA NO kosong",IF(K329="zona tidak ada di layout","CEK ZONA NO di luar layout",IF(H329&lt;&gt;K329,"CEK JENIS ZONA",IF(A329="","Zona kosong",IF(B329="","CEK SKU DESCRIPTION kosong","OK"))))))))</f>
        <v/>
      </c>
    </row>
    <row r="330">
      <c r="A330" s="10" t="n"/>
      <c r="B330" s="11" t="n"/>
      <c r="C330" s="11" t="n"/>
      <c r="D330" s="11" t="n"/>
      <c r="E330" s="11" t="n"/>
      <c r="F330" s="11" t="n"/>
      <c r="G330" s="11" t="n"/>
      <c r="H330" s="11" t="n"/>
      <c r="I330" s="12">
        <f>IF(F330="","",IFERROR(INDEX(DAFTAR_FIXTURE!$B$2:$B$51,MATCH(F330,DAFTAR_FIXTURE!$A$2:$A$51,0)),""))</f>
        <v/>
      </c>
      <c r="J330" s="12">
        <f>IF(A330="","","https://cdn.ruparupa.io/fit-in/850x850/ruparupa-com/image/upload/Products/"&amp;A330&amp;"_1.jpg")</f>
        <v/>
      </c>
      <c r="K330" s="12">
        <f>IF(OR(I330="",G330=""),"",IFERROR(INDEX(LAYOUT!$D$2:$D$34,MATCH(I330&amp;"|"&amp;G330,LAYOUT!$E$2:$E$34,0)),"zona tidak ada di layout"))</f>
        <v/>
      </c>
      <c r="L330" s="12">
        <f>IF(OR(F330="",A330=""),"",COUNTIFS($F$2:$F$500,F330,$G$2:$G$500,G330,$A$2:$A$500,"&lt;&gt;"))</f>
        <v/>
      </c>
      <c r="M330" s="12">
        <f>IF(AND(A330="",F330=""),"",IF(F330="","Belum ditempatkan",IF(I330="","CEK ID FIXTURE tidak ada di DAFTAR_FIXTURE",IF(G330="","CEK ZONA NO kosong",IF(K330="zona tidak ada di layout","CEK ZONA NO di luar layout",IF(H330&lt;&gt;K330,"CEK JENIS ZONA",IF(A330="","Zona kosong",IF(B330="","CEK SKU DESCRIPTION kosong","OK"))))))))</f>
        <v/>
      </c>
    </row>
    <row r="331">
      <c r="A331" s="10" t="n"/>
      <c r="B331" s="11" t="n"/>
      <c r="C331" s="11" t="n"/>
      <c r="D331" s="11" t="n"/>
      <c r="E331" s="11" t="n"/>
      <c r="F331" s="11" t="n"/>
      <c r="G331" s="11" t="n"/>
      <c r="H331" s="11" t="n"/>
      <c r="I331" s="12">
        <f>IF(F331="","",IFERROR(INDEX(DAFTAR_FIXTURE!$B$2:$B$51,MATCH(F331,DAFTAR_FIXTURE!$A$2:$A$51,0)),""))</f>
        <v/>
      </c>
      <c r="J331" s="12">
        <f>IF(A331="","","https://cdn.ruparupa.io/fit-in/850x850/ruparupa-com/image/upload/Products/"&amp;A331&amp;"_1.jpg")</f>
        <v/>
      </c>
      <c r="K331" s="12">
        <f>IF(OR(I331="",G331=""),"",IFERROR(INDEX(LAYOUT!$D$2:$D$34,MATCH(I331&amp;"|"&amp;G331,LAYOUT!$E$2:$E$34,0)),"zona tidak ada di layout"))</f>
        <v/>
      </c>
      <c r="L331" s="12">
        <f>IF(OR(F331="",A331=""),"",COUNTIFS($F$2:$F$500,F331,$G$2:$G$500,G331,$A$2:$A$500,"&lt;&gt;"))</f>
        <v/>
      </c>
      <c r="M331" s="12">
        <f>IF(AND(A331="",F331=""),"",IF(F331="","Belum ditempatkan",IF(I331="","CEK ID FIXTURE tidak ada di DAFTAR_FIXTURE",IF(G331="","CEK ZONA NO kosong",IF(K331="zona tidak ada di layout","CEK ZONA NO di luar layout",IF(H331&lt;&gt;K331,"CEK JENIS ZONA",IF(A331="","Zona kosong",IF(B331="","CEK SKU DESCRIPTION kosong","OK"))))))))</f>
        <v/>
      </c>
    </row>
    <row r="332">
      <c r="A332" s="10" t="n"/>
      <c r="B332" s="11" t="n"/>
      <c r="C332" s="11" t="n"/>
      <c r="D332" s="11" t="n"/>
      <c r="E332" s="11" t="n"/>
      <c r="F332" s="11" t="n"/>
      <c r="G332" s="11" t="n"/>
      <c r="H332" s="11" t="n"/>
      <c r="I332" s="12">
        <f>IF(F332="","",IFERROR(INDEX(DAFTAR_FIXTURE!$B$2:$B$51,MATCH(F332,DAFTAR_FIXTURE!$A$2:$A$51,0)),""))</f>
        <v/>
      </c>
      <c r="J332" s="12">
        <f>IF(A332="","","https://cdn.ruparupa.io/fit-in/850x850/ruparupa-com/image/upload/Products/"&amp;A332&amp;"_1.jpg")</f>
        <v/>
      </c>
      <c r="K332" s="12">
        <f>IF(OR(I332="",G332=""),"",IFERROR(INDEX(LAYOUT!$D$2:$D$34,MATCH(I332&amp;"|"&amp;G332,LAYOUT!$E$2:$E$34,0)),"zona tidak ada di layout"))</f>
        <v/>
      </c>
      <c r="L332" s="12">
        <f>IF(OR(F332="",A332=""),"",COUNTIFS($F$2:$F$500,F332,$G$2:$G$500,G332,$A$2:$A$500,"&lt;&gt;"))</f>
        <v/>
      </c>
      <c r="M332" s="12">
        <f>IF(AND(A332="",F332=""),"",IF(F332="","Belum ditempatkan",IF(I332="","CEK ID FIXTURE tidak ada di DAFTAR_FIXTURE",IF(G332="","CEK ZONA NO kosong",IF(K332="zona tidak ada di layout","CEK ZONA NO di luar layout",IF(H332&lt;&gt;K332,"CEK JENIS ZONA",IF(A332="","Zona kosong",IF(B332="","CEK SKU DESCRIPTION kosong","OK"))))))))</f>
        <v/>
      </c>
    </row>
    <row r="333">
      <c r="A333" s="10" t="n"/>
      <c r="B333" s="11" t="n"/>
      <c r="C333" s="11" t="n"/>
      <c r="D333" s="11" t="n"/>
      <c r="E333" s="11" t="n"/>
      <c r="F333" s="11" t="n"/>
      <c r="G333" s="11" t="n"/>
      <c r="H333" s="11" t="n"/>
      <c r="I333" s="12">
        <f>IF(F333="","",IFERROR(INDEX(DAFTAR_FIXTURE!$B$2:$B$51,MATCH(F333,DAFTAR_FIXTURE!$A$2:$A$51,0)),""))</f>
        <v/>
      </c>
      <c r="J333" s="12">
        <f>IF(A333="","","https://cdn.ruparupa.io/fit-in/850x850/ruparupa-com/image/upload/Products/"&amp;A333&amp;"_1.jpg")</f>
        <v/>
      </c>
      <c r="K333" s="12">
        <f>IF(OR(I333="",G333=""),"",IFERROR(INDEX(LAYOUT!$D$2:$D$34,MATCH(I333&amp;"|"&amp;G333,LAYOUT!$E$2:$E$34,0)),"zona tidak ada di layout"))</f>
        <v/>
      </c>
      <c r="L333" s="12">
        <f>IF(OR(F333="",A333=""),"",COUNTIFS($F$2:$F$500,F333,$G$2:$G$500,G333,$A$2:$A$500,"&lt;&gt;"))</f>
        <v/>
      </c>
      <c r="M333" s="12">
        <f>IF(AND(A333="",F333=""),"",IF(F333="","Belum ditempatkan",IF(I333="","CEK ID FIXTURE tidak ada di DAFTAR_FIXTURE",IF(G333="","CEK ZONA NO kosong",IF(K333="zona tidak ada di layout","CEK ZONA NO di luar layout",IF(H333&lt;&gt;K333,"CEK JENIS ZONA",IF(A333="","Zona kosong",IF(B333="","CEK SKU DESCRIPTION kosong","OK"))))))))</f>
        <v/>
      </c>
    </row>
    <row r="334">
      <c r="A334" s="10" t="n"/>
      <c r="B334" s="11" t="n"/>
      <c r="C334" s="11" t="n"/>
      <c r="D334" s="11" t="n"/>
      <c r="E334" s="11" t="n"/>
      <c r="F334" s="11" t="n"/>
      <c r="G334" s="11" t="n"/>
      <c r="H334" s="11" t="n"/>
      <c r="I334" s="12">
        <f>IF(F334="","",IFERROR(INDEX(DAFTAR_FIXTURE!$B$2:$B$51,MATCH(F334,DAFTAR_FIXTURE!$A$2:$A$51,0)),""))</f>
        <v/>
      </c>
      <c r="J334" s="12">
        <f>IF(A334="","","https://cdn.ruparupa.io/fit-in/850x850/ruparupa-com/image/upload/Products/"&amp;A334&amp;"_1.jpg")</f>
        <v/>
      </c>
      <c r="K334" s="12">
        <f>IF(OR(I334="",G334=""),"",IFERROR(INDEX(LAYOUT!$D$2:$D$34,MATCH(I334&amp;"|"&amp;G334,LAYOUT!$E$2:$E$34,0)),"zona tidak ada di layout"))</f>
        <v/>
      </c>
      <c r="L334" s="12">
        <f>IF(OR(F334="",A334=""),"",COUNTIFS($F$2:$F$500,F334,$G$2:$G$500,G334,$A$2:$A$500,"&lt;&gt;"))</f>
        <v/>
      </c>
      <c r="M334" s="12">
        <f>IF(AND(A334="",F334=""),"",IF(F334="","Belum ditempatkan",IF(I334="","CEK ID FIXTURE tidak ada di DAFTAR_FIXTURE",IF(G334="","CEK ZONA NO kosong",IF(K334="zona tidak ada di layout","CEK ZONA NO di luar layout",IF(H334&lt;&gt;K334,"CEK JENIS ZONA",IF(A334="","Zona kosong",IF(B334="","CEK SKU DESCRIPTION kosong","OK"))))))))</f>
        <v/>
      </c>
    </row>
    <row r="335">
      <c r="A335" s="10" t="n"/>
      <c r="B335" s="11" t="n"/>
      <c r="C335" s="11" t="n"/>
      <c r="D335" s="11" t="n"/>
      <c r="E335" s="11" t="n"/>
      <c r="F335" s="11" t="n"/>
      <c r="G335" s="11" t="n"/>
      <c r="H335" s="11" t="n"/>
      <c r="I335" s="12">
        <f>IF(F335="","",IFERROR(INDEX(DAFTAR_FIXTURE!$B$2:$B$51,MATCH(F335,DAFTAR_FIXTURE!$A$2:$A$51,0)),""))</f>
        <v/>
      </c>
      <c r="J335" s="12">
        <f>IF(A335="","","https://cdn.ruparupa.io/fit-in/850x850/ruparupa-com/image/upload/Products/"&amp;A335&amp;"_1.jpg")</f>
        <v/>
      </c>
      <c r="K335" s="12">
        <f>IF(OR(I335="",G335=""),"",IFERROR(INDEX(LAYOUT!$D$2:$D$34,MATCH(I335&amp;"|"&amp;G335,LAYOUT!$E$2:$E$34,0)),"zona tidak ada di layout"))</f>
        <v/>
      </c>
      <c r="L335" s="12">
        <f>IF(OR(F335="",A335=""),"",COUNTIFS($F$2:$F$500,F335,$G$2:$G$500,G335,$A$2:$A$500,"&lt;&gt;"))</f>
        <v/>
      </c>
      <c r="M335" s="12">
        <f>IF(AND(A335="",F335=""),"",IF(F335="","Belum ditempatkan",IF(I335="","CEK ID FIXTURE tidak ada di DAFTAR_FIXTURE",IF(G335="","CEK ZONA NO kosong",IF(K335="zona tidak ada di layout","CEK ZONA NO di luar layout",IF(H335&lt;&gt;K335,"CEK JENIS ZONA",IF(A335="","Zona kosong",IF(B335="","CEK SKU DESCRIPTION kosong","OK"))))))))</f>
        <v/>
      </c>
    </row>
    <row r="336">
      <c r="A336" s="10" t="n"/>
      <c r="B336" s="11" t="n"/>
      <c r="C336" s="11" t="n"/>
      <c r="D336" s="11" t="n"/>
      <c r="E336" s="11" t="n"/>
      <c r="F336" s="11" t="n"/>
      <c r="G336" s="11" t="n"/>
      <c r="H336" s="11" t="n"/>
      <c r="I336" s="12">
        <f>IF(F336="","",IFERROR(INDEX(DAFTAR_FIXTURE!$B$2:$B$51,MATCH(F336,DAFTAR_FIXTURE!$A$2:$A$51,0)),""))</f>
        <v/>
      </c>
      <c r="J336" s="12">
        <f>IF(A336="","","https://cdn.ruparupa.io/fit-in/850x850/ruparupa-com/image/upload/Products/"&amp;A336&amp;"_1.jpg")</f>
        <v/>
      </c>
      <c r="K336" s="12">
        <f>IF(OR(I336="",G336=""),"",IFERROR(INDEX(LAYOUT!$D$2:$D$34,MATCH(I336&amp;"|"&amp;G336,LAYOUT!$E$2:$E$34,0)),"zona tidak ada di layout"))</f>
        <v/>
      </c>
      <c r="L336" s="12">
        <f>IF(OR(F336="",A336=""),"",COUNTIFS($F$2:$F$500,F336,$G$2:$G$500,G336,$A$2:$A$500,"&lt;&gt;"))</f>
        <v/>
      </c>
      <c r="M336" s="12">
        <f>IF(AND(A336="",F336=""),"",IF(F336="","Belum ditempatkan",IF(I336="","CEK ID FIXTURE tidak ada di DAFTAR_FIXTURE",IF(G336="","CEK ZONA NO kosong",IF(K336="zona tidak ada di layout","CEK ZONA NO di luar layout",IF(H336&lt;&gt;K336,"CEK JENIS ZONA",IF(A336="","Zona kosong",IF(B336="","CEK SKU DESCRIPTION kosong","OK"))))))))</f>
        <v/>
      </c>
    </row>
    <row r="337">
      <c r="A337" s="10" t="n"/>
      <c r="B337" s="11" t="n"/>
      <c r="C337" s="11" t="n"/>
      <c r="D337" s="11" t="n"/>
      <c r="E337" s="11" t="n"/>
      <c r="F337" s="11" t="n"/>
      <c r="G337" s="11" t="n"/>
      <c r="H337" s="11" t="n"/>
      <c r="I337" s="12">
        <f>IF(F337="","",IFERROR(INDEX(DAFTAR_FIXTURE!$B$2:$B$51,MATCH(F337,DAFTAR_FIXTURE!$A$2:$A$51,0)),""))</f>
        <v/>
      </c>
      <c r="J337" s="12">
        <f>IF(A337="","","https://cdn.ruparupa.io/fit-in/850x850/ruparupa-com/image/upload/Products/"&amp;A337&amp;"_1.jpg")</f>
        <v/>
      </c>
      <c r="K337" s="12">
        <f>IF(OR(I337="",G337=""),"",IFERROR(INDEX(LAYOUT!$D$2:$D$34,MATCH(I337&amp;"|"&amp;G337,LAYOUT!$E$2:$E$34,0)),"zona tidak ada di layout"))</f>
        <v/>
      </c>
      <c r="L337" s="12">
        <f>IF(OR(F337="",A337=""),"",COUNTIFS($F$2:$F$500,F337,$G$2:$G$500,G337,$A$2:$A$500,"&lt;&gt;"))</f>
        <v/>
      </c>
      <c r="M337" s="12">
        <f>IF(AND(A337="",F337=""),"",IF(F337="","Belum ditempatkan",IF(I337="","CEK ID FIXTURE tidak ada di DAFTAR_FIXTURE",IF(G337="","CEK ZONA NO kosong",IF(K337="zona tidak ada di layout","CEK ZONA NO di luar layout",IF(H337&lt;&gt;K337,"CEK JENIS ZONA",IF(A337="","Zona kosong",IF(B337="","CEK SKU DESCRIPTION kosong","OK"))))))))</f>
        <v/>
      </c>
    </row>
    <row r="338">
      <c r="A338" s="10" t="n"/>
      <c r="B338" s="11" t="n"/>
      <c r="C338" s="11" t="n"/>
      <c r="D338" s="11" t="n"/>
      <c r="E338" s="11" t="n"/>
      <c r="F338" s="11" t="n"/>
      <c r="G338" s="11" t="n"/>
      <c r="H338" s="11" t="n"/>
      <c r="I338" s="12">
        <f>IF(F338="","",IFERROR(INDEX(DAFTAR_FIXTURE!$B$2:$B$51,MATCH(F338,DAFTAR_FIXTURE!$A$2:$A$51,0)),""))</f>
        <v/>
      </c>
      <c r="J338" s="12">
        <f>IF(A338="","","https://cdn.ruparupa.io/fit-in/850x850/ruparupa-com/image/upload/Products/"&amp;A338&amp;"_1.jpg")</f>
        <v/>
      </c>
      <c r="K338" s="12">
        <f>IF(OR(I338="",G338=""),"",IFERROR(INDEX(LAYOUT!$D$2:$D$34,MATCH(I338&amp;"|"&amp;G338,LAYOUT!$E$2:$E$34,0)),"zona tidak ada di layout"))</f>
        <v/>
      </c>
      <c r="L338" s="12">
        <f>IF(OR(F338="",A338=""),"",COUNTIFS($F$2:$F$500,F338,$G$2:$G$500,G338,$A$2:$A$500,"&lt;&gt;"))</f>
        <v/>
      </c>
      <c r="M338" s="12">
        <f>IF(AND(A338="",F338=""),"",IF(F338="","Belum ditempatkan",IF(I338="","CEK ID FIXTURE tidak ada di DAFTAR_FIXTURE",IF(G338="","CEK ZONA NO kosong",IF(K338="zona tidak ada di layout","CEK ZONA NO di luar layout",IF(H338&lt;&gt;K338,"CEK JENIS ZONA",IF(A338="","Zona kosong",IF(B338="","CEK SKU DESCRIPTION kosong","OK"))))))))</f>
        <v/>
      </c>
    </row>
    <row r="339">
      <c r="A339" s="10" t="n"/>
      <c r="B339" s="11" t="n"/>
      <c r="C339" s="11" t="n"/>
      <c r="D339" s="11" t="n"/>
      <c r="E339" s="11" t="n"/>
      <c r="F339" s="11" t="n"/>
      <c r="G339" s="11" t="n"/>
      <c r="H339" s="11" t="n"/>
      <c r="I339" s="12">
        <f>IF(F339="","",IFERROR(INDEX(DAFTAR_FIXTURE!$B$2:$B$51,MATCH(F339,DAFTAR_FIXTURE!$A$2:$A$51,0)),""))</f>
        <v/>
      </c>
      <c r="J339" s="12">
        <f>IF(A339="","","https://cdn.ruparupa.io/fit-in/850x850/ruparupa-com/image/upload/Products/"&amp;A339&amp;"_1.jpg")</f>
        <v/>
      </c>
      <c r="K339" s="12">
        <f>IF(OR(I339="",G339=""),"",IFERROR(INDEX(LAYOUT!$D$2:$D$34,MATCH(I339&amp;"|"&amp;G339,LAYOUT!$E$2:$E$34,0)),"zona tidak ada di layout"))</f>
        <v/>
      </c>
      <c r="L339" s="12">
        <f>IF(OR(F339="",A339=""),"",COUNTIFS($F$2:$F$500,F339,$G$2:$G$500,G339,$A$2:$A$500,"&lt;&gt;"))</f>
        <v/>
      </c>
      <c r="M339" s="12">
        <f>IF(AND(A339="",F339=""),"",IF(F339="","Belum ditempatkan",IF(I339="","CEK ID FIXTURE tidak ada di DAFTAR_FIXTURE",IF(G339="","CEK ZONA NO kosong",IF(K339="zona tidak ada di layout","CEK ZONA NO di luar layout",IF(H339&lt;&gt;K339,"CEK JENIS ZONA",IF(A339="","Zona kosong",IF(B339="","CEK SKU DESCRIPTION kosong","OK"))))))))</f>
        <v/>
      </c>
    </row>
    <row r="340">
      <c r="A340" s="10" t="n"/>
      <c r="B340" s="11" t="n"/>
      <c r="C340" s="11" t="n"/>
      <c r="D340" s="11" t="n"/>
      <c r="E340" s="11" t="n"/>
      <c r="F340" s="11" t="n"/>
      <c r="G340" s="11" t="n"/>
      <c r="H340" s="11" t="n"/>
      <c r="I340" s="12">
        <f>IF(F340="","",IFERROR(INDEX(DAFTAR_FIXTURE!$B$2:$B$51,MATCH(F340,DAFTAR_FIXTURE!$A$2:$A$51,0)),""))</f>
        <v/>
      </c>
      <c r="J340" s="12">
        <f>IF(A340="","","https://cdn.ruparupa.io/fit-in/850x850/ruparupa-com/image/upload/Products/"&amp;A340&amp;"_1.jpg")</f>
        <v/>
      </c>
      <c r="K340" s="12">
        <f>IF(OR(I340="",G340=""),"",IFERROR(INDEX(LAYOUT!$D$2:$D$34,MATCH(I340&amp;"|"&amp;G340,LAYOUT!$E$2:$E$34,0)),"zona tidak ada di layout"))</f>
        <v/>
      </c>
      <c r="L340" s="12">
        <f>IF(OR(F340="",A340=""),"",COUNTIFS($F$2:$F$500,F340,$G$2:$G$500,G340,$A$2:$A$500,"&lt;&gt;"))</f>
        <v/>
      </c>
      <c r="M340" s="12">
        <f>IF(AND(A340="",F340=""),"",IF(F340="","Belum ditempatkan",IF(I340="","CEK ID FIXTURE tidak ada di DAFTAR_FIXTURE",IF(G340="","CEK ZONA NO kosong",IF(K340="zona tidak ada di layout","CEK ZONA NO di luar layout",IF(H340&lt;&gt;K340,"CEK JENIS ZONA",IF(A340="","Zona kosong",IF(B340="","CEK SKU DESCRIPTION kosong","OK"))))))))</f>
        <v/>
      </c>
    </row>
    <row r="341">
      <c r="A341" s="10" t="n"/>
      <c r="B341" s="11" t="n"/>
      <c r="C341" s="11" t="n"/>
      <c r="D341" s="11" t="n"/>
      <c r="E341" s="11" t="n"/>
      <c r="F341" s="11" t="n"/>
      <c r="G341" s="11" t="n"/>
      <c r="H341" s="11" t="n"/>
      <c r="I341" s="12">
        <f>IF(F341="","",IFERROR(INDEX(DAFTAR_FIXTURE!$B$2:$B$51,MATCH(F341,DAFTAR_FIXTURE!$A$2:$A$51,0)),""))</f>
        <v/>
      </c>
      <c r="J341" s="12">
        <f>IF(A341="","","https://cdn.ruparupa.io/fit-in/850x850/ruparupa-com/image/upload/Products/"&amp;A341&amp;"_1.jpg")</f>
        <v/>
      </c>
      <c r="K341" s="12">
        <f>IF(OR(I341="",G341=""),"",IFERROR(INDEX(LAYOUT!$D$2:$D$34,MATCH(I341&amp;"|"&amp;G341,LAYOUT!$E$2:$E$34,0)),"zona tidak ada di layout"))</f>
        <v/>
      </c>
      <c r="L341" s="12">
        <f>IF(OR(F341="",A341=""),"",COUNTIFS($F$2:$F$500,F341,$G$2:$G$500,G341,$A$2:$A$500,"&lt;&gt;"))</f>
        <v/>
      </c>
      <c r="M341" s="12">
        <f>IF(AND(A341="",F341=""),"",IF(F341="","Belum ditempatkan",IF(I341="","CEK ID FIXTURE tidak ada di DAFTAR_FIXTURE",IF(G341="","CEK ZONA NO kosong",IF(K341="zona tidak ada di layout","CEK ZONA NO di luar layout",IF(H341&lt;&gt;K341,"CEK JENIS ZONA",IF(A341="","Zona kosong",IF(B341="","CEK SKU DESCRIPTION kosong","OK"))))))))</f>
        <v/>
      </c>
    </row>
    <row r="342">
      <c r="A342" s="10" t="n"/>
      <c r="B342" s="11" t="n"/>
      <c r="C342" s="11" t="n"/>
      <c r="D342" s="11" t="n"/>
      <c r="E342" s="11" t="n"/>
      <c r="F342" s="11" t="n"/>
      <c r="G342" s="11" t="n"/>
      <c r="H342" s="11" t="n"/>
      <c r="I342" s="12">
        <f>IF(F342="","",IFERROR(INDEX(DAFTAR_FIXTURE!$B$2:$B$51,MATCH(F342,DAFTAR_FIXTURE!$A$2:$A$51,0)),""))</f>
        <v/>
      </c>
      <c r="J342" s="12">
        <f>IF(A342="","","https://cdn.ruparupa.io/fit-in/850x850/ruparupa-com/image/upload/Products/"&amp;A342&amp;"_1.jpg")</f>
        <v/>
      </c>
      <c r="K342" s="12">
        <f>IF(OR(I342="",G342=""),"",IFERROR(INDEX(LAYOUT!$D$2:$D$34,MATCH(I342&amp;"|"&amp;G342,LAYOUT!$E$2:$E$34,0)),"zona tidak ada di layout"))</f>
        <v/>
      </c>
      <c r="L342" s="12">
        <f>IF(OR(F342="",A342=""),"",COUNTIFS($F$2:$F$500,F342,$G$2:$G$500,G342,$A$2:$A$500,"&lt;&gt;"))</f>
        <v/>
      </c>
      <c r="M342" s="12">
        <f>IF(AND(A342="",F342=""),"",IF(F342="","Belum ditempatkan",IF(I342="","CEK ID FIXTURE tidak ada di DAFTAR_FIXTURE",IF(G342="","CEK ZONA NO kosong",IF(K342="zona tidak ada di layout","CEK ZONA NO di luar layout",IF(H342&lt;&gt;K342,"CEK JENIS ZONA",IF(A342="","Zona kosong",IF(B342="","CEK SKU DESCRIPTION kosong","OK"))))))))</f>
        <v/>
      </c>
    </row>
    <row r="343">
      <c r="A343" s="10" t="n"/>
      <c r="B343" s="11" t="n"/>
      <c r="C343" s="11" t="n"/>
      <c r="D343" s="11" t="n"/>
      <c r="E343" s="11" t="n"/>
      <c r="F343" s="11" t="n"/>
      <c r="G343" s="11" t="n"/>
      <c r="H343" s="11" t="n"/>
      <c r="I343" s="12">
        <f>IF(F343="","",IFERROR(INDEX(DAFTAR_FIXTURE!$B$2:$B$51,MATCH(F343,DAFTAR_FIXTURE!$A$2:$A$51,0)),""))</f>
        <v/>
      </c>
      <c r="J343" s="12">
        <f>IF(A343="","","https://cdn.ruparupa.io/fit-in/850x850/ruparupa-com/image/upload/Products/"&amp;A343&amp;"_1.jpg")</f>
        <v/>
      </c>
      <c r="K343" s="12">
        <f>IF(OR(I343="",G343=""),"",IFERROR(INDEX(LAYOUT!$D$2:$D$34,MATCH(I343&amp;"|"&amp;G343,LAYOUT!$E$2:$E$34,0)),"zona tidak ada di layout"))</f>
        <v/>
      </c>
      <c r="L343" s="12">
        <f>IF(OR(F343="",A343=""),"",COUNTIFS($F$2:$F$500,F343,$G$2:$G$500,G343,$A$2:$A$500,"&lt;&gt;"))</f>
        <v/>
      </c>
      <c r="M343" s="12">
        <f>IF(AND(A343="",F343=""),"",IF(F343="","Belum ditempatkan",IF(I343="","CEK ID FIXTURE tidak ada di DAFTAR_FIXTURE",IF(G343="","CEK ZONA NO kosong",IF(K343="zona tidak ada di layout","CEK ZONA NO di luar layout",IF(H343&lt;&gt;K343,"CEK JENIS ZONA",IF(A343="","Zona kosong",IF(B343="","CEK SKU DESCRIPTION kosong","OK"))))))))</f>
        <v/>
      </c>
    </row>
    <row r="344">
      <c r="A344" s="10" t="n"/>
      <c r="B344" s="11" t="n"/>
      <c r="C344" s="11" t="n"/>
      <c r="D344" s="11" t="n"/>
      <c r="E344" s="11" t="n"/>
      <c r="F344" s="11" t="n"/>
      <c r="G344" s="11" t="n"/>
      <c r="H344" s="11" t="n"/>
      <c r="I344" s="12">
        <f>IF(F344="","",IFERROR(INDEX(DAFTAR_FIXTURE!$B$2:$B$51,MATCH(F344,DAFTAR_FIXTURE!$A$2:$A$51,0)),""))</f>
        <v/>
      </c>
      <c r="J344" s="12">
        <f>IF(A344="","","https://cdn.ruparupa.io/fit-in/850x850/ruparupa-com/image/upload/Products/"&amp;A344&amp;"_1.jpg")</f>
        <v/>
      </c>
      <c r="K344" s="12">
        <f>IF(OR(I344="",G344=""),"",IFERROR(INDEX(LAYOUT!$D$2:$D$34,MATCH(I344&amp;"|"&amp;G344,LAYOUT!$E$2:$E$34,0)),"zona tidak ada di layout"))</f>
        <v/>
      </c>
      <c r="L344" s="12">
        <f>IF(OR(F344="",A344=""),"",COUNTIFS($F$2:$F$500,F344,$G$2:$G$500,G344,$A$2:$A$500,"&lt;&gt;"))</f>
        <v/>
      </c>
      <c r="M344" s="12">
        <f>IF(AND(A344="",F344=""),"",IF(F344="","Belum ditempatkan",IF(I344="","CEK ID FIXTURE tidak ada di DAFTAR_FIXTURE",IF(G344="","CEK ZONA NO kosong",IF(K344="zona tidak ada di layout","CEK ZONA NO di luar layout",IF(H344&lt;&gt;K344,"CEK JENIS ZONA",IF(A344="","Zona kosong",IF(B344="","CEK SKU DESCRIPTION kosong","OK"))))))))</f>
        <v/>
      </c>
    </row>
    <row r="345">
      <c r="A345" s="10" t="n"/>
      <c r="B345" s="11" t="n"/>
      <c r="C345" s="11" t="n"/>
      <c r="D345" s="11" t="n"/>
      <c r="E345" s="11" t="n"/>
      <c r="F345" s="11" t="n"/>
      <c r="G345" s="11" t="n"/>
      <c r="H345" s="11" t="n"/>
      <c r="I345" s="12">
        <f>IF(F345="","",IFERROR(INDEX(DAFTAR_FIXTURE!$B$2:$B$51,MATCH(F345,DAFTAR_FIXTURE!$A$2:$A$51,0)),""))</f>
        <v/>
      </c>
      <c r="J345" s="12">
        <f>IF(A345="","","https://cdn.ruparupa.io/fit-in/850x850/ruparupa-com/image/upload/Products/"&amp;A345&amp;"_1.jpg")</f>
        <v/>
      </c>
      <c r="K345" s="12">
        <f>IF(OR(I345="",G345=""),"",IFERROR(INDEX(LAYOUT!$D$2:$D$34,MATCH(I345&amp;"|"&amp;G345,LAYOUT!$E$2:$E$34,0)),"zona tidak ada di layout"))</f>
        <v/>
      </c>
      <c r="L345" s="12">
        <f>IF(OR(F345="",A345=""),"",COUNTIFS($F$2:$F$500,F345,$G$2:$G$500,G345,$A$2:$A$500,"&lt;&gt;"))</f>
        <v/>
      </c>
      <c r="M345" s="12">
        <f>IF(AND(A345="",F345=""),"",IF(F345="","Belum ditempatkan",IF(I345="","CEK ID FIXTURE tidak ada di DAFTAR_FIXTURE",IF(G345="","CEK ZONA NO kosong",IF(K345="zona tidak ada di layout","CEK ZONA NO di luar layout",IF(H345&lt;&gt;K345,"CEK JENIS ZONA",IF(A345="","Zona kosong",IF(B345="","CEK SKU DESCRIPTION kosong","OK"))))))))</f>
        <v/>
      </c>
    </row>
    <row r="346">
      <c r="A346" s="10" t="n"/>
      <c r="B346" s="11" t="n"/>
      <c r="C346" s="11" t="n"/>
      <c r="D346" s="11" t="n"/>
      <c r="E346" s="11" t="n"/>
      <c r="F346" s="11" t="n"/>
      <c r="G346" s="11" t="n"/>
      <c r="H346" s="11" t="n"/>
      <c r="I346" s="12">
        <f>IF(F346="","",IFERROR(INDEX(DAFTAR_FIXTURE!$B$2:$B$51,MATCH(F346,DAFTAR_FIXTURE!$A$2:$A$51,0)),""))</f>
        <v/>
      </c>
      <c r="J346" s="12">
        <f>IF(A346="","","https://cdn.ruparupa.io/fit-in/850x850/ruparupa-com/image/upload/Products/"&amp;A346&amp;"_1.jpg")</f>
        <v/>
      </c>
      <c r="K346" s="12">
        <f>IF(OR(I346="",G346=""),"",IFERROR(INDEX(LAYOUT!$D$2:$D$34,MATCH(I346&amp;"|"&amp;G346,LAYOUT!$E$2:$E$34,0)),"zona tidak ada di layout"))</f>
        <v/>
      </c>
      <c r="L346" s="12">
        <f>IF(OR(F346="",A346=""),"",COUNTIFS($F$2:$F$500,F346,$G$2:$G$500,G346,$A$2:$A$500,"&lt;&gt;"))</f>
        <v/>
      </c>
      <c r="M346" s="12">
        <f>IF(AND(A346="",F346=""),"",IF(F346="","Belum ditempatkan",IF(I346="","CEK ID FIXTURE tidak ada di DAFTAR_FIXTURE",IF(G346="","CEK ZONA NO kosong",IF(K346="zona tidak ada di layout","CEK ZONA NO di luar layout",IF(H346&lt;&gt;K346,"CEK JENIS ZONA",IF(A346="","Zona kosong",IF(B346="","CEK SKU DESCRIPTION kosong","OK"))))))))</f>
        <v/>
      </c>
    </row>
    <row r="347">
      <c r="A347" s="10" t="n"/>
      <c r="B347" s="11" t="n"/>
      <c r="C347" s="11" t="n"/>
      <c r="D347" s="11" t="n"/>
      <c r="E347" s="11" t="n"/>
      <c r="F347" s="11" t="n"/>
      <c r="G347" s="11" t="n"/>
      <c r="H347" s="11" t="n"/>
      <c r="I347" s="12">
        <f>IF(F347="","",IFERROR(INDEX(DAFTAR_FIXTURE!$B$2:$B$51,MATCH(F347,DAFTAR_FIXTURE!$A$2:$A$51,0)),""))</f>
        <v/>
      </c>
      <c r="J347" s="12">
        <f>IF(A347="","","https://cdn.ruparupa.io/fit-in/850x850/ruparupa-com/image/upload/Products/"&amp;A347&amp;"_1.jpg")</f>
        <v/>
      </c>
      <c r="K347" s="12">
        <f>IF(OR(I347="",G347=""),"",IFERROR(INDEX(LAYOUT!$D$2:$D$34,MATCH(I347&amp;"|"&amp;G347,LAYOUT!$E$2:$E$34,0)),"zona tidak ada di layout"))</f>
        <v/>
      </c>
      <c r="L347" s="12">
        <f>IF(OR(F347="",A347=""),"",COUNTIFS($F$2:$F$500,F347,$G$2:$G$500,G347,$A$2:$A$500,"&lt;&gt;"))</f>
        <v/>
      </c>
      <c r="M347" s="12">
        <f>IF(AND(A347="",F347=""),"",IF(F347="","Belum ditempatkan",IF(I347="","CEK ID FIXTURE tidak ada di DAFTAR_FIXTURE",IF(G347="","CEK ZONA NO kosong",IF(K347="zona tidak ada di layout","CEK ZONA NO di luar layout",IF(H347&lt;&gt;K347,"CEK JENIS ZONA",IF(A347="","Zona kosong",IF(B347="","CEK SKU DESCRIPTION kosong","OK"))))))))</f>
        <v/>
      </c>
    </row>
    <row r="348">
      <c r="A348" s="10" t="n"/>
      <c r="B348" s="11" t="n"/>
      <c r="C348" s="11" t="n"/>
      <c r="D348" s="11" t="n"/>
      <c r="E348" s="11" t="n"/>
      <c r="F348" s="11" t="n"/>
      <c r="G348" s="11" t="n"/>
      <c r="H348" s="11" t="n"/>
      <c r="I348" s="12">
        <f>IF(F348="","",IFERROR(INDEX(DAFTAR_FIXTURE!$B$2:$B$51,MATCH(F348,DAFTAR_FIXTURE!$A$2:$A$51,0)),""))</f>
        <v/>
      </c>
      <c r="J348" s="12">
        <f>IF(A348="","","https://cdn.ruparupa.io/fit-in/850x850/ruparupa-com/image/upload/Products/"&amp;A348&amp;"_1.jpg")</f>
        <v/>
      </c>
      <c r="K348" s="12">
        <f>IF(OR(I348="",G348=""),"",IFERROR(INDEX(LAYOUT!$D$2:$D$34,MATCH(I348&amp;"|"&amp;G348,LAYOUT!$E$2:$E$34,0)),"zona tidak ada di layout"))</f>
        <v/>
      </c>
      <c r="L348" s="12">
        <f>IF(OR(F348="",A348=""),"",COUNTIFS($F$2:$F$500,F348,$G$2:$G$500,G348,$A$2:$A$500,"&lt;&gt;"))</f>
        <v/>
      </c>
      <c r="M348" s="12">
        <f>IF(AND(A348="",F348=""),"",IF(F348="","Belum ditempatkan",IF(I348="","CEK ID FIXTURE tidak ada di DAFTAR_FIXTURE",IF(G348="","CEK ZONA NO kosong",IF(K348="zona tidak ada di layout","CEK ZONA NO di luar layout",IF(H348&lt;&gt;K348,"CEK JENIS ZONA",IF(A348="","Zona kosong",IF(B348="","CEK SKU DESCRIPTION kosong","OK"))))))))</f>
        <v/>
      </c>
    </row>
    <row r="349">
      <c r="A349" s="10" t="n"/>
      <c r="B349" s="11" t="n"/>
      <c r="C349" s="11" t="n"/>
      <c r="D349" s="11" t="n"/>
      <c r="E349" s="11" t="n"/>
      <c r="F349" s="11" t="n"/>
      <c r="G349" s="11" t="n"/>
      <c r="H349" s="11" t="n"/>
      <c r="I349" s="12">
        <f>IF(F349="","",IFERROR(INDEX(DAFTAR_FIXTURE!$B$2:$B$51,MATCH(F349,DAFTAR_FIXTURE!$A$2:$A$51,0)),""))</f>
        <v/>
      </c>
      <c r="J349" s="12">
        <f>IF(A349="","","https://cdn.ruparupa.io/fit-in/850x850/ruparupa-com/image/upload/Products/"&amp;A349&amp;"_1.jpg")</f>
        <v/>
      </c>
      <c r="K349" s="12">
        <f>IF(OR(I349="",G349=""),"",IFERROR(INDEX(LAYOUT!$D$2:$D$34,MATCH(I349&amp;"|"&amp;G349,LAYOUT!$E$2:$E$34,0)),"zona tidak ada di layout"))</f>
        <v/>
      </c>
      <c r="L349" s="12">
        <f>IF(OR(F349="",A349=""),"",COUNTIFS($F$2:$F$500,F349,$G$2:$G$500,G349,$A$2:$A$500,"&lt;&gt;"))</f>
        <v/>
      </c>
      <c r="M349" s="12">
        <f>IF(AND(A349="",F349=""),"",IF(F349="","Belum ditempatkan",IF(I349="","CEK ID FIXTURE tidak ada di DAFTAR_FIXTURE",IF(G349="","CEK ZONA NO kosong",IF(K349="zona tidak ada di layout","CEK ZONA NO di luar layout",IF(H349&lt;&gt;K349,"CEK JENIS ZONA",IF(A349="","Zona kosong",IF(B349="","CEK SKU DESCRIPTION kosong","OK"))))))))</f>
        <v/>
      </c>
    </row>
    <row r="350">
      <c r="A350" s="10" t="n"/>
      <c r="B350" s="11" t="n"/>
      <c r="C350" s="11" t="n"/>
      <c r="D350" s="11" t="n"/>
      <c r="E350" s="11" t="n"/>
      <c r="F350" s="11" t="n"/>
      <c r="G350" s="11" t="n"/>
      <c r="H350" s="11" t="n"/>
      <c r="I350" s="12">
        <f>IF(F350="","",IFERROR(INDEX(DAFTAR_FIXTURE!$B$2:$B$51,MATCH(F350,DAFTAR_FIXTURE!$A$2:$A$51,0)),""))</f>
        <v/>
      </c>
      <c r="J350" s="12">
        <f>IF(A350="","","https://cdn.ruparupa.io/fit-in/850x850/ruparupa-com/image/upload/Products/"&amp;A350&amp;"_1.jpg")</f>
        <v/>
      </c>
      <c r="K350" s="12">
        <f>IF(OR(I350="",G350=""),"",IFERROR(INDEX(LAYOUT!$D$2:$D$34,MATCH(I350&amp;"|"&amp;G350,LAYOUT!$E$2:$E$34,0)),"zona tidak ada di layout"))</f>
        <v/>
      </c>
      <c r="L350" s="12">
        <f>IF(OR(F350="",A350=""),"",COUNTIFS($F$2:$F$500,F350,$G$2:$G$500,G350,$A$2:$A$500,"&lt;&gt;"))</f>
        <v/>
      </c>
      <c r="M350" s="12">
        <f>IF(AND(A350="",F350=""),"",IF(F350="","Belum ditempatkan",IF(I350="","CEK ID FIXTURE tidak ada di DAFTAR_FIXTURE",IF(G350="","CEK ZONA NO kosong",IF(K350="zona tidak ada di layout","CEK ZONA NO di luar layout",IF(H350&lt;&gt;K350,"CEK JENIS ZONA",IF(A350="","Zona kosong",IF(B350="","CEK SKU DESCRIPTION kosong","OK"))))))))</f>
        <v/>
      </c>
    </row>
    <row r="351">
      <c r="A351" s="10" t="n"/>
      <c r="B351" s="11" t="n"/>
      <c r="C351" s="11" t="n"/>
      <c r="D351" s="11" t="n"/>
      <c r="E351" s="11" t="n"/>
      <c r="F351" s="11" t="n"/>
      <c r="G351" s="11" t="n"/>
      <c r="H351" s="11" t="n"/>
      <c r="I351" s="12">
        <f>IF(F351="","",IFERROR(INDEX(DAFTAR_FIXTURE!$B$2:$B$51,MATCH(F351,DAFTAR_FIXTURE!$A$2:$A$51,0)),""))</f>
        <v/>
      </c>
      <c r="J351" s="12">
        <f>IF(A351="","","https://cdn.ruparupa.io/fit-in/850x850/ruparupa-com/image/upload/Products/"&amp;A351&amp;"_1.jpg")</f>
        <v/>
      </c>
      <c r="K351" s="12">
        <f>IF(OR(I351="",G351=""),"",IFERROR(INDEX(LAYOUT!$D$2:$D$34,MATCH(I351&amp;"|"&amp;G351,LAYOUT!$E$2:$E$34,0)),"zona tidak ada di layout"))</f>
        <v/>
      </c>
      <c r="L351" s="12">
        <f>IF(OR(F351="",A351=""),"",COUNTIFS($F$2:$F$500,F351,$G$2:$G$500,G351,$A$2:$A$500,"&lt;&gt;"))</f>
        <v/>
      </c>
      <c r="M351" s="12">
        <f>IF(AND(A351="",F351=""),"",IF(F351="","Belum ditempatkan",IF(I351="","CEK ID FIXTURE tidak ada di DAFTAR_FIXTURE",IF(G351="","CEK ZONA NO kosong",IF(K351="zona tidak ada di layout","CEK ZONA NO di luar layout",IF(H351&lt;&gt;K351,"CEK JENIS ZONA",IF(A351="","Zona kosong",IF(B351="","CEK SKU DESCRIPTION kosong","OK"))))))))</f>
        <v/>
      </c>
    </row>
    <row r="352">
      <c r="A352" s="10" t="n"/>
      <c r="B352" s="11" t="n"/>
      <c r="C352" s="11" t="n"/>
      <c r="D352" s="11" t="n"/>
      <c r="E352" s="11" t="n"/>
      <c r="F352" s="11" t="n"/>
      <c r="G352" s="11" t="n"/>
      <c r="H352" s="11" t="n"/>
      <c r="I352" s="12">
        <f>IF(F352="","",IFERROR(INDEX(DAFTAR_FIXTURE!$B$2:$B$51,MATCH(F352,DAFTAR_FIXTURE!$A$2:$A$51,0)),""))</f>
        <v/>
      </c>
      <c r="J352" s="12">
        <f>IF(A352="","","https://cdn.ruparupa.io/fit-in/850x850/ruparupa-com/image/upload/Products/"&amp;A352&amp;"_1.jpg")</f>
        <v/>
      </c>
      <c r="K352" s="12">
        <f>IF(OR(I352="",G352=""),"",IFERROR(INDEX(LAYOUT!$D$2:$D$34,MATCH(I352&amp;"|"&amp;G352,LAYOUT!$E$2:$E$34,0)),"zona tidak ada di layout"))</f>
        <v/>
      </c>
      <c r="L352" s="12">
        <f>IF(OR(F352="",A352=""),"",COUNTIFS($F$2:$F$500,F352,$G$2:$G$500,G352,$A$2:$A$500,"&lt;&gt;"))</f>
        <v/>
      </c>
      <c r="M352" s="12">
        <f>IF(AND(A352="",F352=""),"",IF(F352="","Belum ditempatkan",IF(I352="","CEK ID FIXTURE tidak ada di DAFTAR_FIXTURE",IF(G352="","CEK ZONA NO kosong",IF(K352="zona tidak ada di layout","CEK ZONA NO di luar layout",IF(H352&lt;&gt;K352,"CEK JENIS ZONA",IF(A352="","Zona kosong",IF(B352="","CEK SKU DESCRIPTION kosong","OK"))))))))</f>
        <v/>
      </c>
    </row>
    <row r="353">
      <c r="A353" s="10" t="n"/>
      <c r="B353" s="11" t="n"/>
      <c r="C353" s="11" t="n"/>
      <c r="D353" s="11" t="n"/>
      <c r="E353" s="11" t="n"/>
      <c r="F353" s="11" t="n"/>
      <c r="G353" s="11" t="n"/>
      <c r="H353" s="11" t="n"/>
      <c r="I353" s="12">
        <f>IF(F353="","",IFERROR(INDEX(DAFTAR_FIXTURE!$B$2:$B$51,MATCH(F353,DAFTAR_FIXTURE!$A$2:$A$51,0)),""))</f>
        <v/>
      </c>
      <c r="J353" s="12">
        <f>IF(A353="","","https://cdn.ruparupa.io/fit-in/850x850/ruparupa-com/image/upload/Products/"&amp;A353&amp;"_1.jpg")</f>
        <v/>
      </c>
      <c r="K353" s="12">
        <f>IF(OR(I353="",G353=""),"",IFERROR(INDEX(LAYOUT!$D$2:$D$34,MATCH(I353&amp;"|"&amp;G353,LAYOUT!$E$2:$E$34,0)),"zona tidak ada di layout"))</f>
        <v/>
      </c>
      <c r="L353" s="12">
        <f>IF(OR(F353="",A353=""),"",COUNTIFS($F$2:$F$500,F353,$G$2:$G$500,G353,$A$2:$A$500,"&lt;&gt;"))</f>
        <v/>
      </c>
      <c r="M353" s="12">
        <f>IF(AND(A353="",F353=""),"",IF(F353="","Belum ditempatkan",IF(I353="","CEK ID FIXTURE tidak ada di DAFTAR_FIXTURE",IF(G353="","CEK ZONA NO kosong",IF(K353="zona tidak ada di layout","CEK ZONA NO di luar layout",IF(H353&lt;&gt;K353,"CEK JENIS ZONA",IF(A353="","Zona kosong",IF(B353="","CEK SKU DESCRIPTION kosong","OK"))))))))</f>
        <v/>
      </c>
    </row>
    <row r="354">
      <c r="A354" s="10" t="n"/>
      <c r="B354" s="11" t="n"/>
      <c r="C354" s="11" t="n"/>
      <c r="D354" s="11" t="n"/>
      <c r="E354" s="11" t="n"/>
      <c r="F354" s="11" t="n"/>
      <c r="G354" s="11" t="n"/>
      <c r="H354" s="11" t="n"/>
      <c r="I354" s="12">
        <f>IF(F354="","",IFERROR(INDEX(DAFTAR_FIXTURE!$B$2:$B$51,MATCH(F354,DAFTAR_FIXTURE!$A$2:$A$51,0)),""))</f>
        <v/>
      </c>
      <c r="J354" s="12">
        <f>IF(A354="","","https://cdn.ruparupa.io/fit-in/850x850/ruparupa-com/image/upload/Products/"&amp;A354&amp;"_1.jpg")</f>
        <v/>
      </c>
      <c r="K354" s="12">
        <f>IF(OR(I354="",G354=""),"",IFERROR(INDEX(LAYOUT!$D$2:$D$34,MATCH(I354&amp;"|"&amp;G354,LAYOUT!$E$2:$E$34,0)),"zona tidak ada di layout"))</f>
        <v/>
      </c>
      <c r="L354" s="12">
        <f>IF(OR(F354="",A354=""),"",COUNTIFS($F$2:$F$500,F354,$G$2:$G$500,G354,$A$2:$A$500,"&lt;&gt;"))</f>
        <v/>
      </c>
      <c r="M354" s="12">
        <f>IF(AND(A354="",F354=""),"",IF(F354="","Belum ditempatkan",IF(I354="","CEK ID FIXTURE tidak ada di DAFTAR_FIXTURE",IF(G354="","CEK ZONA NO kosong",IF(K354="zona tidak ada di layout","CEK ZONA NO di luar layout",IF(H354&lt;&gt;K354,"CEK JENIS ZONA",IF(A354="","Zona kosong",IF(B354="","CEK SKU DESCRIPTION kosong","OK"))))))))</f>
        <v/>
      </c>
    </row>
    <row r="355">
      <c r="A355" s="10" t="n"/>
      <c r="B355" s="11" t="n"/>
      <c r="C355" s="11" t="n"/>
      <c r="D355" s="11" t="n"/>
      <c r="E355" s="11" t="n"/>
      <c r="F355" s="11" t="n"/>
      <c r="G355" s="11" t="n"/>
      <c r="H355" s="11" t="n"/>
      <c r="I355" s="12">
        <f>IF(F355="","",IFERROR(INDEX(DAFTAR_FIXTURE!$B$2:$B$51,MATCH(F355,DAFTAR_FIXTURE!$A$2:$A$51,0)),""))</f>
        <v/>
      </c>
      <c r="J355" s="12">
        <f>IF(A355="","","https://cdn.ruparupa.io/fit-in/850x850/ruparupa-com/image/upload/Products/"&amp;A355&amp;"_1.jpg")</f>
        <v/>
      </c>
      <c r="K355" s="12">
        <f>IF(OR(I355="",G355=""),"",IFERROR(INDEX(LAYOUT!$D$2:$D$34,MATCH(I355&amp;"|"&amp;G355,LAYOUT!$E$2:$E$34,0)),"zona tidak ada di layout"))</f>
        <v/>
      </c>
      <c r="L355" s="12">
        <f>IF(OR(F355="",A355=""),"",COUNTIFS($F$2:$F$500,F355,$G$2:$G$500,G355,$A$2:$A$500,"&lt;&gt;"))</f>
        <v/>
      </c>
      <c r="M355" s="12">
        <f>IF(AND(A355="",F355=""),"",IF(F355="","Belum ditempatkan",IF(I355="","CEK ID FIXTURE tidak ada di DAFTAR_FIXTURE",IF(G355="","CEK ZONA NO kosong",IF(K355="zona tidak ada di layout","CEK ZONA NO di luar layout",IF(H355&lt;&gt;K355,"CEK JENIS ZONA",IF(A355="","Zona kosong",IF(B355="","CEK SKU DESCRIPTION kosong","OK"))))))))</f>
        <v/>
      </c>
    </row>
    <row r="356">
      <c r="A356" s="10" t="n"/>
      <c r="B356" s="11" t="n"/>
      <c r="C356" s="11" t="n"/>
      <c r="D356" s="11" t="n"/>
      <c r="E356" s="11" t="n"/>
      <c r="F356" s="11" t="n"/>
      <c r="G356" s="11" t="n"/>
      <c r="H356" s="11" t="n"/>
      <c r="I356" s="12">
        <f>IF(F356="","",IFERROR(INDEX(DAFTAR_FIXTURE!$B$2:$B$51,MATCH(F356,DAFTAR_FIXTURE!$A$2:$A$51,0)),""))</f>
        <v/>
      </c>
      <c r="J356" s="12">
        <f>IF(A356="","","https://cdn.ruparupa.io/fit-in/850x850/ruparupa-com/image/upload/Products/"&amp;A356&amp;"_1.jpg")</f>
        <v/>
      </c>
      <c r="K356" s="12">
        <f>IF(OR(I356="",G356=""),"",IFERROR(INDEX(LAYOUT!$D$2:$D$34,MATCH(I356&amp;"|"&amp;G356,LAYOUT!$E$2:$E$34,0)),"zona tidak ada di layout"))</f>
        <v/>
      </c>
      <c r="L356" s="12">
        <f>IF(OR(F356="",A356=""),"",COUNTIFS($F$2:$F$500,F356,$G$2:$G$500,G356,$A$2:$A$500,"&lt;&gt;"))</f>
        <v/>
      </c>
      <c r="M356" s="12">
        <f>IF(AND(A356="",F356=""),"",IF(F356="","Belum ditempatkan",IF(I356="","CEK ID FIXTURE tidak ada di DAFTAR_FIXTURE",IF(G356="","CEK ZONA NO kosong",IF(K356="zona tidak ada di layout","CEK ZONA NO di luar layout",IF(H356&lt;&gt;K356,"CEK JENIS ZONA",IF(A356="","Zona kosong",IF(B356="","CEK SKU DESCRIPTION kosong","OK"))))))))</f>
        <v/>
      </c>
    </row>
    <row r="357">
      <c r="A357" s="10" t="n"/>
      <c r="B357" s="11" t="n"/>
      <c r="C357" s="11" t="n"/>
      <c r="D357" s="11" t="n"/>
      <c r="E357" s="11" t="n"/>
      <c r="F357" s="11" t="n"/>
      <c r="G357" s="11" t="n"/>
      <c r="H357" s="11" t="n"/>
      <c r="I357" s="12">
        <f>IF(F357="","",IFERROR(INDEX(DAFTAR_FIXTURE!$B$2:$B$51,MATCH(F357,DAFTAR_FIXTURE!$A$2:$A$51,0)),""))</f>
        <v/>
      </c>
      <c r="J357" s="12">
        <f>IF(A357="","","https://cdn.ruparupa.io/fit-in/850x850/ruparupa-com/image/upload/Products/"&amp;A357&amp;"_1.jpg")</f>
        <v/>
      </c>
      <c r="K357" s="12">
        <f>IF(OR(I357="",G357=""),"",IFERROR(INDEX(LAYOUT!$D$2:$D$34,MATCH(I357&amp;"|"&amp;G357,LAYOUT!$E$2:$E$34,0)),"zona tidak ada di layout"))</f>
        <v/>
      </c>
      <c r="L357" s="12">
        <f>IF(OR(F357="",A357=""),"",COUNTIFS($F$2:$F$500,F357,$G$2:$G$500,G357,$A$2:$A$500,"&lt;&gt;"))</f>
        <v/>
      </c>
      <c r="M357" s="12">
        <f>IF(AND(A357="",F357=""),"",IF(F357="","Belum ditempatkan",IF(I357="","CEK ID FIXTURE tidak ada di DAFTAR_FIXTURE",IF(G357="","CEK ZONA NO kosong",IF(K357="zona tidak ada di layout","CEK ZONA NO di luar layout",IF(H357&lt;&gt;K357,"CEK JENIS ZONA",IF(A357="","Zona kosong",IF(B357="","CEK SKU DESCRIPTION kosong","OK"))))))))</f>
        <v/>
      </c>
    </row>
    <row r="358">
      <c r="A358" s="10" t="n"/>
      <c r="B358" s="11" t="n"/>
      <c r="C358" s="11" t="n"/>
      <c r="D358" s="11" t="n"/>
      <c r="E358" s="11" t="n"/>
      <c r="F358" s="11" t="n"/>
      <c r="G358" s="11" t="n"/>
      <c r="H358" s="11" t="n"/>
      <c r="I358" s="12">
        <f>IF(F358="","",IFERROR(INDEX(DAFTAR_FIXTURE!$B$2:$B$51,MATCH(F358,DAFTAR_FIXTURE!$A$2:$A$51,0)),""))</f>
        <v/>
      </c>
      <c r="J358" s="12">
        <f>IF(A358="","","https://cdn.ruparupa.io/fit-in/850x850/ruparupa-com/image/upload/Products/"&amp;A358&amp;"_1.jpg")</f>
        <v/>
      </c>
      <c r="K358" s="12">
        <f>IF(OR(I358="",G358=""),"",IFERROR(INDEX(LAYOUT!$D$2:$D$34,MATCH(I358&amp;"|"&amp;G358,LAYOUT!$E$2:$E$34,0)),"zona tidak ada di layout"))</f>
        <v/>
      </c>
      <c r="L358" s="12">
        <f>IF(OR(F358="",A358=""),"",COUNTIFS($F$2:$F$500,F358,$G$2:$G$500,G358,$A$2:$A$500,"&lt;&gt;"))</f>
        <v/>
      </c>
      <c r="M358" s="12">
        <f>IF(AND(A358="",F358=""),"",IF(F358="","Belum ditempatkan",IF(I358="","CEK ID FIXTURE tidak ada di DAFTAR_FIXTURE",IF(G358="","CEK ZONA NO kosong",IF(K358="zona tidak ada di layout","CEK ZONA NO di luar layout",IF(H358&lt;&gt;K358,"CEK JENIS ZONA",IF(A358="","Zona kosong",IF(B358="","CEK SKU DESCRIPTION kosong","OK"))))))))</f>
        <v/>
      </c>
    </row>
    <row r="359">
      <c r="A359" s="10" t="n"/>
      <c r="B359" s="11" t="n"/>
      <c r="C359" s="11" t="n"/>
      <c r="D359" s="11" t="n"/>
      <c r="E359" s="11" t="n"/>
      <c r="F359" s="11" t="n"/>
      <c r="G359" s="11" t="n"/>
      <c r="H359" s="11" t="n"/>
      <c r="I359" s="12">
        <f>IF(F359="","",IFERROR(INDEX(DAFTAR_FIXTURE!$B$2:$B$51,MATCH(F359,DAFTAR_FIXTURE!$A$2:$A$51,0)),""))</f>
        <v/>
      </c>
      <c r="J359" s="12">
        <f>IF(A359="","","https://cdn.ruparupa.io/fit-in/850x850/ruparupa-com/image/upload/Products/"&amp;A359&amp;"_1.jpg")</f>
        <v/>
      </c>
      <c r="K359" s="12">
        <f>IF(OR(I359="",G359=""),"",IFERROR(INDEX(LAYOUT!$D$2:$D$34,MATCH(I359&amp;"|"&amp;G359,LAYOUT!$E$2:$E$34,0)),"zona tidak ada di layout"))</f>
        <v/>
      </c>
      <c r="L359" s="12">
        <f>IF(OR(F359="",A359=""),"",COUNTIFS($F$2:$F$500,F359,$G$2:$G$500,G359,$A$2:$A$500,"&lt;&gt;"))</f>
        <v/>
      </c>
      <c r="M359" s="12">
        <f>IF(AND(A359="",F359=""),"",IF(F359="","Belum ditempatkan",IF(I359="","CEK ID FIXTURE tidak ada di DAFTAR_FIXTURE",IF(G359="","CEK ZONA NO kosong",IF(K359="zona tidak ada di layout","CEK ZONA NO di luar layout",IF(H359&lt;&gt;K359,"CEK JENIS ZONA",IF(A359="","Zona kosong",IF(B359="","CEK SKU DESCRIPTION kosong","OK"))))))))</f>
        <v/>
      </c>
    </row>
    <row r="360">
      <c r="A360" s="10" t="n"/>
      <c r="B360" s="11" t="n"/>
      <c r="C360" s="11" t="n"/>
      <c r="D360" s="11" t="n"/>
      <c r="E360" s="11" t="n"/>
      <c r="F360" s="11" t="n"/>
      <c r="G360" s="11" t="n"/>
      <c r="H360" s="11" t="n"/>
      <c r="I360" s="12">
        <f>IF(F360="","",IFERROR(INDEX(DAFTAR_FIXTURE!$B$2:$B$51,MATCH(F360,DAFTAR_FIXTURE!$A$2:$A$51,0)),""))</f>
        <v/>
      </c>
      <c r="J360" s="12">
        <f>IF(A360="","","https://cdn.ruparupa.io/fit-in/850x850/ruparupa-com/image/upload/Products/"&amp;A360&amp;"_1.jpg")</f>
        <v/>
      </c>
      <c r="K360" s="12">
        <f>IF(OR(I360="",G360=""),"",IFERROR(INDEX(LAYOUT!$D$2:$D$34,MATCH(I360&amp;"|"&amp;G360,LAYOUT!$E$2:$E$34,0)),"zona tidak ada di layout"))</f>
        <v/>
      </c>
      <c r="L360" s="12">
        <f>IF(OR(F360="",A360=""),"",COUNTIFS($F$2:$F$500,F360,$G$2:$G$500,G360,$A$2:$A$500,"&lt;&gt;"))</f>
        <v/>
      </c>
      <c r="M360" s="12">
        <f>IF(AND(A360="",F360=""),"",IF(F360="","Belum ditempatkan",IF(I360="","CEK ID FIXTURE tidak ada di DAFTAR_FIXTURE",IF(G360="","CEK ZONA NO kosong",IF(K360="zona tidak ada di layout","CEK ZONA NO di luar layout",IF(H360&lt;&gt;K360,"CEK JENIS ZONA",IF(A360="","Zona kosong",IF(B360="","CEK SKU DESCRIPTION kosong","OK"))))))))</f>
        <v/>
      </c>
    </row>
    <row r="361">
      <c r="A361" s="10" t="n"/>
      <c r="B361" s="11" t="n"/>
      <c r="C361" s="11" t="n"/>
      <c r="D361" s="11" t="n"/>
      <c r="E361" s="11" t="n"/>
      <c r="F361" s="11" t="n"/>
      <c r="G361" s="11" t="n"/>
      <c r="H361" s="11" t="n"/>
      <c r="I361" s="12">
        <f>IF(F361="","",IFERROR(INDEX(DAFTAR_FIXTURE!$B$2:$B$51,MATCH(F361,DAFTAR_FIXTURE!$A$2:$A$51,0)),""))</f>
        <v/>
      </c>
      <c r="J361" s="12">
        <f>IF(A361="","","https://cdn.ruparupa.io/fit-in/850x850/ruparupa-com/image/upload/Products/"&amp;A361&amp;"_1.jpg")</f>
        <v/>
      </c>
      <c r="K361" s="12">
        <f>IF(OR(I361="",G361=""),"",IFERROR(INDEX(LAYOUT!$D$2:$D$34,MATCH(I361&amp;"|"&amp;G361,LAYOUT!$E$2:$E$34,0)),"zona tidak ada di layout"))</f>
        <v/>
      </c>
      <c r="L361" s="12">
        <f>IF(OR(F361="",A361=""),"",COUNTIFS($F$2:$F$500,F361,$G$2:$G$500,G361,$A$2:$A$500,"&lt;&gt;"))</f>
        <v/>
      </c>
      <c r="M361" s="12">
        <f>IF(AND(A361="",F361=""),"",IF(F361="","Belum ditempatkan",IF(I361="","CEK ID FIXTURE tidak ada di DAFTAR_FIXTURE",IF(G361="","CEK ZONA NO kosong",IF(K361="zona tidak ada di layout","CEK ZONA NO di luar layout",IF(H361&lt;&gt;K361,"CEK JENIS ZONA",IF(A361="","Zona kosong",IF(B361="","CEK SKU DESCRIPTION kosong","OK"))))))))</f>
        <v/>
      </c>
    </row>
    <row r="362">
      <c r="A362" s="10" t="n"/>
      <c r="B362" s="11" t="n"/>
      <c r="C362" s="11" t="n"/>
      <c r="D362" s="11" t="n"/>
      <c r="E362" s="11" t="n"/>
      <c r="F362" s="11" t="n"/>
      <c r="G362" s="11" t="n"/>
      <c r="H362" s="11" t="n"/>
      <c r="I362" s="12">
        <f>IF(F362="","",IFERROR(INDEX(DAFTAR_FIXTURE!$B$2:$B$51,MATCH(F362,DAFTAR_FIXTURE!$A$2:$A$51,0)),""))</f>
        <v/>
      </c>
      <c r="J362" s="12">
        <f>IF(A362="","","https://cdn.ruparupa.io/fit-in/850x850/ruparupa-com/image/upload/Products/"&amp;A362&amp;"_1.jpg")</f>
        <v/>
      </c>
      <c r="K362" s="12">
        <f>IF(OR(I362="",G362=""),"",IFERROR(INDEX(LAYOUT!$D$2:$D$34,MATCH(I362&amp;"|"&amp;G362,LAYOUT!$E$2:$E$34,0)),"zona tidak ada di layout"))</f>
        <v/>
      </c>
      <c r="L362" s="12">
        <f>IF(OR(F362="",A362=""),"",COUNTIFS($F$2:$F$500,F362,$G$2:$G$500,G362,$A$2:$A$500,"&lt;&gt;"))</f>
        <v/>
      </c>
      <c r="M362" s="12">
        <f>IF(AND(A362="",F362=""),"",IF(F362="","Belum ditempatkan",IF(I362="","CEK ID FIXTURE tidak ada di DAFTAR_FIXTURE",IF(G362="","CEK ZONA NO kosong",IF(K362="zona tidak ada di layout","CEK ZONA NO di luar layout",IF(H362&lt;&gt;K362,"CEK JENIS ZONA",IF(A362="","Zona kosong",IF(B362="","CEK SKU DESCRIPTION kosong","OK"))))))))</f>
        <v/>
      </c>
    </row>
    <row r="363">
      <c r="A363" s="10" t="n"/>
      <c r="B363" s="11" t="n"/>
      <c r="C363" s="11" t="n"/>
      <c r="D363" s="11" t="n"/>
      <c r="E363" s="11" t="n"/>
      <c r="F363" s="11" t="n"/>
      <c r="G363" s="11" t="n"/>
      <c r="H363" s="11" t="n"/>
      <c r="I363" s="12">
        <f>IF(F363="","",IFERROR(INDEX(DAFTAR_FIXTURE!$B$2:$B$51,MATCH(F363,DAFTAR_FIXTURE!$A$2:$A$51,0)),""))</f>
        <v/>
      </c>
      <c r="J363" s="12">
        <f>IF(A363="","","https://cdn.ruparupa.io/fit-in/850x850/ruparupa-com/image/upload/Products/"&amp;A363&amp;"_1.jpg")</f>
        <v/>
      </c>
      <c r="K363" s="12">
        <f>IF(OR(I363="",G363=""),"",IFERROR(INDEX(LAYOUT!$D$2:$D$34,MATCH(I363&amp;"|"&amp;G363,LAYOUT!$E$2:$E$34,0)),"zona tidak ada di layout"))</f>
        <v/>
      </c>
      <c r="L363" s="12">
        <f>IF(OR(F363="",A363=""),"",COUNTIFS($F$2:$F$500,F363,$G$2:$G$500,G363,$A$2:$A$500,"&lt;&gt;"))</f>
        <v/>
      </c>
      <c r="M363" s="12">
        <f>IF(AND(A363="",F363=""),"",IF(F363="","Belum ditempatkan",IF(I363="","CEK ID FIXTURE tidak ada di DAFTAR_FIXTURE",IF(G363="","CEK ZONA NO kosong",IF(K363="zona tidak ada di layout","CEK ZONA NO di luar layout",IF(H363&lt;&gt;K363,"CEK JENIS ZONA",IF(A363="","Zona kosong",IF(B363="","CEK SKU DESCRIPTION kosong","OK"))))))))</f>
        <v/>
      </c>
    </row>
    <row r="364">
      <c r="A364" s="10" t="n"/>
      <c r="B364" s="11" t="n"/>
      <c r="C364" s="11" t="n"/>
      <c r="D364" s="11" t="n"/>
      <c r="E364" s="11" t="n"/>
      <c r="F364" s="11" t="n"/>
      <c r="G364" s="11" t="n"/>
      <c r="H364" s="11" t="n"/>
      <c r="I364" s="12">
        <f>IF(F364="","",IFERROR(INDEX(DAFTAR_FIXTURE!$B$2:$B$51,MATCH(F364,DAFTAR_FIXTURE!$A$2:$A$51,0)),""))</f>
        <v/>
      </c>
      <c r="J364" s="12">
        <f>IF(A364="","","https://cdn.ruparupa.io/fit-in/850x850/ruparupa-com/image/upload/Products/"&amp;A364&amp;"_1.jpg")</f>
        <v/>
      </c>
      <c r="K364" s="12">
        <f>IF(OR(I364="",G364=""),"",IFERROR(INDEX(LAYOUT!$D$2:$D$34,MATCH(I364&amp;"|"&amp;G364,LAYOUT!$E$2:$E$34,0)),"zona tidak ada di layout"))</f>
        <v/>
      </c>
      <c r="L364" s="12">
        <f>IF(OR(F364="",A364=""),"",COUNTIFS($F$2:$F$500,F364,$G$2:$G$500,G364,$A$2:$A$500,"&lt;&gt;"))</f>
        <v/>
      </c>
      <c r="M364" s="12">
        <f>IF(AND(A364="",F364=""),"",IF(F364="","Belum ditempatkan",IF(I364="","CEK ID FIXTURE tidak ada di DAFTAR_FIXTURE",IF(G364="","CEK ZONA NO kosong",IF(K364="zona tidak ada di layout","CEK ZONA NO di luar layout",IF(H364&lt;&gt;K364,"CEK JENIS ZONA",IF(A364="","Zona kosong",IF(B364="","CEK SKU DESCRIPTION kosong","OK"))))))))</f>
        <v/>
      </c>
    </row>
    <row r="365">
      <c r="A365" s="10" t="n"/>
      <c r="B365" s="11" t="n"/>
      <c r="C365" s="11" t="n"/>
      <c r="D365" s="11" t="n"/>
      <c r="E365" s="11" t="n"/>
      <c r="F365" s="11" t="n"/>
      <c r="G365" s="11" t="n"/>
      <c r="H365" s="11" t="n"/>
      <c r="I365" s="12">
        <f>IF(F365="","",IFERROR(INDEX(DAFTAR_FIXTURE!$B$2:$B$51,MATCH(F365,DAFTAR_FIXTURE!$A$2:$A$51,0)),""))</f>
        <v/>
      </c>
      <c r="J365" s="12">
        <f>IF(A365="","","https://cdn.ruparupa.io/fit-in/850x850/ruparupa-com/image/upload/Products/"&amp;A365&amp;"_1.jpg")</f>
        <v/>
      </c>
      <c r="K365" s="12">
        <f>IF(OR(I365="",G365=""),"",IFERROR(INDEX(LAYOUT!$D$2:$D$34,MATCH(I365&amp;"|"&amp;G365,LAYOUT!$E$2:$E$34,0)),"zona tidak ada di layout"))</f>
        <v/>
      </c>
      <c r="L365" s="12">
        <f>IF(OR(F365="",A365=""),"",COUNTIFS($F$2:$F$500,F365,$G$2:$G$500,G365,$A$2:$A$500,"&lt;&gt;"))</f>
        <v/>
      </c>
      <c r="M365" s="12">
        <f>IF(AND(A365="",F365=""),"",IF(F365="","Belum ditempatkan",IF(I365="","CEK ID FIXTURE tidak ada di DAFTAR_FIXTURE",IF(G365="","CEK ZONA NO kosong",IF(K365="zona tidak ada di layout","CEK ZONA NO di luar layout",IF(H365&lt;&gt;K365,"CEK JENIS ZONA",IF(A365="","Zona kosong",IF(B365="","CEK SKU DESCRIPTION kosong","OK"))))))))</f>
        <v/>
      </c>
    </row>
    <row r="366">
      <c r="A366" s="10" t="n"/>
      <c r="B366" s="11" t="n"/>
      <c r="C366" s="11" t="n"/>
      <c r="D366" s="11" t="n"/>
      <c r="E366" s="11" t="n"/>
      <c r="F366" s="11" t="n"/>
      <c r="G366" s="11" t="n"/>
      <c r="H366" s="11" t="n"/>
      <c r="I366" s="12">
        <f>IF(F366="","",IFERROR(INDEX(DAFTAR_FIXTURE!$B$2:$B$51,MATCH(F366,DAFTAR_FIXTURE!$A$2:$A$51,0)),""))</f>
        <v/>
      </c>
      <c r="J366" s="12">
        <f>IF(A366="","","https://cdn.ruparupa.io/fit-in/850x850/ruparupa-com/image/upload/Products/"&amp;A366&amp;"_1.jpg")</f>
        <v/>
      </c>
      <c r="K366" s="12">
        <f>IF(OR(I366="",G366=""),"",IFERROR(INDEX(LAYOUT!$D$2:$D$34,MATCH(I366&amp;"|"&amp;G366,LAYOUT!$E$2:$E$34,0)),"zona tidak ada di layout"))</f>
        <v/>
      </c>
      <c r="L366" s="12">
        <f>IF(OR(F366="",A366=""),"",COUNTIFS($F$2:$F$500,F366,$G$2:$G$500,G366,$A$2:$A$500,"&lt;&gt;"))</f>
        <v/>
      </c>
      <c r="M366" s="12">
        <f>IF(AND(A366="",F366=""),"",IF(F366="","Belum ditempatkan",IF(I366="","CEK ID FIXTURE tidak ada di DAFTAR_FIXTURE",IF(G366="","CEK ZONA NO kosong",IF(K366="zona tidak ada di layout","CEK ZONA NO di luar layout",IF(H366&lt;&gt;K366,"CEK JENIS ZONA",IF(A366="","Zona kosong",IF(B366="","CEK SKU DESCRIPTION kosong","OK"))))))))</f>
        <v/>
      </c>
    </row>
    <row r="367">
      <c r="A367" s="10" t="n"/>
      <c r="B367" s="11" t="n"/>
      <c r="C367" s="11" t="n"/>
      <c r="D367" s="11" t="n"/>
      <c r="E367" s="11" t="n"/>
      <c r="F367" s="11" t="n"/>
      <c r="G367" s="11" t="n"/>
      <c r="H367" s="11" t="n"/>
      <c r="I367" s="12">
        <f>IF(F367="","",IFERROR(INDEX(DAFTAR_FIXTURE!$B$2:$B$51,MATCH(F367,DAFTAR_FIXTURE!$A$2:$A$51,0)),""))</f>
        <v/>
      </c>
      <c r="J367" s="12">
        <f>IF(A367="","","https://cdn.ruparupa.io/fit-in/850x850/ruparupa-com/image/upload/Products/"&amp;A367&amp;"_1.jpg")</f>
        <v/>
      </c>
      <c r="K367" s="12">
        <f>IF(OR(I367="",G367=""),"",IFERROR(INDEX(LAYOUT!$D$2:$D$34,MATCH(I367&amp;"|"&amp;G367,LAYOUT!$E$2:$E$34,0)),"zona tidak ada di layout"))</f>
        <v/>
      </c>
      <c r="L367" s="12">
        <f>IF(OR(F367="",A367=""),"",COUNTIFS($F$2:$F$500,F367,$G$2:$G$500,G367,$A$2:$A$500,"&lt;&gt;"))</f>
        <v/>
      </c>
      <c r="M367" s="12">
        <f>IF(AND(A367="",F367=""),"",IF(F367="","Belum ditempatkan",IF(I367="","CEK ID FIXTURE tidak ada di DAFTAR_FIXTURE",IF(G367="","CEK ZONA NO kosong",IF(K367="zona tidak ada di layout","CEK ZONA NO di luar layout",IF(H367&lt;&gt;K367,"CEK JENIS ZONA",IF(A367="","Zona kosong",IF(B367="","CEK SKU DESCRIPTION kosong","OK"))))))))</f>
        <v/>
      </c>
    </row>
    <row r="368">
      <c r="A368" s="10" t="n"/>
      <c r="B368" s="11" t="n"/>
      <c r="C368" s="11" t="n"/>
      <c r="D368" s="11" t="n"/>
      <c r="E368" s="11" t="n"/>
      <c r="F368" s="11" t="n"/>
      <c r="G368" s="11" t="n"/>
      <c r="H368" s="11" t="n"/>
      <c r="I368" s="12">
        <f>IF(F368="","",IFERROR(INDEX(DAFTAR_FIXTURE!$B$2:$B$51,MATCH(F368,DAFTAR_FIXTURE!$A$2:$A$51,0)),""))</f>
        <v/>
      </c>
      <c r="J368" s="12">
        <f>IF(A368="","","https://cdn.ruparupa.io/fit-in/850x850/ruparupa-com/image/upload/Products/"&amp;A368&amp;"_1.jpg")</f>
        <v/>
      </c>
      <c r="K368" s="12">
        <f>IF(OR(I368="",G368=""),"",IFERROR(INDEX(LAYOUT!$D$2:$D$34,MATCH(I368&amp;"|"&amp;G368,LAYOUT!$E$2:$E$34,0)),"zona tidak ada di layout"))</f>
        <v/>
      </c>
      <c r="L368" s="12">
        <f>IF(OR(F368="",A368=""),"",COUNTIFS($F$2:$F$500,F368,$G$2:$G$500,G368,$A$2:$A$500,"&lt;&gt;"))</f>
        <v/>
      </c>
      <c r="M368" s="12">
        <f>IF(AND(A368="",F368=""),"",IF(F368="","Belum ditempatkan",IF(I368="","CEK ID FIXTURE tidak ada di DAFTAR_FIXTURE",IF(G368="","CEK ZONA NO kosong",IF(K368="zona tidak ada di layout","CEK ZONA NO di luar layout",IF(H368&lt;&gt;K368,"CEK JENIS ZONA",IF(A368="","Zona kosong",IF(B368="","CEK SKU DESCRIPTION kosong","OK"))))))))</f>
        <v/>
      </c>
    </row>
    <row r="369">
      <c r="A369" s="10" t="n"/>
      <c r="B369" s="11" t="n"/>
      <c r="C369" s="11" t="n"/>
      <c r="D369" s="11" t="n"/>
      <c r="E369" s="11" t="n"/>
      <c r="F369" s="11" t="n"/>
      <c r="G369" s="11" t="n"/>
      <c r="H369" s="11" t="n"/>
      <c r="I369" s="12">
        <f>IF(F369="","",IFERROR(INDEX(DAFTAR_FIXTURE!$B$2:$B$51,MATCH(F369,DAFTAR_FIXTURE!$A$2:$A$51,0)),""))</f>
        <v/>
      </c>
      <c r="J369" s="12">
        <f>IF(A369="","","https://cdn.ruparupa.io/fit-in/850x850/ruparupa-com/image/upload/Products/"&amp;A369&amp;"_1.jpg")</f>
        <v/>
      </c>
      <c r="K369" s="12">
        <f>IF(OR(I369="",G369=""),"",IFERROR(INDEX(LAYOUT!$D$2:$D$34,MATCH(I369&amp;"|"&amp;G369,LAYOUT!$E$2:$E$34,0)),"zona tidak ada di layout"))</f>
        <v/>
      </c>
      <c r="L369" s="12">
        <f>IF(OR(F369="",A369=""),"",COUNTIFS($F$2:$F$500,F369,$G$2:$G$500,G369,$A$2:$A$500,"&lt;&gt;"))</f>
        <v/>
      </c>
      <c r="M369" s="12">
        <f>IF(AND(A369="",F369=""),"",IF(F369="","Belum ditempatkan",IF(I369="","CEK ID FIXTURE tidak ada di DAFTAR_FIXTURE",IF(G369="","CEK ZONA NO kosong",IF(K369="zona tidak ada di layout","CEK ZONA NO di luar layout",IF(H369&lt;&gt;K369,"CEK JENIS ZONA",IF(A369="","Zona kosong",IF(B369="","CEK SKU DESCRIPTION kosong","OK"))))))))</f>
        <v/>
      </c>
    </row>
    <row r="370">
      <c r="A370" s="10" t="n"/>
      <c r="B370" s="11" t="n"/>
      <c r="C370" s="11" t="n"/>
      <c r="D370" s="11" t="n"/>
      <c r="E370" s="11" t="n"/>
      <c r="F370" s="11" t="n"/>
      <c r="G370" s="11" t="n"/>
      <c r="H370" s="11" t="n"/>
      <c r="I370" s="12">
        <f>IF(F370="","",IFERROR(INDEX(DAFTAR_FIXTURE!$B$2:$B$51,MATCH(F370,DAFTAR_FIXTURE!$A$2:$A$51,0)),""))</f>
        <v/>
      </c>
      <c r="J370" s="12">
        <f>IF(A370="","","https://cdn.ruparupa.io/fit-in/850x850/ruparupa-com/image/upload/Products/"&amp;A370&amp;"_1.jpg")</f>
        <v/>
      </c>
      <c r="K370" s="12">
        <f>IF(OR(I370="",G370=""),"",IFERROR(INDEX(LAYOUT!$D$2:$D$34,MATCH(I370&amp;"|"&amp;G370,LAYOUT!$E$2:$E$34,0)),"zona tidak ada di layout"))</f>
        <v/>
      </c>
      <c r="L370" s="12">
        <f>IF(OR(F370="",A370=""),"",COUNTIFS($F$2:$F$500,F370,$G$2:$G$500,G370,$A$2:$A$500,"&lt;&gt;"))</f>
        <v/>
      </c>
      <c r="M370" s="12">
        <f>IF(AND(A370="",F370=""),"",IF(F370="","Belum ditempatkan",IF(I370="","CEK ID FIXTURE tidak ada di DAFTAR_FIXTURE",IF(G370="","CEK ZONA NO kosong",IF(K370="zona tidak ada di layout","CEK ZONA NO di luar layout",IF(H370&lt;&gt;K370,"CEK JENIS ZONA",IF(A370="","Zona kosong",IF(B370="","CEK SKU DESCRIPTION kosong","OK"))))))))</f>
        <v/>
      </c>
    </row>
    <row r="371">
      <c r="A371" s="10" t="n"/>
      <c r="B371" s="11" t="n"/>
      <c r="C371" s="11" t="n"/>
      <c r="D371" s="11" t="n"/>
      <c r="E371" s="11" t="n"/>
      <c r="F371" s="11" t="n"/>
      <c r="G371" s="11" t="n"/>
      <c r="H371" s="11" t="n"/>
      <c r="I371" s="12">
        <f>IF(F371="","",IFERROR(INDEX(DAFTAR_FIXTURE!$B$2:$B$51,MATCH(F371,DAFTAR_FIXTURE!$A$2:$A$51,0)),""))</f>
        <v/>
      </c>
      <c r="J371" s="12">
        <f>IF(A371="","","https://cdn.ruparupa.io/fit-in/850x850/ruparupa-com/image/upload/Products/"&amp;A371&amp;"_1.jpg")</f>
        <v/>
      </c>
      <c r="K371" s="12">
        <f>IF(OR(I371="",G371=""),"",IFERROR(INDEX(LAYOUT!$D$2:$D$34,MATCH(I371&amp;"|"&amp;G371,LAYOUT!$E$2:$E$34,0)),"zona tidak ada di layout"))</f>
        <v/>
      </c>
      <c r="L371" s="12">
        <f>IF(OR(F371="",A371=""),"",COUNTIFS($F$2:$F$500,F371,$G$2:$G$500,G371,$A$2:$A$500,"&lt;&gt;"))</f>
        <v/>
      </c>
      <c r="M371" s="12">
        <f>IF(AND(A371="",F371=""),"",IF(F371="","Belum ditempatkan",IF(I371="","CEK ID FIXTURE tidak ada di DAFTAR_FIXTURE",IF(G371="","CEK ZONA NO kosong",IF(K371="zona tidak ada di layout","CEK ZONA NO di luar layout",IF(H371&lt;&gt;K371,"CEK JENIS ZONA",IF(A371="","Zona kosong",IF(B371="","CEK SKU DESCRIPTION kosong","OK"))))))))</f>
        <v/>
      </c>
    </row>
    <row r="372">
      <c r="A372" s="10" t="n"/>
      <c r="B372" s="11" t="n"/>
      <c r="C372" s="11" t="n"/>
      <c r="D372" s="11" t="n"/>
      <c r="E372" s="11" t="n"/>
      <c r="F372" s="11" t="n"/>
      <c r="G372" s="11" t="n"/>
      <c r="H372" s="11" t="n"/>
      <c r="I372" s="12">
        <f>IF(F372="","",IFERROR(INDEX(DAFTAR_FIXTURE!$B$2:$B$51,MATCH(F372,DAFTAR_FIXTURE!$A$2:$A$51,0)),""))</f>
        <v/>
      </c>
      <c r="J372" s="12">
        <f>IF(A372="","","https://cdn.ruparupa.io/fit-in/850x850/ruparupa-com/image/upload/Products/"&amp;A372&amp;"_1.jpg")</f>
        <v/>
      </c>
      <c r="K372" s="12">
        <f>IF(OR(I372="",G372=""),"",IFERROR(INDEX(LAYOUT!$D$2:$D$34,MATCH(I372&amp;"|"&amp;G372,LAYOUT!$E$2:$E$34,0)),"zona tidak ada di layout"))</f>
        <v/>
      </c>
      <c r="L372" s="12">
        <f>IF(OR(F372="",A372=""),"",COUNTIFS($F$2:$F$500,F372,$G$2:$G$500,G372,$A$2:$A$500,"&lt;&gt;"))</f>
        <v/>
      </c>
      <c r="M372" s="12">
        <f>IF(AND(A372="",F372=""),"",IF(F372="","Belum ditempatkan",IF(I372="","CEK ID FIXTURE tidak ada di DAFTAR_FIXTURE",IF(G372="","CEK ZONA NO kosong",IF(K372="zona tidak ada di layout","CEK ZONA NO di luar layout",IF(H372&lt;&gt;K372,"CEK JENIS ZONA",IF(A372="","Zona kosong",IF(B372="","CEK SKU DESCRIPTION kosong","OK"))))))))</f>
        <v/>
      </c>
    </row>
    <row r="373">
      <c r="A373" s="10" t="n"/>
      <c r="B373" s="11" t="n"/>
      <c r="C373" s="11" t="n"/>
      <c r="D373" s="11" t="n"/>
      <c r="E373" s="11" t="n"/>
      <c r="F373" s="11" t="n"/>
      <c r="G373" s="11" t="n"/>
      <c r="H373" s="11" t="n"/>
      <c r="I373" s="12">
        <f>IF(F373="","",IFERROR(INDEX(DAFTAR_FIXTURE!$B$2:$B$51,MATCH(F373,DAFTAR_FIXTURE!$A$2:$A$51,0)),""))</f>
        <v/>
      </c>
      <c r="J373" s="12">
        <f>IF(A373="","","https://cdn.ruparupa.io/fit-in/850x850/ruparupa-com/image/upload/Products/"&amp;A373&amp;"_1.jpg")</f>
        <v/>
      </c>
      <c r="K373" s="12">
        <f>IF(OR(I373="",G373=""),"",IFERROR(INDEX(LAYOUT!$D$2:$D$34,MATCH(I373&amp;"|"&amp;G373,LAYOUT!$E$2:$E$34,0)),"zona tidak ada di layout"))</f>
        <v/>
      </c>
      <c r="L373" s="12">
        <f>IF(OR(F373="",A373=""),"",COUNTIFS($F$2:$F$500,F373,$G$2:$G$500,G373,$A$2:$A$500,"&lt;&gt;"))</f>
        <v/>
      </c>
      <c r="M373" s="12">
        <f>IF(AND(A373="",F373=""),"",IF(F373="","Belum ditempatkan",IF(I373="","CEK ID FIXTURE tidak ada di DAFTAR_FIXTURE",IF(G373="","CEK ZONA NO kosong",IF(K373="zona tidak ada di layout","CEK ZONA NO di luar layout",IF(H373&lt;&gt;K373,"CEK JENIS ZONA",IF(A373="","Zona kosong",IF(B373="","CEK SKU DESCRIPTION kosong","OK"))))))))</f>
        <v/>
      </c>
    </row>
    <row r="374">
      <c r="A374" s="10" t="n"/>
      <c r="B374" s="11" t="n"/>
      <c r="C374" s="11" t="n"/>
      <c r="D374" s="11" t="n"/>
      <c r="E374" s="11" t="n"/>
      <c r="F374" s="11" t="n"/>
      <c r="G374" s="11" t="n"/>
      <c r="H374" s="11" t="n"/>
      <c r="I374" s="12">
        <f>IF(F374="","",IFERROR(INDEX(DAFTAR_FIXTURE!$B$2:$B$51,MATCH(F374,DAFTAR_FIXTURE!$A$2:$A$51,0)),""))</f>
        <v/>
      </c>
      <c r="J374" s="12">
        <f>IF(A374="","","https://cdn.ruparupa.io/fit-in/850x850/ruparupa-com/image/upload/Products/"&amp;A374&amp;"_1.jpg")</f>
        <v/>
      </c>
      <c r="K374" s="12">
        <f>IF(OR(I374="",G374=""),"",IFERROR(INDEX(LAYOUT!$D$2:$D$34,MATCH(I374&amp;"|"&amp;G374,LAYOUT!$E$2:$E$34,0)),"zona tidak ada di layout"))</f>
        <v/>
      </c>
      <c r="L374" s="12">
        <f>IF(OR(F374="",A374=""),"",COUNTIFS($F$2:$F$500,F374,$G$2:$G$500,G374,$A$2:$A$500,"&lt;&gt;"))</f>
        <v/>
      </c>
      <c r="M374" s="12">
        <f>IF(AND(A374="",F374=""),"",IF(F374="","Belum ditempatkan",IF(I374="","CEK ID FIXTURE tidak ada di DAFTAR_FIXTURE",IF(G374="","CEK ZONA NO kosong",IF(K374="zona tidak ada di layout","CEK ZONA NO di luar layout",IF(H374&lt;&gt;K374,"CEK JENIS ZONA",IF(A374="","Zona kosong",IF(B374="","CEK SKU DESCRIPTION kosong","OK"))))))))</f>
        <v/>
      </c>
    </row>
    <row r="375">
      <c r="A375" s="10" t="n"/>
      <c r="B375" s="11" t="n"/>
      <c r="C375" s="11" t="n"/>
      <c r="D375" s="11" t="n"/>
      <c r="E375" s="11" t="n"/>
      <c r="F375" s="11" t="n"/>
      <c r="G375" s="11" t="n"/>
      <c r="H375" s="11" t="n"/>
      <c r="I375" s="12">
        <f>IF(F375="","",IFERROR(INDEX(DAFTAR_FIXTURE!$B$2:$B$51,MATCH(F375,DAFTAR_FIXTURE!$A$2:$A$51,0)),""))</f>
        <v/>
      </c>
      <c r="J375" s="12">
        <f>IF(A375="","","https://cdn.ruparupa.io/fit-in/850x850/ruparupa-com/image/upload/Products/"&amp;A375&amp;"_1.jpg")</f>
        <v/>
      </c>
      <c r="K375" s="12">
        <f>IF(OR(I375="",G375=""),"",IFERROR(INDEX(LAYOUT!$D$2:$D$34,MATCH(I375&amp;"|"&amp;G375,LAYOUT!$E$2:$E$34,0)),"zona tidak ada di layout"))</f>
        <v/>
      </c>
      <c r="L375" s="12">
        <f>IF(OR(F375="",A375=""),"",COUNTIFS($F$2:$F$500,F375,$G$2:$G$500,G375,$A$2:$A$500,"&lt;&gt;"))</f>
        <v/>
      </c>
      <c r="M375" s="12">
        <f>IF(AND(A375="",F375=""),"",IF(F375="","Belum ditempatkan",IF(I375="","CEK ID FIXTURE tidak ada di DAFTAR_FIXTURE",IF(G375="","CEK ZONA NO kosong",IF(K375="zona tidak ada di layout","CEK ZONA NO di luar layout",IF(H375&lt;&gt;K375,"CEK JENIS ZONA",IF(A375="","Zona kosong",IF(B375="","CEK SKU DESCRIPTION kosong","OK"))))))))</f>
        <v/>
      </c>
    </row>
    <row r="376">
      <c r="A376" s="10" t="n"/>
      <c r="B376" s="11" t="n"/>
      <c r="C376" s="11" t="n"/>
      <c r="D376" s="11" t="n"/>
      <c r="E376" s="11" t="n"/>
      <c r="F376" s="11" t="n"/>
      <c r="G376" s="11" t="n"/>
      <c r="H376" s="11" t="n"/>
      <c r="I376" s="12">
        <f>IF(F376="","",IFERROR(INDEX(DAFTAR_FIXTURE!$B$2:$B$51,MATCH(F376,DAFTAR_FIXTURE!$A$2:$A$51,0)),""))</f>
        <v/>
      </c>
      <c r="J376" s="12">
        <f>IF(A376="","","https://cdn.ruparupa.io/fit-in/850x850/ruparupa-com/image/upload/Products/"&amp;A376&amp;"_1.jpg")</f>
        <v/>
      </c>
      <c r="K376" s="12">
        <f>IF(OR(I376="",G376=""),"",IFERROR(INDEX(LAYOUT!$D$2:$D$34,MATCH(I376&amp;"|"&amp;G376,LAYOUT!$E$2:$E$34,0)),"zona tidak ada di layout"))</f>
        <v/>
      </c>
      <c r="L376" s="12">
        <f>IF(OR(F376="",A376=""),"",COUNTIFS($F$2:$F$500,F376,$G$2:$G$500,G376,$A$2:$A$500,"&lt;&gt;"))</f>
        <v/>
      </c>
      <c r="M376" s="12">
        <f>IF(AND(A376="",F376=""),"",IF(F376="","Belum ditempatkan",IF(I376="","CEK ID FIXTURE tidak ada di DAFTAR_FIXTURE",IF(G376="","CEK ZONA NO kosong",IF(K376="zona tidak ada di layout","CEK ZONA NO di luar layout",IF(H376&lt;&gt;K376,"CEK JENIS ZONA",IF(A376="","Zona kosong",IF(B376="","CEK SKU DESCRIPTION kosong","OK"))))))))</f>
        <v/>
      </c>
    </row>
    <row r="377">
      <c r="A377" s="10" t="n"/>
      <c r="B377" s="11" t="n"/>
      <c r="C377" s="11" t="n"/>
      <c r="D377" s="11" t="n"/>
      <c r="E377" s="11" t="n"/>
      <c r="F377" s="11" t="n"/>
      <c r="G377" s="11" t="n"/>
      <c r="H377" s="11" t="n"/>
      <c r="I377" s="12">
        <f>IF(F377="","",IFERROR(INDEX(DAFTAR_FIXTURE!$B$2:$B$51,MATCH(F377,DAFTAR_FIXTURE!$A$2:$A$51,0)),""))</f>
        <v/>
      </c>
      <c r="J377" s="12">
        <f>IF(A377="","","https://cdn.ruparupa.io/fit-in/850x850/ruparupa-com/image/upload/Products/"&amp;A377&amp;"_1.jpg")</f>
        <v/>
      </c>
      <c r="K377" s="12">
        <f>IF(OR(I377="",G377=""),"",IFERROR(INDEX(LAYOUT!$D$2:$D$34,MATCH(I377&amp;"|"&amp;G377,LAYOUT!$E$2:$E$34,0)),"zona tidak ada di layout"))</f>
        <v/>
      </c>
      <c r="L377" s="12">
        <f>IF(OR(F377="",A377=""),"",COUNTIFS($F$2:$F$500,F377,$G$2:$G$500,G377,$A$2:$A$500,"&lt;&gt;"))</f>
        <v/>
      </c>
      <c r="M377" s="12">
        <f>IF(AND(A377="",F377=""),"",IF(F377="","Belum ditempatkan",IF(I377="","CEK ID FIXTURE tidak ada di DAFTAR_FIXTURE",IF(G377="","CEK ZONA NO kosong",IF(K377="zona tidak ada di layout","CEK ZONA NO di luar layout",IF(H377&lt;&gt;K377,"CEK JENIS ZONA",IF(A377="","Zona kosong",IF(B377="","CEK SKU DESCRIPTION kosong","OK"))))))))</f>
        <v/>
      </c>
    </row>
    <row r="378">
      <c r="A378" s="10" t="n"/>
      <c r="B378" s="11" t="n"/>
      <c r="C378" s="11" t="n"/>
      <c r="D378" s="11" t="n"/>
      <c r="E378" s="11" t="n"/>
      <c r="F378" s="11" t="n"/>
      <c r="G378" s="11" t="n"/>
      <c r="H378" s="11" t="n"/>
      <c r="I378" s="12">
        <f>IF(F378="","",IFERROR(INDEX(DAFTAR_FIXTURE!$B$2:$B$51,MATCH(F378,DAFTAR_FIXTURE!$A$2:$A$51,0)),""))</f>
        <v/>
      </c>
      <c r="J378" s="12">
        <f>IF(A378="","","https://cdn.ruparupa.io/fit-in/850x850/ruparupa-com/image/upload/Products/"&amp;A378&amp;"_1.jpg")</f>
        <v/>
      </c>
      <c r="K378" s="12">
        <f>IF(OR(I378="",G378=""),"",IFERROR(INDEX(LAYOUT!$D$2:$D$34,MATCH(I378&amp;"|"&amp;G378,LAYOUT!$E$2:$E$34,0)),"zona tidak ada di layout"))</f>
        <v/>
      </c>
      <c r="L378" s="12">
        <f>IF(OR(F378="",A378=""),"",COUNTIFS($F$2:$F$500,F378,$G$2:$G$500,G378,$A$2:$A$500,"&lt;&gt;"))</f>
        <v/>
      </c>
      <c r="M378" s="12">
        <f>IF(AND(A378="",F378=""),"",IF(F378="","Belum ditempatkan",IF(I378="","CEK ID FIXTURE tidak ada di DAFTAR_FIXTURE",IF(G378="","CEK ZONA NO kosong",IF(K378="zona tidak ada di layout","CEK ZONA NO di luar layout",IF(H378&lt;&gt;K378,"CEK JENIS ZONA",IF(A378="","Zona kosong",IF(B378="","CEK SKU DESCRIPTION kosong","OK"))))))))</f>
        <v/>
      </c>
    </row>
    <row r="379">
      <c r="A379" s="10" t="n"/>
      <c r="B379" s="11" t="n"/>
      <c r="C379" s="11" t="n"/>
      <c r="D379" s="11" t="n"/>
      <c r="E379" s="11" t="n"/>
      <c r="F379" s="11" t="n"/>
      <c r="G379" s="11" t="n"/>
      <c r="H379" s="11" t="n"/>
      <c r="I379" s="12">
        <f>IF(F379="","",IFERROR(INDEX(DAFTAR_FIXTURE!$B$2:$B$51,MATCH(F379,DAFTAR_FIXTURE!$A$2:$A$51,0)),""))</f>
        <v/>
      </c>
      <c r="J379" s="12">
        <f>IF(A379="","","https://cdn.ruparupa.io/fit-in/850x850/ruparupa-com/image/upload/Products/"&amp;A379&amp;"_1.jpg")</f>
        <v/>
      </c>
      <c r="K379" s="12">
        <f>IF(OR(I379="",G379=""),"",IFERROR(INDEX(LAYOUT!$D$2:$D$34,MATCH(I379&amp;"|"&amp;G379,LAYOUT!$E$2:$E$34,0)),"zona tidak ada di layout"))</f>
        <v/>
      </c>
      <c r="L379" s="12">
        <f>IF(OR(F379="",A379=""),"",COUNTIFS($F$2:$F$500,F379,$G$2:$G$500,G379,$A$2:$A$500,"&lt;&gt;"))</f>
        <v/>
      </c>
      <c r="M379" s="12">
        <f>IF(AND(A379="",F379=""),"",IF(F379="","Belum ditempatkan",IF(I379="","CEK ID FIXTURE tidak ada di DAFTAR_FIXTURE",IF(G379="","CEK ZONA NO kosong",IF(K379="zona tidak ada di layout","CEK ZONA NO di luar layout",IF(H379&lt;&gt;K379,"CEK JENIS ZONA",IF(A379="","Zona kosong",IF(B379="","CEK SKU DESCRIPTION kosong","OK"))))))))</f>
        <v/>
      </c>
    </row>
    <row r="380">
      <c r="A380" s="10" t="n"/>
      <c r="B380" s="11" t="n"/>
      <c r="C380" s="11" t="n"/>
      <c r="D380" s="11" t="n"/>
      <c r="E380" s="11" t="n"/>
      <c r="F380" s="11" t="n"/>
      <c r="G380" s="11" t="n"/>
      <c r="H380" s="11" t="n"/>
      <c r="I380" s="12">
        <f>IF(F380="","",IFERROR(INDEX(DAFTAR_FIXTURE!$B$2:$B$51,MATCH(F380,DAFTAR_FIXTURE!$A$2:$A$51,0)),""))</f>
        <v/>
      </c>
      <c r="J380" s="12">
        <f>IF(A380="","","https://cdn.ruparupa.io/fit-in/850x850/ruparupa-com/image/upload/Products/"&amp;A380&amp;"_1.jpg")</f>
        <v/>
      </c>
      <c r="K380" s="12">
        <f>IF(OR(I380="",G380=""),"",IFERROR(INDEX(LAYOUT!$D$2:$D$34,MATCH(I380&amp;"|"&amp;G380,LAYOUT!$E$2:$E$34,0)),"zona tidak ada di layout"))</f>
        <v/>
      </c>
      <c r="L380" s="12">
        <f>IF(OR(F380="",A380=""),"",COUNTIFS($F$2:$F$500,F380,$G$2:$G$500,G380,$A$2:$A$500,"&lt;&gt;"))</f>
        <v/>
      </c>
      <c r="M380" s="12">
        <f>IF(AND(A380="",F380=""),"",IF(F380="","Belum ditempatkan",IF(I380="","CEK ID FIXTURE tidak ada di DAFTAR_FIXTURE",IF(G380="","CEK ZONA NO kosong",IF(K380="zona tidak ada di layout","CEK ZONA NO di luar layout",IF(H380&lt;&gt;K380,"CEK JENIS ZONA",IF(A380="","Zona kosong",IF(B380="","CEK SKU DESCRIPTION kosong","OK"))))))))</f>
        <v/>
      </c>
    </row>
    <row r="381">
      <c r="A381" s="10" t="n"/>
      <c r="B381" s="11" t="n"/>
      <c r="C381" s="11" t="n"/>
      <c r="D381" s="11" t="n"/>
      <c r="E381" s="11" t="n"/>
      <c r="F381" s="11" t="n"/>
      <c r="G381" s="11" t="n"/>
      <c r="H381" s="11" t="n"/>
      <c r="I381" s="12">
        <f>IF(F381="","",IFERROR(INDEX(DAFTAR_FIXTURE!$B$2:$B$51,MATCH(F381,DAFTAR_FIXTURE!$A$2:$A$51,0)),""))</f>
        <v/>
      </c>
      <c r="J381" s="12">
        <f>IF(A381="","","https://cdn.ruparupa.io/fit-in/850x850/ruparupa-com/image/upload/Products/"&amp;A381&amp;"_1.jpg")</f>
        <v/>
      </c>
      <c r="K381" s="12">
        <f>IF(OR(I381="",G381=""),"",IFERROR(INDEX(LAYOUT!$D$2:$D$34,MATCH(I381&amp;"|"&amp;G381,LAYOUT!$E$2:$E$34,0)),"zona tidak ada di layout"))</f>
        <v/>
      </c>
      <c r="L381" s="12">
        <f>IF(OR(F381="",A381=""),"",COUNTIFS($F$2:$F$500,F381,$G$2:$G$500,G381,$A$2:$A$500,"&lt;&gt;"))</f>
        <v/>
      </c>
      <c r="M381" s="12">
        <f>IF(AND(A381="",F381=""),"",IF(F381="","Belum ditempatkan",IF(I381="","CEK ID FIXTURE tidak ada di DAFTAR_FIXTURE",IF(G381="","CEK ZONA NO kosong",IF(K381="zona tidak ada di layout","CEK ZONA NO di luar layout",IF(H381&lt;&gt;K381,"CEK JENIS ZONA",IF(A381="","Zona kosong",IF(B381="","CEK SKU DESCRIPTION kosong","OK"))))))))</f>
        <v/>
      </c>
    </row>
    <row r="382">
      <c r="A382" s="10" t="n"/>
      <c r="B382" s="11" t="n"/>
      <c r="C382" s="11" t="n"/>
      <c r="D382" s="11" t="n"/>
      <c r="E382" s="11" t="n"/>
      <c r="F382" s="11" t="n"/>
      <c r="G382" s="11" t="n"/>
      <c r="H382" s="11" t="n"/>
      <c r="I382" s="12">
        <f>IF(F382="","",IFERROR(INDEX(DAFTAR_FIXTURE!$B$2:$B$51,MATCH(F382,DAFTAR_FIXTURE!$A$2:$A$51,0)),""))</f>
        <v/>
      </c>
      <c r="J382" s="12">
        <f>IF(A382="","","https://cdn.ruparupa.io/fit-in/850x850/ruparupa-com/image/upload/Products/"&amp;A382&amp;"_1.jpg")</f>
        <v/>
      </c>
      <c r="K382" s="12">
        <f>IF(OR(I382="",G382=""),"",IFERROR(INDEX(LAYOUT!$D$2:$D$34,MATCH(I382&amp;"|"&amp;G382,LAYOUT!$E$2:$E$34,0)),"zona tidak ada di layout"))</f>
        <v/>
      </c>
      <c r="L382" s="12">
        <f>IF(OR(F382="",A382=""),"",COUNTIFS($F$2:$F$500,F382,$G$2:$G$500,G382,$A$2:$A$500,"&lt;&gt;"))</f>
        <v/>
      </c>
      <c r="M382" s="12">
        <f>IF(AND(A382="",F382=""),"",IF(F382="","Belum ditempatkan",IF(I382="","CEK ID FIXTURE tidak ada di DAFTAR_FIXTURE",IF(G382="","CEK ZONA NO kosong",IF(K382="zona tidak ada di layout","CEK ZONA NO di luar layout",IF(H382&lt;&gt;K382,"CEK JENIS ZONA",IF(A382="","Zona kosong",IF(B382="","CEK SKU DESCRIPTION kosong","OK"))))))))</f>
        <v/>
      </c>
    </row>
    <row r="383">
      <c r="A383" s="10" t="n"/>
      <c r="B383" s="11" t="n"/>
      <c r="C383" s="11" t="n"/>
      <c r="D383" s="11" t="n"/>
      <c r="E383" s="11" t="n"/>
      <c r="F383" s="11" t="n"/>
      <c r="G383" s="11" t="n"/>
      <c r="H383" s="11" t="n"/>
      <c r="I383" s="12">
        <f>IF(F383="","",IFERROR(INDEX(DAFTAR_FIXTURE!$B$2:$B$51,MATCH(F383,DAFTAR_FIXTURE!$A$2:$A$51,0)),""))</f>
        <v/>
      </c>
      <c r="J383" s="12">
        <f>IF(A383="","","https://cdn.ruparupa.io/fit-in/850x850/ruparupa-com/image/upload/Products/"&amp;A383&amp;"_1.jpg")</f>
        <v/>
      </c>
      <c r="K383" s="12">
        <f>IF(OR(I383="",G383=""),"",IFERROR(INDEX(LAYOUT!$D$2:$D$34,MATCH(I383&amp;"|"&amp;G383,LAYOUT!$E$2:$E$34,0)),"zona tidak ada di layout"))</f>
        <v/>
      </c>
      <c r="L383" s="12">
        <f>IF(OR(F383="",A383=""),"",COUNTIFS($F$2:$F$500,F383,$G$2:$G$500,G383,$A$2:$A$500,"&lt;&gt;"))</f>
        <v/>
      </c>
      <c r="M383" s="12">
        <f>IF(AND(A383="",F383=""),"",IF(F383="","Belum ditempatkan",IF(I383="","CEK ID FIXTURE tidak ada di DAFTAR_FIXTURE",IF(G383="","CEK ZONA NO kosong",IF(K383="zona tidak ada di layout","CEK ZONA NO di luar layout",IF(H383&lt;&gt;K383,"CEK JENIS ZONA",IF(A383="","Zona kosong",IF(B383="","CEK SKU DESCRIPTION kosong","OK"))))))))</f>
        <v/>
      </c>
    </row>
    <row r="384">
      <c r="A384" s="10" t="n"/>
      <c r="B384" s="11" t="n"/>
      <c r="C384" s="11" t="n"/>
      <c r="D384" s="11" t="n"/>
      <c r="E384" s="11" t="n"/>
      <c r="F384" s="11" t="n"/>
      <c r="G384" s="11" t="n"/>
      <c r="H384" s="11" t="n"/>
      <c r="I384" s="12">
        <f>IF(F384="","",IFERROR(INDEX(DAFTAR_FIXTURE!$B$2:$B$51,MATCH(F384,DAFTAR_FIXTURE!$A$2:$A$51,0)),""))</f>
        <v/>
      </c>
      <c r="J384" s="12">
        <f>IF(A384="","","https://cdn.ruparupa.io/fit-in/850x850/ruparupa-com/image/upload/Products/"&amp;A384&amp;"_1.jpg")</f>
        <v/>
      </c>
      <c r="K384" s="12">
        <f>IF(OR(I384="",G384=""),"",IFERROR(INDEX(LAYOUT!$D$2:$D$34,MATCH(I384&amp;"|"&amp;G384,LAYOUT!$E$2:$E$34,0)),"zona tidak ada di layout"))</f>
        <v/>
      </c>
      <c r="L384" s="12">
        <f>IF(OR(F384="",A384=""),"",COUNTIFS($F$2:$F$500,F384,$G$2:$G$500,G384,$A$2:$A$500,"&lt;&gt;"))</f>
        <v/>
      </c>
      <c r="M384" s="12">
        <f>IF(AND(A384="",F384=""),"",IF(F384="","Belum ditempatkan",IF(I384="","CEK ID FIXTURE tidak ada di DAFTAR_FIXTURE",IF(G384="","CEK ZONA NO kosong",IF(K384="zona tidak ada di layout","CEK ZONA NO di luar layout",IF(H384&lt;&gt;K384,"CEK JENIS ZONA",IF(A384="","Zona kosong",IF(B384="","CEK SKU DESCRIPTION kosong","OK"))))))))</f>
        <v/>
      </c>
    </row>
    <row r="385">
      <c r="A385" s="10" t="n"/>
      <c r="B385" s="11" t="n"/>
      <c r="C385" s="11" t="n"/>
      <c r="D385" s="11" t="n"/>
      <c r="E385" s="11" t="n"/>
      <c r="F385" s="11" t="n"/>
      <c r="G385" s="11" t="n"/>
      <c r="H385" s="11" t="n"/>
      <c r="I385" s="12">
        <f>IF(F385="","",IFERROR(INDEX(DAFTAR_FIXTURE!$B$2:$B$51,MATCH(F385,DAFTAR_FIXTURE!$A$2:$A$51,0)),""))</f>
        <v/>
      </c>
      <c r="J385" s="12">
        <f>IF(A385="","","https://cdn.ruparupa.io/fit-in/850x850/ruparupa-com/image/upload/Products/"&amp;A385&amp;"_1.jpg")</f>
        <v/>
      </c>
      <c r="K385" s="12">
        <f>IF(OR(I385="",G385=""),"",IFERROR(INDEX(LAYOUT!$D$2:$D$34,MATCH(I385&amp;"|"&amp;G385,LAYOUT!$E$2:$E$34,0)),"zona tidak ada di layout"))</f>
        <v/>
      </c>
      <c r="L385" s="12">
        <f>IF(OR(F385="",A385=""),"",COUNTIFS($F$2:$F$500,F385,$G$2:$G$500,G385,$A$2:$A$500,"&lt;&gt;"))</f>
        <v/>
      </c>
      <c r="M385" s="12">
        <f>IF(AND(A385="",F385=""),"",IF(F385="","Belum ditempatkan",IF(I385="","CEK ID FIXTURE tidak ada di DAFTAR_FIXTURE",IF(G385="","CEK ZONA NO kosong",IF(K385="zona tidak ada di layout","CEK ZONA NO di luar layout",IF(H385&lt;&gt;K385,"CEK JENIS ZONA",IF(A385="","Zona kosong",IF(B385="","CEK SKU DESCRIPTION kosong","OK"))))))))</f>
        <v/>
      </c>
    </row>
    <row r="386">
      <c r="A386" s="10" t="n"/>
      <c r="B386" s="11" t="n"/>
      <c r="C386" s="11" t="n"/>
      <c r="D386" s="11" t="n"/>
      <c r="E386" s="11" t="n"/>
      <c r="F386" s="11" t="n"/>
      <c r="G386" s="11" t="n"/>
      <c r="H386" s="11" t="n"/>
      <c r="I386" s="12">
        <f>IF(F386="","",IFERROR(INDEX(DAFTAR_FIXTURE!$B$2:$B$51,MATCH(F386,DAFTAR_FIXTURE!$A$2:$A$51,0)),""))</f>
        <v/>
      </c>
      <c r="J386" s="12">
        <f>IF(A386="","","https://cdn.ruparupa.io/fit-in/850x850/ruparupa-com/image/upload/Products/"&amp;A386&amp;"_1.jpg")</f>
        <v/>
      </c>
      <c r="K386" s="12">
        <f>IF(OR(I386="",G386=""),"",IFERROR(INDEX(LAYOUT!$D$2:$D$34,MATCH(I386&amp;"|"&amp;G386,LAYOUT!$E$2:$E$34,0)),"zona tidak ada di layout"))</f>
        <v/>
      </c>
      <c r="L386" s="12">
        <f>IF(OR(F386="",A386=""),"",COUNTIFS($F$2:$F$500,F386,$G$2:$G$500,G386,$A$2:$A$500,"&lt;&gt;"))</f>
        <v/>
      </c>
      <c r="M386" s="12">
        <f>IF(AND(A386="",F386=""),"",IF(F386="","Belum ditempatkan",IF(I386="","CEK ID FIXTURE tidak ada di DAFTAR_FIXTURE",IF(G386="","CEK ZONA NO kosong",IF(K386="zona tidak ada di layout","CEK ZONA NO di luar layout",IF(H386&lt;&gt;K386,"CEK JENIS ZONA",IF(A386="","Zona kosong",IF(B386="","CEK SKU DESCRIPTION kosong","OK"))))))))</f>
        <v/>
      </c>
    </row>
    <row r="387">
      <c r="A387" s="10" t="n"/>
      <c r="B387" s="11" t="n"/>
      <c r="C387" s="11" t="n"/>
      <c r="D387" s="11" t="n"/>
      <c r="E387" s="11" t="n"/>
      <c r="F387" s="11" t="n"/>
      <c r="G387" s="11" t="n"/>
      <c r="H387" s="11" t="n"/>
      <c r="I387" s="12">
        <f>IF(F387="","",IFERROR(INDEX(DAFTAR_FIXTURE!$B$2:$B$51,MATCH(F387,DAFTAR_FIXTURE!$A$2:$A$51,0)),""))</f>
        <v/>
      </c>
      <c r="J387" s="12">
        <f>IF(A387="","","https://cdn.ruparupa.io/fit-in/850x850/ruparupa-com/image/upload/Products/"&amp;A387&amp;"_1.jpg")</f>
        <v/>
      </c>
      <c r="K387" s="12">
        <f>IF(OR(I387="",G387=""),"",IFERROR(INDEX(LAYOUT!$D$2:$D$34,MATCH(I387&amp;"|"&amp;G387,LAYOUT!$E$2:$E$34,0)),"zona tidak ada di layout"))</f>
        <v/>
      </c>
      <c r="L387" s="12">
        <f>IF(OR(F387="",A387=""),"",COUNTIFS($F$2:$F$500,F387,$G$2:$G$500,G387,$A$2:$A$500,"&lt;&gt;"))</f>
        <v/>
      </c>
      <c r="M387" s="12">
        <f>IF(AND(A387="",F387=""),"",IF(F387="","Belum ditempatkan",IF(I387="","CEK ID FIXTURE tidak ada di DAFTAR_FIXTURE",IF(G387="","CEK ZONA NO kosong",IF(K387="zona tidak ada di layout","CEK ZONA NO di luar layout",IF(H387&lt;&gt;K387,"CEK JENIS ZONA",IF(A387="","Zona kosong",IF(B387="","CEK SKU DESCRIPTION kosong","OK"))))))))</f>
        <v/>
      </c>
    </row>
    <row r="388">
      <c r="A388" s="10" t="n"/>
      <c r="B388" s="11" t="n"/>
      <c r="C388" s="11" t="n"/>
      <c r="D388" s="11" t="n"/>
      <c r="E388" s="11" t="n"/>
      <c r="F388" s="11" t="n"/>
      <c r="G388" s="11" t="n"/>
      <c r="H388" s="11" t="n"/>
      <c r="I388" s="12">
        <f>IF(F388="","",IFERROR(INDEX(DAFTAR_FIXTURE!$B$2:$B$51,MATCH(F388,DAFTAR_FIXTURE!$A$2:$A$51,0)),""))</f>
        <v/>
      </c>
      <c r="J388" s="12">
        <f>IF(A388="","","https://cdn.ruparupa.io/fit-in/850x850/ruparupa-com/image/upload/Products/"&amp;A388&amp;"_1.jpg")</f>
        <v/>
      </c>
      <c r="K388" s="12">
        <f>IF(OR(I388="",G388=""),"",IFERROR(INDEX(LAYOUT!$D$2:$D$34,MATCH(I388&amp;"|"&amp;G388,LAYOUT!$E$2:$E$34,0)),"zona tidak ada di layout"))</f>
        <v/>
      </c>
      <c r="L388" s="12">
        <f>IF(OR(F388="",A388=""),"",COUNTIFS($F$2:$F$500,F388,$G$2:$G$500,G388,$A$2:$A$500,"&lt;&gt;"))</f>
        <v/>
      </c>
      <c r="M388" s="12">
        <f>IF(AND(A388="",F388=""),"",IF(F388="","Belum ditempatkan",IF(I388="","CEK ID FIXTURE tidak ada di DAFTAR_FIXTURE",IF(G388="","CEK ZONA NO kosong",IF(K388="zona tidak ada di layout","CEK ZONA NO di luar layout",IF(H388&lt;&gt;K388,"CEK JENIS ZONA",IF(A388="","Zona kosong",IF(B388="","CEK SKU DESCRIPTION kosong","OK"))))))))</f>
        <v/>
      </c>
    </row>
    <row r="389">
      <c r="A389" s="10" t="n"/>
      <c r="B389" s="11" t="n"/>
      <c r="C389" s="11" t="n"/>
      <c r="D389" s="11" t="n"/>
      <c r="E389" s="11" t="n"/>
      <c r="F389" s="11" t="n"/>
      <c r="G389" s="11" t="n"/>
      <c r="H389" s="11" t="n"/>
      <c r="I389" s="12">
        <f>IF(F389="","",IFERROR(INDEX(DAFTAR_FIXTURE!$B$2:$B$51,MATCH(F389,DAFTAR_FIXTURE!$A$2:$A$51,0)),""))</f>
        <v/>
      </c>
      <c r="J389" s="12">
        <f>IF(A389="","","https://cdn.ruparupa.io/fit-in/850x850/ruparupa-com/image/upload/Products/"&amp;A389&amp;"_1.jpg")</f>
        <v/>
      </c>
      <c r="K389" s="12">
        <f>IF(OR(I389="",G389=""),"",IFERROR(INDEX(LAYOUT!$D$2:$D$34,MATCH(I389&amp;"|"&amp;G389,LAYOUT!$E$2:$E$34,0)),"zona tidak ada di layout"))</f>
        <v/>
      </c>
      <c r="L389" s="12">
        <f>IF(OR(F389="",A389=""),"",COUNTIFS($F$2:$F$500,F389,$G$2:$G$500,G389,$A$2:$A$500,"&lt;&gt;"))</f>
        <v/>
      </c>
      <c r="M389" s="12">
        <f>IF(AND(A389="",F389=""),"",IF(F389="","Belum ditempatkan",IF(I389="","CEK ID FIXTURE tidak ada di DAFTAR_FIXTURE",IF(G389="","CEK ZONA NO kosong",IF(K389="zona tidak ada di layout","CEK ZONA NO di luar layout",IF(H389&lt;&gt;K389,"CEK JENIS ZONA",IF(A389="","Zona kosong",IF(B389="","CEK SKU DESCRIPTION kosong","OK"))))))))</f>
        <v/>
      </c>
    </row>
    <row r="390">
      <c r="A390" s="10" t="n"/>
      <c r="B390" s="11" t="n"/>
      <c r="C390" s="11" t="n"/>
      <c r="D390" s="11" t="n"/>
      <c r="E390" s="11" t="n"/>
      <c r="F390" s="11" t="n"/>
      <c r="G390" s="11" t="n"/>
      <c r="H390" s="11" t="n"/>
      <c r="I390" s="12">
        <f>IF(F390="","",IFERROR(INDEX(DAFTAR_FIXTURE!$B$2:$B$51,MATCH(F390,DAFTAR_FIXTURE!$A$2:$A$51,0)),""))</f>
        <v/>
      </c>
      <c r="J390" s="12">
        <f>IF(A390="","","https://cdn.ruparupa.io/fit-in/850x850/ruparupa-com/image/upload/Products/"&amp;A390&amp;"_1.jpg")</f>
        <v/>
      </c>
      <c r="K390" s="12">
        <f>IF(OR(I390="",G390=""),"",IFERROR(INDEX(LAYOUT!$D$2:$D$34,MATCH(I390&amp;"|"&amp;G390,LAYOUT!$E$2:$E$34,0)),"zona tidak ada di layout"))</f>
        <v/>
      </c>
      <c r="L390" s="12">
        <f>IF(OR(F390="",A390=""),"",COUNTIFS($F$2:$F$500,F390,$G$2:$G$500,G390,$A$2:$A$500,"&lt;&gt;"))</f>
        <v/>
      </c>
      <c r="M390" s="12">
        <f>IF(AND(A390="",F390=""),"",IF(F390="","Belum ditempatkan",IF(I390="","CEK ID FIXTURE tidak ada di DAFTAR_FIXTURE",IF(G390="","CEK ZONA NO kosong",IF(K390="zona tidak ada di layout","CEK ZONA NO di luar layout",IF(H390&lt;&gt;K390,"CEK JENIS ZONA",IF(A390="","Zona kosong",IF(B390="","CEK SKU DESCRIPTION kosong","OK"))))))))</f>
        <v/>
      </c>
    </row>
    <row r="391">
      <c r="A391" s="10" t="n"/>
      <c r="B391" s="11" t="n"/>
      <c r="C391" s="11" t="n"/>
      <c r="D391" s="11" t="n"/>
      <c r="E391" s="11" t="n"/>
      <c r="F391" s="11" t="n"/>
      <c r="G391" s="11" t="n"/>
      <c r="H391" s="11" t="n"/>
      <c r="I391" s="12">
        <f>IF(F391="","",IFERROR(INDEX(DAFTAR_FIXTURE!$B$2:$B$51,MATCH(F391,DAFTAR_FIXTURE!$A$2:$A$51,0)),""))</f>
        <v/>
      </c>
      <c r="J391" s="12">
        <f>IF(A391="","","https://cdn.ruparupa.io/fit-in/850x850/ruparupa-com/image/upload/Products/"&amp;A391&amp;"_1.jpg")</f>
        <v/>
      </c>
      <c r="K391" s="12">
        <f>IF(OR(I391="",G391=""),"",IFERROR(INDEX(LAYOUT!$D$2:$D$34,MATCH(I391&amp;"|"&amp;G391,LAYOUT!$E$2:$E$34,0)),"zona tidak ada di layout"))</f>
        <v/>
      </c>
      <c r="L391" s="12">
        <f>IF(OR(F391="",A391=""),"",COUNTIFS($F$2:$F$500,F391,$G$2:$G$500,G391,$A$2:$A$500,"&lt;&gt;"))</f>
        <v/>
      </c>
      <c r="M391" s="12">
        <f>IF(AND(A391="",F391=""),"",IF(F391="","Belum ditempatkan",IF(I391="","CEK ID FIXTURE tidak ada di DAFTAR_FIXTURE",IF(G391="","CEK ZONA NO kosong",IF(K391="zona tidak ada di layout","CEK ZONA NO di luar layout",IF(H391&lt;&gt;K391,"CEK JENIS ZONA",IF(A391="","Zona kosong",IF(B391="","CEK SKU DESCRIPTION kosong","OK"))))))))</f>
        <v/>
      </c>
    </row>
    <row r="392">
      <c r="A392" s="10" t="n"/>
      <c r="B392" s="11" t="n"/>
      <c r="C392" s="11" t="n"/>
      <c r="D392" s="11" t="n"/>
      <c r="E392" s="11" t="n"/>
      <c r="F392" s="11" t="n"/>
      <c r="G392" s="11" t="n"/>
      <c r="H392" s="11" t="n"/>
      <c r="I392" s="12">
        <f>IF(F392="","",IFERROR(INDEX(DAFTAR_FIXTURE!$B$2:$B$51,MATCH(F392,DAFTAR_FIXTURE!$A$2:$A$51,0)),""))</f>
        <v/>
      </c>
      <c r="J392" s="12">
        <f>IF(A392="","","https://cdn.ruparupa.io/fit-in/850x850/ruparupa-com/image/upload/Products/"&amp;A392&amp;"_1.jpg")</f>
        <v/>
      </c>
      <c r="K392" s="12">
        <f>IF(OR(I392="",G392=""),"",IFERROR(INDEX(LAYOUT!$D$2:$D$34,MATCH(I392&amp;"|"&amp;G392,LAYOUT!$E$2:$E$34,0)),"zona tidak ada di layout"))</f>
        <v/>
      </c>
      <c r="L392" s="12">
        <f>IF(OR(F392="",A392=""),"",COUNTIFS($F$2:$F$500,F392,$G$2:$G$500,G392,$A$2:$A$500,"&lt;&gt;"))</f>
        <v/>
      </c>
      <c r="M392" s="12">
        <f>IF(AND(A392="",F392=""),"",IF(F392="","Belum ditempatkan",IF(I392="","CEK ID FIXTURE tidak ada di DAFTAR_FIXTURE",IF(G392="","CEK ZONA NO kosong",IF(K392="zona tidak ada di layout","CEK ZONA NO di luar layout",IF(H392&lt;&gt;K392,"CEK JENIS ZONA",IF(A392="","Zona kosong",IF(B392="","CEK SKU DESCRIPTION kosong","OK"))))))))</f>
        <v/>
      </c>
    </row>
    <row r="393">
      <c r="A393" s="10" t="n"/>
      <c r="B393" s="11" t="n"/>
      <c r="C393" s="11" t="n"/>
      <c r="D393" s="11" t="n"/>
      <c r="E393" s="11" t="n"/>
      <c r="F393" s="11" t="n"/>
      <c r="G393" s="11" t="n"/>
      <c r="H393" s="11" t="n"/>
      <c r="I393" s="12">
        <f>IF(F393="","",IFERROR(INDEX(DAFTAR_FIXTURE!$B$2:$B$51,MATCH(F393,DAFTAR_FIXTURE!$A$2:$A$51,0)),""))</f>
        <v/>
      </c>
      <c r="J393" s="12">
        <f>IF(A393="","","https://cdn.ruparupa.io/fit-in/850x850/ruparupa-com/image/upload/Products/"&amp;A393&amp;"_1.jpg")</f>
        <v/>
      </c>
      <c r="K393" s="12">
        <f>IF(OR(I393="",G393=""),"",IFERROR(INDEX(LAYOUT!$D$2:$D$34,MATCH(I393&amp;"|"&amp;G393,LAYOUT!$E$2:$E$34,0)),"zona tidak ada di layout"))</f>
        <v/>
      </c>
      <c r="L393" s="12">
        <f>IF(OR(F393="",A393=""),"",COUNTIFS($F$2:$F$500,F393,$G$2:$G$500,G393,$A$2:$A$500,"&lt;&gt;"))</f>
        <v/>
      </c>
      <c r="M393" s="12">
        <f>IF(AND(A393="",F393=""),"",IF(F393="","Belum ditempatkan",IF(I393="","CEK ID FIXTURE tidak ada di DAFTAR_FIXTURE",IF(G393="","CEK ZONA NO kosong",IF(K393="zona tidak ada di layout","CEK ZONA NO di luar layout",IF(H393&lt;&gt;K393,"CEK JENIS ZONA",IF(A393="","Zona kosong",IF(B393="","CEK SKU DESCRIPTION kosong","OK"))))))))</f>
        <v/>
      </c>
    </row>
    <row r="394">
      <c r="A394" s="10" t="n"/>
      <c r="B394" s="11" t="n"/>
      <c r="C394" s="11" t="n"/>
      <c r="D394" s="11" t="n"/>
      <c r="E394" s="11" t="n"/>
      <c r="F394" s="11" t="n"/>
      <c r="G394" s="11" t="n"/>
      <c r="H394" s="11" t="n"/>
      <c r="I394" s="12">
        <f>IF(F394="","",IFERROR(INDEX(DAFTAR_FIXTURE!$B$2:$B$51,MATCH(F394,DAFTAR_FIXTURE!$A$2:$A$51,0)),""))</f>
        <v/>
      </c>
      <c r="J394" s="12">
        <f>IF(A394="","","https://cdn.ruparupa.io/fit-in/850x850/ruparupa-com/image/upload/Products/"&amp;A394&amp;"_1.jpg")</f>
        <v/>
      </c>
      <c r="K394" s="12">
        <f>IF(OR(I394="",G394=""),"",IFERROR(INDEX(LAYOUT!$D$2:$D$34,MATCH(I394&amp;"|"&amp;G394,LAYOUT!$E$2:$E$34,0)),"zona tidak ada di layout"))</f>
        <v/>
      </c>
      <c r="L394" s="12">
        <f>IF(OR(F394="",A394=""),"",COUNTIFS($F$2:$F$500,F394,$G$2:$G$500,G394,$A$2:$A$500,"&lt;&gt;"))</f>
        <v/>
      </c>
      <c r="M394" s="12">
        <f>IF(AND(A394="",F394=""),"",IF(F394="","Belum ditempatkan",IF(I394="","CEK ID FIXTURE tidak ada di DAFTAR_FIXTURE",IF(G394="","CEK ZONA NO kosong",IF(K394="zona tidak ada di layout","CEK ZONA NO di luar layout",IF(H394&lt;&gt;K394,"CEK JENIS ZONA",IF(A394="","Zona kosong",IF(B394="","CEK SKU DESCRIPTION kosong","OK"))))))))</f>
        <v/>
      </c>
    </row>
    <row r="395">
      <c r="A395" s="10" t="n"/>
      <c r="B395" s="11" t="n"/>
      <c r="C395" s="11" t="n"/>
      <c r="D395" s="11" t="n"/>
      <c r="E395" s="11" t="n"/>
      <c r="F395" s="11" t="n"/>
      <c r="G395" s="11" t="n"/>
      <c r="H395" s="11" t="n"/>
      <c r="I395" s="12">
        <f>IF(F395="","",IFERROR(INDEX(DAFTAR_FIXTURE!$B$2:$B$51,MATCH(F395,DAFTAR_FIXTURE!$A$2:$A$51,0)),""))</f>
        <v/>
      </c>
      <c r="J395" s="12">
        <f>IF(A395="","","https://cdn.ruparupa.io/fit-in/850x850/ruparupa-com/image/upload/Products/"&amp;A395&amp;"_1.jpg")</f>
        <v/>
      </c>
      <c r="K395" s="12">
        <f>IF(OR(I395="",G395=""),"",IFERROR(INDEX(LAYOUT!$D$2:$D$34,MATCH(I395&amp;"|"&amp;G395,LAYOUT!$E$2:$E$34,0)),"zona tidak ada di layout"))</f>
        <v/>
      </c>
      <c r="L395" s="12">
        <f>IF(OR(F395="",A395=""),"",COUNTIFS($F$2:$F$500,F395,$G$2:$G$500,G395,$A$2:$A$500,"&lt;&gt;"))</f>
        <v/>
      </c>
      <c r="M395" s="12">
        <f>IF(AND(A395="",F395=""),"",IF(F395="","Belum ditempatkan",IF(I395="","CEK ID FIXTURE tidak ada di DAFTAR_FIXTURE",IF(G395="","CEK ZONA NO kosong",IF(K395="zona tidak ada di layout","CEK ZONA NO di luar layout",IF(H395&lt;&gt;K395,"CEK JENIS ZONA",IF(A395="","Zona kosong",IF(B395="","CEK SKU DESCRIPTION kosong","OK"))))))))</f>
        <v/>
      </c>
    </row>
    <row r="396">
      <c r="A396" s="10" t="n"/>
      <c r="B396" s="11" t="n"/>
      <c r="C396" s="11" t="n"/>
      <c r="D396" s="11" t="n"/>
      <c r="E396" s="11" t="n"/>
      <c r="F396" s="11" t="n"/>
      <c r="G396" s="11" t="n"/>
      <c r="H396" s="11" t="n"/>
      <c r="I396" s="12">
        <f>IF(F396="","",IFERROR(INDEX(DAFTAR_FIXTURE!$B$2:$B$51,MATCH(F396,DAFTAR_FIXTURE!$A$2:$A$51,0)),""))</f>
        <v/>
      </c>
      <c r="J396" s="12">
        <f>IF(A396="","","https://cdn.ruparupa.io/fit-in/850x850/ruparupa-com/image/upload/Products/"&amp;A396&amp;"_1.jpg")</f>
        <v/>
      </c>
      <c r="K396" s="12">
        <f>IF(OR(I396="",G396=""),"",IFERROR(INDEX(LAYOUT!$D$2:$D$34,MATCH(I396&amp;"|"&amp;G396,LAYOUT!$E$2:$E$34,0)),"zona tidak ada di layout"))</f>
        <v/>
      </c>
      <c r="L396" s="12">
        <f>IF(OR(F396="",A396=""),"",COUNTIFS($F$2:$F$500,F396,$G$2:$G$500,G396,$A$2:$A$500,"&lt;&gt;"))</f>
        <v/>
      </c>
      <c r="M396" s="12">
        <f>IF(AND(A396="",F396=""),"",IF(F396="","Belum ditempatkan",IF(I396="","CEK ID FIXTURE tidak ada di DAFTAR_FIXTURE",IF(G396="","CEK ZONA NO kosong",IF(K396="zona tidak ada di layout","CEK ZONA NO di luar layout",IF(H396&lt;&gt;K396,"CEK JENIS ZONA",IF(A396="","Zona kosong",IF(B396="","CEK SKU DESCRIPTION kosong","OK"))))))))</f>
        <v/>
      </c>
    </row>
    <row r="397">
      <c r="A397" s="10" t="n"/>
      <c r="B397" s="11" t="n"/>
      <c r="C397" s="11" t="n"/>
      <c r="D397" s="11" t="n"/>
      <c r="E397" s="11" t="n"/>
      <c r="F397" s="11" t="n"/>
      <c r="G397" s="11" t="n"/>
      <c r="H397" s="11" t="n"/>
      <c r="I397" s="12">
        <f>IF(F397="","",IFERROR(INDEX(DAFTAR_FIXTURE!$B$2:$B$51,MATCH(F397,DAFTAR_FIXTURE!$A$2:$A$51,0)),""))</f>
        <v/>
      </c>
      <c r="J397" s="12">
        <f>IF(A397="","","https://cdn.ruparupa.io/fit-in/850x850/ruparupa-com/image/upload/Products/"&amp;A397&amp;"_1.jpg")</f>
        <v/>
      </c>
      <c r="K397" s="12">
        <f>IF(OR(I397="",G397=""),"",IFERROR(INDEX(LAYOUT!$D$2:$D$34,MATCH(I397&amp;"|"&amp;G397,LAYOUT!$E$2:$E$34,0)),"zona tidak ada di layout"))</f>
        <v/>
      </c>
      <c r="L397" s="12">
        <f>IF(OR(F397="",A397=""),"",COUNTIFS($F$2:$F$500,F397,$G$2:$G$500,G397,$A$2:$A$500,"&lt;&gt;"))</f>
        <v/>
      </c>
      <c r="M397" s="12">
        <f>IF(AND(A397="",F397=""),"",IF(F397="","Belum ditempatkan",IF(I397="","CEK ID FIXTURE tidak ada di DAFTAR_FIXTURE",IF(G397="","CEK ZONA NO kosong",IF(K397="zona tidak ada di layout","CEK ZONA NO di luar layout",IF(H397&lt;&gt;K397,"CEK JENIS ZONA",IF(A397="","Zona kosong",IF(B397="","CEK SKU DESCRIPTION kosong","OK"))))))))</f>
        <v/>
      </c>
    </row>
    <row r="398">
      <c r="A398" s="10" t="n"/>
      <c r="B398" s="11" t="n"/>
      <c r="C398" s="11" t="n"/>
      <c r="D398" s="11" t="n"/>
      <c r="E398" s="11" t="n"/>
      <c r="F398" s="11" t="n"/>
      <c r="G398" s="11" t="n"/>
      <c r="H398" s="11" t="n"/>
      <c r="I398" s="12">
        <f>IF(F398="","",IFERROR(INDEX(DAFTAR_FIXTURE!$B$2:$B$51,MATCH(F398,DAFTAR_FIXTURE!$A$2:$A$51,0)),""))</f>
        <v/>
      </c>
      <c r="J398" s="12">
        <f>IF(A398="","","https://cdn.ruparupa.io/fit-in/850x850/ruparupa-com/image/upload/Products/"&amp;A398&amp;"_1.jpg")</f>
        <v/>
      </c>
      <c r="K398" s="12">
        <f>IF(OR(I398="",G398=""),"",IFERROR(INDEX(LAYOUT!$D$2:$D$34,MATCH(I398&amp;"|"&amp;G398,LAYOUT!$E$2:$E$34,0)),"zona tidak ada di layout"))</f>
        <v/>
      </c>
      <c r="L398" s="12">
        <f>IF(OR(F398="",A398=""),"",COUNTIFS($F$2:$F$500,F398,$G$2:$G$500,G398,$A$2:$A$500,"&lt;&gt;"))</f>
        <v/>
      </c>
      <c r="M398" s="12">
        <f>IF(AND(A398="",F398=""),"",IF(F398="","Belum ditempatkan",IF(I398="","CEK ID FIXTURE tidak ada di DAFTAR_FIXTURE",IF(G398="","CEK ZONA NO kosong",IF(K398="zona tidak ada di layout","CEK ZONA NO di luar layout",IF(H398&lt;&gt;K398,"CEK JENIS ZONA",IF(A398="","Zona kosong",IF(B398="","CEK SKU DESCRIPTION kosong","OK"))))))))</f>
        <v/>
      </c>
    </row>
    <row r="399">
      <c r="A399" s="10" t="n"/>
      <c r="B399" s="11" t="n"/>
      <c r="C399" s="11" t="n"/>
      <c r="D399" s="11" t="n"/>
      <c r="E399" s="11" t="n"/>
      <c r="F399" s="11" t="n"/>
      <c r="G399" s="11" t="n"/>
      <c r="H399" s="11" t="n"/>
      <c r="I399" s="12">
        <f>IF(F399="","",IFERROR(INDEX(DAFTAR_FIXTURE!$B$2:$B$51,MATCH(F399,DAFTAR_FIXTURE!$A$2:$A$51,0)),""))</f>
        <v/>
      </c>
      <c r="J399" s="12">
        <f>IF(A399="","","https://cdn.ruparupa.io/fit-in/850x850/ruparupa-com/image/upload/Products/"&amp;A399&amp;"_1.jpg")</f>
        <v/>
      </c>
      <c r="K399" s="12">
        <f>IF(OR(I399="",G399=""),"",IFERROR(INDEX(LAYOUT!$D$2:$D$34,MATCH(I399&amp;"|"&amp;G399,LAYOUT!$E$2:$E$34,0)),"zona tidak ada di layout"))</f>
        <v/>
      </c>
      <c r="L399" s="12">
        <f>IF(OR(F399="",A399=""),"",COUNTIFS($F$2:$F$500,F399,$G$2:$G$500,G399,$A$2:$A$500,"&lt;&gt;"))</f>
        <v/>
      </c>
      <c r="M399" s="12">
        <f>IF(AND(A399="",F399=""),"",IF(F399="","Belum ditempatkan",IF(I399="","CEK ID FIXTURE tidak ada di DAFTAR_FIXTURE",IF(G399="","CEK ZONA NO kosong",IF(K399="zona tidak ada di layout","CEK ZONA NO di luar layout",IF(H399&lt;&gt;K399,"CEK JENIS ZONA",IF(A399="","Zona kosong",IF(B399="","CEK SKU DESCRIPTION kosong","OK"))))))))</f>
        <v/>
      </c>
    </row>
    <row r="400">
      <c r="A400" s="10" t="n"/>
      <c r="B400" s="11" t="n"/>
      <c r="C400" s="11" t="n"/>
      <c r="D400" s="11" t="n"/>
      <c r="E400" s="11" t="n"/>
      <c r="F400" s="11" t="n"/>
      <c r="G400" s="11" t="n"/>
      <c r="H400" s="11" t="n"/>
      <c r="I400" s="12">
        <f>IF(F400="","",IFERROR(INDEX(DAFTAR_FIXTURE!$B$2:$B$51,MATCH(F400,DAFTAR_FIXTURE!$A$2:$A$51,0)),""))</f>
        <v/>
      </c>
      <c r="J400" s="12">
        <f>IF(A400="","","https://cdn.ruparupa.io/fit-in/850x850/ruparupa-com/image/upload/Products/"&amp;A400&amp;"_1.jpg")</f>
        <v/>
      </c>
      <c r="K400" s="12">
        <f>IF(OR(I400="",G400=""),"",IFERROR(INDEX(LAYOUT!$D$2:$D$34,MATCH(I400&amp;"|"&amp;G400,LAYOUT!$E$2:$E$34,0)),"zona tidak ada di layout"))</f>
        <v/>
      </c>
      <c r="L400" s="12">
        <f>IF(OR(F400="",A400=""),"",COUNTIFS($F$2:$F$500,F400,$G$2:$G$500,G400,$A$2:$A$500,"&lt;&gt;"))</f>
        <v/>
      </c>
      <c r="M400" s="12">
        <f>IF(AND(A400="",F400=""),"",IF(F400="","Belum ditempatkan",IF(I400="","CEK ID FIXTURE tidak ada di DAFTAR_FIXTURE",IF(G400="","CEK ZONA NO kosong",IF(K400="zona tidak ada di layout","CEK ZONA NO di luar layout",IF(H400&lt;&gt;K400,"CEK JENIS ZONA",IF(A400="","Zona kosong",IF(B400="","CEK SKU DESCRIPTION kosong","OK"))))))))</f>
        <v/>
      </c>
    </row>
    <row r="401">
      <c r="A401" s="10" t="n"/>
      <c r="B401" s="11" t="n"/>
      <c r="C401" s="11" t="n"/>
      <c r="D401" s="11" t="n"/>
      <c r="E401" s="11" t="n"/>
      <c r="F401" s="11" t="n"/>
      <c r="G401" s="11" t="n"/>
      <c r="H401" s="11" t="n"/>
      <c r="I401" s="12">
        <f>IF(F401="","",IFERROR(INDEX(DAFTAR_FIXTURE!$B$2:$B$51,MATCH(F401,DAFTAR_FIXTURE!$A$2:$A$51,0)),""))</f>
        <v/>
      </c>
      <c r="J401" s="12">
        <f>IF(A401="","","https://cdn.ruparupa.io/fit-in/850x850/ruparupa-com/image/upload/Products/"&amp;A401&amp;"_1.jpg")</f>
        <v/>
      </c>
      <c r="K401" s="12">
        <f>IF(OR(I401="",G401=""),"",IFERROR(INDEX(LAYOUT!$D$2:$D$34,MATCH(I401&amp;"|"&amp;G401,LAYOUT!$E$2:$E$34,0)),"zona tidak ada di layout"))</f>
        <v/>
      </c>
      <c r="L401" s="12">
        <f>IF(OR(F401="",A401=""),"",COUNTIFS($F$2:$F$500,F401,$G$2:$G$500,G401,$A$2:$A$500,"&lt;&gt;"))</f>
        <v/>
      </c>
      <c r="M401" s="12">
        <f>IF(AND(A401="",F401=""),"",IF(F401="","Belum ditempatkan",IF(I401="","CEK ID FIXTURE tidak ada di DAFTAR_FIXTURE",IF(G401="","CEK ZONA NO kosong",IF(K401="zona tidak ada di layout","CEK ZONA NO di luar layout",IF(H401&lt;&gt;K401,"CEK JENIS ZONA",IF(A401="","Zona kosong",IF(B401="","CEK SKU DESCRIPTION kosong","OK"))))))))</f>
        <v/>
      </c>
    </row>
    <row r="402">
      <c r="A402" s="10" t="n"/>
      <c r="B402" s="11" t="n"/>
      <c r="C402" s="11" t="n"/>
      <c r="D402" s="11" t="n"/>
      <c r="E402" s="11" t="n"/>
      <c r="F402" s="11" t="n"/>
      <c r="G402" s="11" t="n"/>
      <c r="H402" s="11" t="n"/>
      <c r="I402" s="12">
        <f>IF(F402="","",IFERROR(INDEX(DAFTAR_FIXTURE!$B$2:$B$51,MATCH(F402,DAFTAR_FIXTURE!$A$2:$A$51,0)),""))</f>
        <v/>
      </c>
      <c r="J402" s="12">
        <f>IF(A402="","","https://cdn.ruparupa.io/fit-in/850x850/ruparupa-com/image/upload/Products/"&amp;A402&amp;"_1.jpg")</f>
        <v/>
      </c>
      <c r="K402" s="12">
        <f>IF(OR(I402="",G402=""),"",IFERROR(INDEX(LAYOUT!$D$2:$D$34,MATCH(I402&amp;"|"&amp;G402,LAYOUT!$E$2:$E$34,0)),"zona tidak ada di layout"))</f>
        <v/>
      </c>
      <c r="L402" s="12">
        <f>IF(OR(F402="",A402=""),"",COUNTIFS($F$2:$F$500,F402,$G$2:$G$500,G402,$A$2:$A$500,"&lt;&gt;"))</f>
        <v/>
      </c>
      <c r="M402" s="12">
        <f>IF(AND(A402="",F402=""),"",IF(F402="","Belum ditempatkan",IF(I402="","CEK ID FIXTURE tidak ada di DAFTAR_FIXTURE",IF(G402="","CEK ZONA NO kosong",IF(K402="zona tidak ada di layout","CEK ZONA NO di luar layout",IF(H402&lt;&gt;K402,"CEK JENIS ZONA",IF(A402="","Zona kosong",IF(B402="","CEK SKU DESCRIPTION kosong","OK"))))))))</f>
        <v/>
      </c>
    </row>
    <row r="403">
      <c r="A403" s="10" t="n"/>
      <c r="B403" s="11" t="n"/>
      <c r="C403" s="11" t="n"/>
      <c r="D403" s="11" t="n"/>
      <c r="E403" s="11" t="n"/>
      <c r="F403" s="11" t="n"/>
      <c r="G403" s="11" t="n"/>
      <c r="H403" s="11" t="n"/>
      <c r="I403" s="12">
        <f>IF(F403="","",IFERROR(INDEX(DAFTAR_FIXTURE!$B$2:$B$51,MATCH(F403,DAFTAR_FIXTURE!$A$2:$A$51,0)),""))</f>
        <v/>
      </c>
      <c r="J403" s="12">
        <f>IF(A403="","","https://cdn.ruparupa.io/fit-in/850x850/ruparupa-com/image/upload/Products/"&amp;A403&amp;"_1.jpg")</f>
        <v/>
      </c>
      <c r="K403" s="12">
        <f>IF(OR(I403="",G403=""),"",IFERROR(INDEX(LAYOUT!$D$2:$D$34,MATCH(I403&amp;"|"&amp;G403,LAYOUT!$E$2:$E$34,0)),"zona tidak ada di layout"))</f>
        <v/>
      </c>
      <c r="L403" s="12">
        <f>IF(OR(F403="",A403=""),"",COUNTIFS($F$2:$F$500,F403,$G$2:$G$500,G403,$A$2:$A$500,"&lt;&gt;"))</f>
        <v/>
      </c>
      <c r="M403" s="12">
        <f>IF(AND(A403="",F403=""),"",IF(F403="","Belum ditempatkan",IF(I403="","CEK ID FIXTURE tidak ada di DAFTAR_FIXTURE",IF(G403="","CEK ZONA NO kosong",IF(K403="zona tidak ada di layout","CEK ZONA NO di luar layout",IF(H403&lt;&gt;K403,"CEK JENIS ZONA",IF(A403="","Zona kosong",IF(B403="","CEK SKU DESCRIPTION kosong","OK"))))))))</f>
        <v/>
      </c>
    </row>
    <row r="404">
      <c r="A404" s="10" t="n"/>
      <c r="B404" s="11" t="n"/>
      <c r="C404" s="11" t="n"/>
      <c r="D404" s="11" t="n"/>
      <c r="E404" s="11" t="n"/>
      <c r="F404" s="11" t="n"/>
      <c r="G404" s="11" t="n"/>
      <c r="H404" s="11" t="n"/>
      <c r="I404" s="12">
        <f>IF(F404="","",IFERROR(INDEX(DAFTAR_FIXTURE!$B$2:$B$51,MATCH(F404,DAFTAR_FIXTURE!$A$2:$A$51,0)),""))</f>
        <v/>
      </c>
      <c r="J404" s="12">
        <f>IF(A404="","","https://cdn.ruparupa.io/fit-in/850x850/ruparupa-com/image/upload/Products/"&amp;A404&amp;"_1.jpg")</f>
        <v/>
      </c>
      <c r="K404" s="12">
        <f>IF(OR(I404="",G404=""),"",IFERROR(INDEX(LAYOUT!$D$2:$D$34,MATCH(I404&amp;"|"&amp;G404,LAYOUT!$E$2:$E$34,0)),"zona tidak ada di layout"))</f>
        <v/>
      </c>
      <c r="L404" s="12">
        <f>IF(OR(F404="",A404=""),"",COUNTIFS($F$2:$F$500,F404,$G$2:$G$500,G404,$A$2:$A$500,"&lt;&gt;"))</f>
        <v/>
      </c>
      <c r="M404" s="12">
        <f>IF(AND(A404="",F404=""),"",IF(F404="","Belum ditempatkan",IF(I404="","CEK ID FIXTURE tidak ada di DAFTAR_FIXTURE",IF(G404="","CEK ZONA NO kosong",IF(K404="zona tidak ada di layout","CEK ZONA NO di luar layout",IF(H404&lt;&gt;K404,"CEK JENIS ZONA",IF(A404="","Zona kosong",IF(B404="","CEK SKU DESCRIPTION kosong","OK"))))))))</f>
        <v/>
      </c>
    </row>
    <row r="405">
      <c r="A405" s="10" t="n"/>
      <c r="B405" s="11" t="n"/>
      <c r="C405" s="11" t="n"/>
      <c r="D405" s="11" t="n"/>
      <c r="E405" s="11" t="n"/>
      <c r="F405" s="11" t="n"/>
      <c r="G405" s="11" t="n"/>
      <c r="H405" s="11" t="n"/>
      <c r="I405" s="12">
        <f>IF(F405="","",IFERROR(INDEX(DAFTAR_FIXTURE!$B$2:$B$51,MATCH(F405,DAFTAR_FIXTURE!$A$2:$A$51,0)),""))</f>
        <v/>
      </c>
      <c r="J405" s="12">
        <f>IF(A405="","","https://cdn.ruparupa.io/fit-in/850x850/ruparupa-com/image/upload/Products/"&amp;A405&amp;"_1.jpg")</f>
        <v/>
      </c>
      <c r="K405" s="12">
        <f>IF(OR(I405="",G405=""),"",IFERROR(INDEX(LAYOUT!$D$2:$D$34,MATCH(I405&amp;"|"&amp;G405,LAYOUT!$E$2:$E$34,0)),"zona tidak ada di layout"))</f>
        <v/>
      </c>
      <c r="L405" s="12">
        <f>IF(OR(F405="",A405=""),"",COUNTIFS($F$2:$F$500,F405,$G$2:$G$500,G405,$A$2:$A$500,"&lt;&gt;"))</f>
        <v/>
      </c>
      <c r="M405" s="12">
        <f>IF(AND(A405="",F405=""),"",IF(F405="","Belum ditempatkan",IF(I405="","CEK ID FIXTURE tidak ada di DAFTAR_FIXTURE",IF(G405="","CEK ZONA NO kosong",IF(K405="zona tidak ada di layout","CEK ZONA NO di luar layout",IF(H405&lt;&gt;K405,"CEK JENIS ZONA",IF(A405="","Zona kosong",IF(B405="","CEK SKU DESCRIPTION kosong","OK"))))))))</f>
        <v/>
      </c>
    </row>
    <row r="406">
      <c r="A406" s="10" t="n"/>
      <c r="B406" s="11" t="n"/>
      <c r="C406" s="11" t="n"/>
      <c r="D406" s="11" t="n"/>
      <c r="E406" s="11" t="n"/>
      <c r="F406" s="11" t="n"/>
      <c r="G406" s="11" t="n"/>
      <c r="H406" s="11" t="n"/>
      <c r="I406" s="12">
        <f>IF(F406="","",IFERROR(INDEX(DAFTAR_FIXTURE!$B$2:$B$51,MATCH(F406,DAFTAR_FIXTURE!$A$2:$A$51,0)),""))</f>
        <v/>
      </c>
      <c r="J406" s="12">
        <f>IF(A406="","","https://cdn.ruparupa.io/fit-in/850x850/ruparupa-com/image/upload/Products/"&amp;A406&amp;"_1.jpg")</f>
        <v/>
      </c>
      <c r="K406" s="12">
        <f>IF(OR(I406="",G406=""),"",IFERROR(INDEX(LAYOUT!$D$2:$D$34,MATCH(I406&amp;"|"&amp;G406,LAYOUT!$E$2:$E$34,0)),"zona tidak ada di layout"))</f>
        <v/>
      </c>
      <c r="L406" s="12">
        <f>IF(OR(F406="",A406=""),"",COUNTIFS($F$2:$F$500,F406,$G$2:$G$500,G406,$A$2:$A$500,"&lt;&gt;"))</f>
        <v/>
      </c>
      <c r="M406" s="12">
        <f>IF(AND(A406="",F406=""),"",IF(F406="","Belum ditempatkan",IF(I406="","CEK ID FIXTURE tidak ada di DAFTAR_FIXTURE",IF(G406="","CEK ZONA NO kosong",IF(K406="zona tidak ada di layout","CEK ZONA NO di luar layout",IF(H406&lt;&gt;K406,"CEK JENIS ZONA",IF(A406="","Zona kosong",IF(B406="","CEK SKU DESCRIPTION kosong","OK"))))))))</f>
        <v/>
      </c>
    </row>
    <row r="407">
      <c r="A407" s="10" t="n"/>
      <c r="B407" s="11" t="n"/>
      <c r="C407" s="11" t="n"/>
      <c r="D407" s="11" t="n"/>
      <c r="E407" s="11" t="n"/>
      <c r="F407" s="11" t="n"/>
      <c r="G407" s="11" t="n"/>
      <c r="H407" s="11" t="n"/>
      <c r="I407" s="12">
        <f>IF(F407="","",IFERROR(INDEX(DAFTAR_FIXTURE!$B$2:$B$51,MATCH(F407,DAFTAR_FIXTURE!$A$2:$A$51,0)),""))</f>
        <v/>
      </c>
      <c r="J407" s="12">
        <f>IF(A407="","","https://cdn.ruparupa.io/fit-in/850x850/ruparupa-com/image/upload/Products/"&amp;A407&amp;"_1.jpg")</f>
        <v/>
      </c>
      <c r="K407" s="12">
        <f>IF(OR(I407="",G407=""),"",IFERROR(INDEX(LAYOUT!$D$2:$D$34,MATCH(I407&amp;"|"&amp;G407,LAYOUT!$E$2:$E$34,0)),"zona tidak ada di layout"))</f>
        <v/>
      </c>
      <c r="L407" s="12">
        <f>IF(OR(F407="",A407=""),"",COUNTIFS($F$2:$F$500,F407,$G$2:$G$500,G407,$A$2:$A$500,"&lt;&gt;"))</f>
        <v/>
      </c>
      <c r="M407" s="12">
        <f>IF(AND(A407="",F407=""),"",IF(F407="","Belum ditempatkan",IF(I407="","CEK ID FIXTURE tidak ada di DAFTAR_FIXTURE",IF(G407="","CEK ZONA NO kosong",IF(K407="zona tidak ada di layout","CEK ZONA NO di luar layout",IF(H407&lt;&gt;K407,"CEK JENIS ZONA",IF(A407="","Zona kosong",IF(B407="","CEK SKU DESCRIPTION kosong","OK"))))))))</f>
        <v/>
      </c>
    </row>
    <row r="408">
      <c r="A408" s="10" t="n"/>
      <c r="B408" s="11" t="n"/>
      <c r="C408" s="11" t="n"/>
      <c r="D408" s="11" t="n"/>
      <c r="E408" s="11" t="n"/>
      <c r="F408" s="11" t="n"/>
      <c r="G408" s="11" t="n"/>
      <c r="H408" s="11" t="n"/>
      <c r="I408" s="12">
        <f>IF(F408="","",IFERROR(INDEX(DAFTAR_FIXTURE!$B$2:$B$51,MATCH(F408,DAFTAR_FIXTURE!$A$2:$A$51,0)),""))</f>
        <v/>
      </c>
      <c r="J408" s="12">
        <f>IF(A408="","","https://cdn.ruparupa.io/fit-in/850x850/ruparupa-com/image/upload/Products/"&amp;A408&amp;"_1.jpg")</f>
        <v/>
      </c>
      <c r="K408" s="12">
        <f>IF(OR(I408="",G408=""),"",IFERROR(INDEX(LAYOUT!$D$2:$D$34,MATCH(I408&amp;"|"&amp;G408,LAYOUT!$E$2:$E$34,0)),"zona tidak ada di layout"))</f>
        <v/>
      </c>
      <c r="L408" s="12">
        <f>IF(OR(F408="",A408=""),"",COUNTIFS($F$2:$F$500,F408,$G$2:$G$500,G408,$A$2:$A$500,"&lt;&gt;"))</f>
        <v/>
      </c>
      <c r="M408" s="12">
        <f>IF(AND(A408="",F408=""),"",IF(F408="","Belum ditempatkan",IF(I408="","CEK ID FIXTURE tidak ada di DAFTAR_FIXTURE",IF(G408="","CEK ZONA NO kosong",IF(K408="zona tidak ada di layout","CEK ZONA NO di luar layout",IF(H408&lt;&gt;K408,"CEK JENIS ZONA",IF(A408="","Zona kosong",IF(B408="","CEK SKU DESCRIPTION kosong","OK"))))))))</f>
        <v/>
      </c>
    </row>
    <row r="409">
      <c r="A409" s="10" t="n"/>
      <c r="B409" s="11" t="n"/>
      <c r="C409" s="11" t="n"/>
      <c r="D409" s="11" t="n"/>
      <c r="E409" s="11" t="n"/>
      <c r="F409" s="11" t="n"/>
      <c r="G409" s="11" t="n"/>
      <c r="H409" s="11" t="n"/>
      <c r="I409" s="12">
        <f>IF(F409="","",IFERROR(INDEX(DAFTAR_FIXTURE!$B$2:$B$51,MATCH(F409,DAFTAR_FIXTURE!$A$2:$A$51,0)),""))</f>
        <v/>
      </c>
      <c r="J409" s="12">
        <f>IF(A409="","","https://cdn.ruparupa.io/fit-in/850x850/ruparupa-com/image/upload/Products/"&amp;A409&amp;"_1.jpg")</f>
        <v/>
      </c>
      <c r="K409" s="12">
        <f>IF(OR(I409="",G409=""),"",IFERROR(INDEX(LAYOUT!$D$2:$D$34,MATCH(I409&amp;"|"&amp;G409,LAYOUT!$E$2:$E$34,0)),"zona tidak ada di layout"))</f>
        <v/>
      </c>
      <c r="L409" s="12">
        <f>IF(OR(F409="",A409=""),"",COUNTIFS($F$2:$F$500,F409,$G$2:$G$500,G409,$A$2:$A$500,"&lt;&gt;"))</f>
        <v/>
      </c>
      <c r="M409" s="12">
        <f>IF(AND(A409="",F409=""),"",IF(F409="","Belum ditempatkan",IF(I409="","CEK ID FIXTURE tidak ada di DAFTAR_FIXTURE",IF(G409="","CEK ZONA NO kosong",IF(K409="zona tidak ada di layout","CEK ZONA NO di luar layout",IF(H409&lt;&gt;K409,"CEK JENIS ZONA",IF(A409="","Zona kosong",IF(B409="","CEK SKU DESCRIPTION kosong","OK"))))))))</f>
        <v/>
      </c>
    </row>
    <row r="410">
      <c r="A410" s="10" t="n"/>
      <c r="B410" s="11" t="n"/>
      <c r="C410" s="11" t="n"/>
      <c r="D410" s="11" t="n"/>
      <c r="E410" s="11" t="n"/>
      <c r="F410" s="11" t="n"/>
      <c r="G410" s="11" t="n"/>
      <c r="H410" s="11" t="n"/>
      <c r="I410" s="12">
        <f>IF(F410="","",IFERROR(INDEX(DAFTAR_FIXTURE!$B$2:$B$51,MATCH(F410,DAFTAR_FIXTURE!$A$2:$A$51,0)),""))</f>
        <v/>
      </c>
      <c r="J410" s="12">
        <f>IF(A410="","","https://cdn.ruparupa.io/fit-in/850x850/ruparupa-com/image/upload/Products/"&amp;A410&amp;"_1.jpg")</f>
        <v/>
      </c>
      <c r="K410" s="12">
        <f>IF(OR(I410="",G410=""),"",IFERROR(INDEX(LAYOUT!$D$2:$D$34,MATCH(I410&amp;"|"&amp;G410,LAYOUT!$E$2:$E$34,0)),"zona tidak ada di layout"))</f>
        <v/>
      </c>
      <c r="L410" s="12">
        <f>IF(OR(F410="",A410=""),"",COUNTIFS($F$2:$F$500,F410,$G$2:$G$500,G410,$A$2:$A$500,"&lt;&gt;"))</f>
        <v/>
      </c>
      <c r="M410" s="12">
        <f>IF(AND(A410="",F410=""),"",IF(F410="","Belum ditempatkan",IF(I410="","CEK ID FIXTURE tidak ada di DAFTAR_FIXTURE",IF(G410="","CEK ZONA NO kosong",IF(K410="zona tidak ada di layout","CEK ZONA NO di luar layout",IF(H410&lt;&gt;K410,"CEK JENIS ZONA",IF(A410="","Zona kosong",IF(B410="","CEK SKU DESCRIPTION kosong","OK"))))))))</f>
        <v/>
      </c>
    </row>
    <row r="411">
      <c r="A411" s="10" t="n"/>
      <c r="B411" s="11" t="n"/>
      <c r="C411" s="11" t="n"/>
      <c r="D411" s="11" t="n"/>
      <c r="E411" s="11" t="n"/>
      <c r="F411" s="11" t="n"/>
      <c r="G411" s="11" t="n"/>
      <c r="H411" s="11" t="n"/>
      <c r="I411" s="12">
        <f>IF(F411="","",IFERROR(INDEX(DAFTAR_FIXTURE!$B$2:$B$51,MATCH(F411,DAFTAR_FIXTURE!$A$2:$A$51,0)),""))</f>
        <v/>
      </c>
      <c r="J411" s="12">
        <f>IF(A411="","","https://cdn.ruparupa.io/fit-in/850x850/ruparupa-com/image/upload/Products/"&amp;A411&amp;"_1.jpg")</f>
        <v/>
      </c>
      <c r="K411" s="12">
        <f>IF(OR(I411="",G411=""),"",IFERROR(INDEX(LAYOUT!$D$2:$D$34,MATCH(I411&amp;"|"&amp;G411,LAYOUT!$E$2:$E$34,0)),"zona tidak ada di layout"))</f>
        <v/>
      </c>
      <c r="L411" s="12">
        <f>IF(OR(F411="",A411=""),"",COUNTIFS($F$2:$F$500,F411,$G$2:$G$500,G411,$A$2:$A$500,"&lt;&gt;"))</f>
        <v/>
      </c>
      <c r="M411" s="12">
        <f>IF(AND(A411="",F411=""),"",IF(F411="","Belum ditempatkan",IF(I411="","CEK ID FIXTURE tidak ada di DAFTAR_FIXTURE",IF(G411="","CEK ZONA NO kosong",IF(K411="zona tidak ada di layout","CEK ZONA NO di luar layout",IF(H411&lt;&gt;K411,"CEK JENIS ZONA",IF(A411="","Zona kosong",IF(B411="","CEK SKU DESCRIPTION kosong","OK"))))))))</f>
        <v/>
      </c>
    </row>
    <row r="412">
      <c r="A412" s="10" t="n"/>
      <c r="B412" s="11" t="n"/>
      <c r="C412" s="11" t="n"/>
      <c r="D412" s="11" t="n"/>
      <c r="E412" s="11" t="n"/>
      <c r="F412" s="11" t="n"/>
      <c r="G412" s="11" t="n"/>
      <c r="H412" s="11" t="n"/>
      <c r="I412" s="12">
        <f>IF(F412="","",IFERROR(INDEX(DAFTAR_FIXTURE!$B$2:$B$51,MATCH(F412,DAFTAR_FIXTURE!$A$2:$A$51,0)),""))</f>
        <v/>
      </c>
      <c r="J412" s="12">
        <f>IF(A412="","","https://cdn.ruparupa.io/fit-in/850x850/ruparupa-com/image/upload/Products/"&amp;A412&amp;"_1.jpg")</f>
        <v/>
      </c>
      <c r="K412" s="12">
        <f>IF(OR(I412="",G412=""),"",IFERROR(INDEX(LAYOUT!$D$2:$D$34,MATCH(I412&amp;"|"&amp;G412,LAYOUT!$E$2:$E$34,0)),"zona tidak ada di layout"))</f>
        <v/>
      </c>
      <c r="L412" s="12">
        <f>IF(OR(F412="",A412=""),"",COUNTIFS($F$2:$F$500,F412,$G$2:$G$500,G412,$A$2:$A$500,"&lt;&gt;"))</f>
        <v/>
      </c>
      <c r="M412" s="12">
        <f>IF(AND(A412="",F412=""),"",IF(F412="","Belum ditempatkan",IF(I412="","CEK ID FIXTURE tidak ada di DAFTAR_FIXTURE",IF(G412="","CEK ZONA NO kosong",IF(K412="zona tidak ada di layout","CEK ZONA NO di luar layout",IF(H412&lt;&gt;K412,"CEK JENIS ZONA",IF(A412="","Zona kosong",IF(B412="","CEK SKU DESCRIPTION kosong","OK"))))))))</f>
        <v/>
      </c>
    </row>
    <row r="413">
      <c r="A413" s="10" t="n"/>
      <c r="B413" s="11" t="n"/>
      <c r="C413" s="11" t="n"/>
      <c r="D413" s="11" t="n"/>
      <c r="E413" s="11" t="n"/>
      <c r="F413" s="11" t="n"/>
      <c r="G413" s="11" t="n"/>
      <c r="H413" s="11" t="n"/>
      <c r="I413" s="12">
        <f>IF(F413="","",IFERROR(INDEX(DAFTAR_FIXTURE!$B$2:$B$51,MATCH(F413,DAFTAR_FIXTURE!$A$2:$A$51,0)),""))</f>
        <v/>
      </c>
      <c r="J413" s="12">
        <f>IF(A413="","","https://cdn.ruparupa.io/fit-in/850x850/ruparupa-com/image/upload/Products/"&amp;A413&amp;"_1.jpg")</f>
        <v/>
      </c>
      <c r="K413" s="12">
        <f>IF(OR(I413="",G413=""),"",IFERROR(INDEX(LAYOUT!$D$2:$D$34,MATCH(I413&amp;"|"&amp;G413,LAYOUT!$E$2:$E$34,0)),"zona tidak ada di layout"))</f>
        <v/>
      </c>
      <c r="L413" s="12">
        <f>IF(OR(F413="",A413=""),"",COUNTIFS($F$2:$F$500,F413,$G$2:$G$500,G413,$A$2:$A$500,"&lt;&gt;"))</f>
        <v/>
      </c>
      <c r="M413" s="12">
        <f>IF(AND(A413="",F413=""),"",IF(F413="","Belum ditempatkan",IF(I413="","CEK ID FIXTURE tidak ada di DAFTAR_FIXTURE",IF(G413="","CEK ZONA NO kosong",IF(K413="zona tidak ada di layout","CEK ZONA NO di luar layout",IF(H413&lt;&gt;K413,"CEK JENIS ZONA",IF(A413="","Zona kosong",IF(B413="","CEK SKU DESCRIPTION kosong","OK"))))))))</f>
        <v/>
      </c>
    </row>
    <row r="414">
      <c r="A414" s="10" t="n"/>
      <c r="B414" s="11" t="n"/>
      <c r="C414" s="11" t="n"/>
      <c r="D414" s="11" t="n"/>
      <c r="E414" s="11" t="n"/>
      <c r="F414" s="11" t="n"/>
      <c r="G414" s="11" t="n"/>
      <c r="H414" s="11" t="n"/>
      <c r="I414" s="12">
        <f>IF(F414="","",IFERROR(INDEX(DAFTAR_FIXTURE!$B$2:$B$51,MATCH(F414,DAFTAR_FIXTURE!$A$2:$A$51,0)),""))</f>
        <v/>
      </c>
      <c r="J414" s="12">
        <f>IF(A414="","","https://cdn.ruparupa.io/fit-in/850x850/ruparupa-com/image/upload/Products/"&amp;A414&amp;"_1.jpg")</f>
        <v/>
      </c>
      <c r="K414" s="12">
        <f>IF(OR(I414="",G414=""),"",IFERROR(INDEX(LAYOUT!$D$2:$D$34,MATCH(I414&amp;"|"&amp;G414,LAYOUT!$E$2:$E$34,0)),"zona tidak ada di layout"))</f>
        <v/>
      </c>
      <c r="L414" s="12">
        <f>IF(OR(F414="",A414=""),"",COUNTIFS($F$2:$F$500,F414,$G$2:$G$500,G414,$A$2:$A$500,"&lt;&gt;"))</f>
        <v/>
      </c>
      <c r="M414" s="12">
        <f>IF(AND(A414="",F414=""),"",IF(F414="","Belum ditempatkan",IF(I414="","CEK ID FIXTURE tidak ada di DAFTAR_FIXTURE",IF(G414="","CEK ZONA NO kosong",IF(K414="zona tidak ada di layout","CEK ZONA NO di luar layout",IF(H414&lt;&gt;K414,"CEK JENIS ZONA",IF(A414="","Zona kosong",IF(B414="","CEK SKU DESCRIPTION kosong","OK"))))))))</f>
        <v/>
      </c>
    </row>
    <row r="415">
      <c r="A415" s="10" t="n"/>
      <c r="B415" s="11" t="n"/>
      <c r="C415" s="11" t="n"/>
      <c r="D415" s="11" t="n"/>
      <c r="E415" s="11" t="n"/>
      <c r="F415" s="11" t="n"/>
      <c r="G415" s="11" t="n"/>
      <c r="H415" s="11" t="n"/>
      <c r="I415" s="12">
        <f>IF(F415="","",IFERROR(INDEX(DAFTAR_FIXTURE!$B$2:$B$51,MATCH(F415,DAFTAR_FIXTURE!$A$2:$A$51,0)),""))</f>
        <v/>
      </c>
      <c r="J415" s="12">
        <f>IF(A415="","","https://cdn.ruparupa.io/fit-in/850x850/ruparupa-com/image/upload/Products/"&amp;A415&amp;"_1.jpg")</f>
        <v/>
      </c>
      <c r="K415" s="12">
        <f>IF(OR(I415="",G415=""),"",IFERROR(INDEX(LAYOUT!$D$2:$D$34,MATCH(I415&amp;"|"&amp;G415,LAYOUT!$E$2:$E$34,0)),"zona tidak ada di layout"))</f>
        <v/>
      </c>
      <c r="L415" s="12">
        <f>IF(OR(F415="",A415=""),"",COUNTIFS($F$2:$F$500,F415,$G$2:$G$500,G415,$A$2:$A$500,"&lt;&gt;"))</f>
        <v/>
      </c>
      <c r="M415" s="12">
        <f>IF(AND(A415="",F415=""),"",IF(F415="","Belum ditempatkan",IF(I415="","CEK ID FIXTURE tidak ada di DAFTAR_FIXTURE",IF(G415="","CEK ZONA NO kosong",IF(K415="zona tidak ada di layout","CEK ZONA NO di luar layout",IF(H415&lt;&gt;K415,"CEK JENIS ZONA",IF(A415="","Zona kosong",IF(B415="","CEK SKU DESCRIPTION kosong","OK"))))))))</f>
        <v/>
      </c>
    </row>
    <row r="416">
      <c r="A416" s="10" t="n"/>
      <c r="B416" s="11" t="n"/>
      <c r="C416" s="11" t="n"/>
      <c r="D416" s="11" t="n"/>
      <c r="E416" s="11" t="n"/>
      <c r="F416" s="11" t="n"/>
      <c r="G416" s="11" t="n"/>
      <c r="H416" s="11" t="n"/>
      <c r="I416" s="12">
        <f>IF(F416="","",IFERROR(INDEX(DAFTAR_FIXTURE!$B$2:$B$51,MATCH(F416,DAFTAR_FIXTURE!$A$2:$A$51,0)),""))</f>
        <v/>
      </c>
      <c r="J416" s="12">
        <f>IF(A416="","","https://cdn.ruparupa.io/fit-in/850x850/ruparupa-com/image/upload/Products/"&amp;A416&amp;"_1.jpg")</f>
        <v/>
      </c>
      <c r="K416" s="12">
        <f>IF(OR(I416="",G416=""),"",IFERROR(INDEX(LAYOUT!$D$2:$D$34,MATCH(I416&amp;"|"&amp;G416,LAYOUT!$E$2:$E$34,0)),"zona tidak ada di layout"))</f>
        <v/>
      </c>
      <c r="L416" s="12">
        <f>IF(OR(F416="",A416=""),"",COUNTIFS($F$2:$F$500,F416,$G$2:$G$500,G416,$A$2:$A$500,"&lt;&gt;"))</f>
        <v/>
      </c>
      <c r="M416" s="12">
        <f>IF(AND(A416="",F416=""),"",IF(F416="","Belum ditempatkan",IF(I416="","CEK ID FIXTURE tidak ada di DAFTAR_FIXTURE",IF(G416="","CEK ZONA NO kosong",IF(K416="zona tidak ada di layout","CEK ZONA NO di luar layout",IF(H416&lt;&gt;K416,"CEK JENIS ZONA",IF(A416="","Zona kosong",IF(B416="","CEK SKU DESCRIPTION kosong","OK"))))))))</f>
        <v/>
      </c>
    </row>
    <row r="417">
      <c r="A417" s="10" t="n"/>
      <c r="B417" s="11" t="n"/>
      <c r="C417" s="11" t="n"/>
      <c r="D417" s="11" t="n"/>
      <c r="E417" s="11" t="n"/>
      <c r="F417" s="11" t="n"/>
      <c r="G417" s="11" t="n"/>
      <c r="H417" s="11" t="n"/>
      <c r="I417" s="12">
        <f>IF(F417="","",IFERROR(INDEX(DAFTAR_FIXTURE!$B$2:$B$51,MATCH(F417,DAFTAR_FIXTURE!$A$2:$A$51,0)),""))</f>
        <v/>
      </c>
      <c r="J417" s="12">
        <f>IF(A417="","","https://cdn.ruparupa.io/fit-in/850x850/ruparupa-com/image/upload/Products/"&amp;A417&amp;"_1.jpg")</f>
        <v/>
      </c>
      <c r="K417" s="12">
        <f>IF(OR(I417="",G417=""),"",IFERROR(INDEX(LAYOUT!$D$2:$D$34,MATCH(I417&amp;"|"&amp;G417,LAYOUT!$E$2:$E$34,0)),"zona tidak ada di layout"))</f>
        <v/>
      </c>
      <c r="L417" s="12">
        <f>IF(OR(F417="",A417=""),"",COUNTIFS($F$2:$F$500,F417,$G$2:$G$500,G417,$A$2:$A$500,"&lt;&gt;"))</f>
        <v/>
      </c>
      <c r="M417" s="12">
        <f>IF(AND(A417="",F417=""),"",IF(F417="","Belum ditempatkan",IF(I417="","CEK ID FIXTURE tidak ada di DAFTAR_FIXTURE",IF(G417="","CEK ZONA NO kosong",IF(K417="zona tidak ada di layout","CEK ZONA NO di luar layout",IF(H417&lt;&gt;K417,"CEK JENIS ZONA",IF(A417="","Zona kosong",IF(B417="","CEK SKU DESCRIPTION kosong","OK"))))))))</f>
        <v/>
      </c>
    </row>
    <row r="418">
      <c r="A418" s="10" t="n"/>
      <c r="B418" s="11" t="n"/>
      <c r="C418" s="11" t="n"/>
      <c r="D418" s="11" t="n"/>
      <c r="E418" s="11" t="n"/>
      <c r="F418" s="11" t="n"/>
      <c r="G418" s="11" t="n"/>
      <c r="H418" s="11" t="n"/>
      <c r="I418" s="12">
        <f>IF(F418="","",IFERROR(INDEX(DAFTAR_FIXTURE!$B$2:$B$51,MATCH(F418,DAFTAR_FIXTURE!$A$2:$A$51,0)),""))</f>
        <v/>
      </c>
      <c r="J418" s="12">
        <f>IF(A418="","","https://cdn.ruparupa.io/fit-in/850x850/ruparupa-com/image/upload/Products/"&amp;A418&amp;"_1.jpg")</f>
        <v/>
      </c>
      <c r="K418" s="12">
        <f>IF(OR(I418="",G418=""),"",IFERROR(INDEX(LAYOUT!$D$2:$D$34,MATCH(I418&amp;"|"&amp;G418,LAYOUT!$E$2:$E$34,0)),"zona tidak ada di layout"))</f>
        <v/>
      </c>
      <c r="L418" s="12">
        <f>IF(OR(F418="",A418=""),"",COUNTIFS($F$2:$F$500,F418,$G$2:$G$500,G418,$A$2:$A$500,"&lt;&gt;"))</f>
        <v/>
      </c>
      <c r="M418" s="12">
        <f>IF(AND(A418="",F418=""),"",IF(F418="","Belum ditempatkan",IF(I418="","CEK ID FIXTURE tidak ada di DAFTAR_FIXTURE",IF(G418="","CEK ZONA NO kosong",IF(K418="zona tidak ada di layout","CEK ZONA NO di luar layout",IF(H418&lt;&gt;K418,"CEK JENIS ZONA",IF(A418="","Zona kosong",IF(B418="","CEK SKU DESCRIPTION kosong","OK"))))))))</f>
        <v/>
      </c>
    </row>
    <row r="419">
      <c r="A419" s="10" t="n"/>
      <c r="B419" s="11" t="n"/>
      <c r="C419" s="11" t="n"/>
      <c r="D419" s="11" t="n"/>
      <c r="E419" s="11" t="n"/>
      <c r="F419" s="11" t="n"/>
      <c r="G419" s="11" t="n"/>
      <c r="H419" s="11" t="n"/>
      <c r="I419" s="12">
        <f>IF(F419="","",IFERROR(INDEX(DAFTAR_FIXTURE!$B$2:$B$51,MATCH(F419,DAFTAR_FIXTURE!$A$2:$A$51,0)),""))</f>
        <v/>
      </c>
      <c r="J419" s="12">
        <f>IF(A419="","","https://cdn.ruparupa.io/fit-in/850x850/ruparupa-com/image/upload/Products/"&amp;A419&amp;"_1.jpg")</f>
        <v/>
      </c>
      <c r="K419" s="12">
        <f>IF(OR(I419="",G419=""),"",IFERROR(INDEX(LAYOUT!$D$2:$D$34,MATCH(I419&amp;"|"&amp;G419,LAYOUT!$E$2:$E$34,0)),"zona tidak ada di layout"))</f>
        <v/>
      </c>
      <c r="L419" s="12">
        <f>IF(OR(F419="",A419=""),"",COUNTIFS($F$2:$F$500,F419,$G$2:$G$500,G419,$A$2:$A$500,"&lt;&gt;"))</f>
        <v/>
      </c>
      <c r="M419" s="12">
        <f>IF(AND(A419="",F419=""),"",IF(F419="","Belum ditempatkan",IF(I419="","CEK ID FIXTURE tidak ada di DAFTAR_FIXTURE",IF(G419="","CEK ZONA NO kosong",IF(K419="zona tidak ada di layout","CEK ZONA NO di luar layout",IF(H419&lt;&gt;K419,"CEK JENIS ZONA",IF(A419="","Zona kosong",IF(B419="","CEK SKU DESCRIPTION kosong","OK"))))))))</f>
        <v/>
      </c>
    </row>
    <row r="420">
      <c r="A420" s="10" t="n"/>
      <c r="B420" s="11" t="n"/>
      <c r="C420" s="11" t="n"/>
      <c r="D420" s="11" t="n"/>
      <c r="E420" s="11" t="n"/>
      <c r="F420" s="11" t="n"/>
      <c r="G420" s="11" t="n"/>
      <c r="H420" s="11" t="n"/>
      <c r="I420" s="12">
        <f>IF(F420="","",IFERROR(INDEX(DAFTAR_FIXTURE!$B$2:$B$51,MATCH(F420,DAFTAR_FIXTURE!$A$2:$A$51,0)),""))</f>
        <v/>
      </c>
      <c r="J420" s="12">
        <f>IF(A420="","","https://cdn.ruparupa.io/fit-in/850x850/ruparupa-com/image/upload/Products/"&amp;A420&amp;"_1.jpg")</f>
        <v/>
      </c>
      <c r="K420" s="12">
        <f>IF(OR(I420="",G420=""),"",IFERROR(INDEX(LAYOUT!$D$2:$D$34,MATCH(I420&amp;"|"&amp;G420,LAYOUT!$E$2:$E$34,0)),"zona tidak ada di layout"))</f>
        <v/>
      </c>
      <c r="L420" s="12">
        <f>IF(OR(F420="",A420=""),"",COUNTIFS($F$2:$F$500,F420,$G$2:$G$500,G420,$A$2:$A$500,"&lt;&gt;"))</f>
        <v/>
      </c>
      <c r="M420" s="12">
        <f>IF(AND(A420="",F420=""),"",IF(F420="","Belum ditempatkan",IF(I420="","CEK ID FIXTURE tidak ada di DAFTAR_FIXTURE",IF(G420="","CEK ZONA NO kosong",IF(K420="zona tidak ada di layout","CEK ZONA NO di luar layout",IF(H420&lt;&gt;K420,"CEK JENIS ZONA",IF(A420="","Zona kosong",IF(B420="","CEK SKU DESCRIPTION kosong","OK"))))))))</f>
        <v/>
      </c>
    </row>
    <row r="421">
      <c r="A421" s="10" t="n"/>
      <c r="B421" s="11" t="n"/>
      <c r="C421" s="11" t="n"/>
      <c r="D421" s="11" t="n"/>
      <c r="E421" s="11" t="n"/>
      <c r="F421" s="11" t="n"/>
      <c r="G421" s="11" t="n"/>
      <c r="H421" s="11" t="n"/>
      <c r="I421" s="12">
        <f>IF(F421="","",IFERROR(INDEX(DAFTAR_FIXTURE!$B$2:$B$51,MATCH(F421,DAFTAR_FIXTURE!$A$2:$A$51,0)),""))</f>
        <v/>
      </c>
      <c r="J421" s="12">
        <f>IF(A421="","","https://cdn.ruparupa.io/fit-in/850x850/ruparupa-com/image/upload/Products/"&amp;A421&amp;"_1.jpg")</f>
        <v/>
      </c>
      <c r="K421" s="12">
        <f>IF(OR(I421="",G421=""),"",IFERROR(INDEX(LAYOUT!$D$2:$D$34,MATCH(I421&amp;"|"&amp;G421,LAYOUT!$E$2:$E$34,0)),"zona tidak ada di layout"))</f>
        <v/>
      </c>
      <c r="L421" s="12">
        <f>IF(OR(F421="",A421=""),"",COUNTIFS($F$2:$F$500,F421,$G$2:$G$500,G421,$A$2:$A$500,"&lt;&gt;"))</f>
        <v/>
      </c>
      <c r="M421" s="12">
        <f>IF(AND(A421="",F421=""),"",IF(F421="","Belum ditempatkan",IF(I421="","CEK ID FIXTURE tidak ada di DAFTAR_FIXTURE",IF(G421="","CEK ZONA NO kosong",IF(K421="zona tidak ada di layout","CEK ZONA NO di luar layout",IF(H421&lt;&gt;K421,"CEK JENIS ZONA",IF(A421="","Zona kosong",IF(B421="","CEK SKU DESCRIPTION kosong","OK"))))))))</f>
        <v/>
      </c>
    </row>
    <row r="422">
      <c r="A422" s="10" t="n"/>
      <c r="B422" s="11" t="n"/>
      <c r="C422" s="11" t="n"/>
      <c r="D422" s="11" t="n"/>
      <c r="E422" s="11" t="n"/>
      <c r="F422" s="11" t="n"/>
      <c r="G422" s="11" t="n"/>
      <c r="H422" s="11" t="n"/>
      <c r="I422" s="12">
        <f>IF(F422="","",IFERROR(INDEX(DAFTAR_FIXTURE!$B$2:$B$51,MATCH(F422,DAFTAR_FIXTURE!$A$2:$A$51,0)),""))</f>
        <v/>
      </c>
      <c r="J422" s="12">
        <f>IF(A422="","","https://cdn.ruparupa.io/fit-in/850x850/ruparupa-com/image/upload/Products/"&amp;A422&amp;"_1.jpg")</f>
        <v/>
      </c>
      <c r="K422" s="12">
        <f>IF(OR(I422="",G422=""),"",IFERROR(INDEX(LAYOUT!$D$2:$D$34,MATCH(I422&amp;"|"&amp;G422,LAYOUT!$E$2:$E$34,0)),"zona tidak ada di layout"))</f>
        <v/>
      </c>
      <c r="L422" s="12">
        <f>IF(OR(F422="",A422=""),"",COUNTIFS($F$2:$F$500,F422,$G$2:$G$500,G422,$A$2:$A$500,"&lt;&gt;"))</f>
        <v/>
      </c>
      <c r="M422" s="12">
        <f>IF(AND(A422="",F422=""),"",IF(F422="","Belum ditempatkan",IF(I422="","CEK ID FIXTURE tidak ada di DAFTAR_FIXTURE",IF(G422="","CEK ZONA NO kosong",IF(K422="zona tidak ada di layout","CEK ZONA NO di luar layout",IF(H422&lt;&gt;K422,"CEK JENIS ZONA",IF(A422="","Zona kosong",IF(B422="","CEK SKU DESCRIPTION kosong","OK"))))))))</f>
        <v/>
      </c>
    </row>
    <row r="423">
      <c r="A423" s="10" t="n"/>
      <c r="B423" s="11" t="n"/>
      <c r="C423" s="11" t="n"/>
      <c r="D423" s="11" t="n"/>
      <c r="E423" s="11" t="n"/>
      <c r="F423" s="11" t="n"/>
      <c r="G423" s="11" t="n"/>
      <c r="H423" s="11" t="n"/>
      <c r="I423" s="12">
        <f>IF(F423="","",IFERROR(INDEX(DAFTAR_FIXTURE!$B$2:$B$51,MATCH(F423,DAFTAR_FIXTURE!$A$2:$A$51,0)),""))</f>
        <v/>
      </c>
      <c r="J423" s="12">
        <f>IF(A423="","","https://cdn.ruparupa.io/fit-in/850x850/ruparupa-com/image/upload/Products/"&amp;A423&amp;"_1.jpg")</f>
        <v/>
      </c>
      <c r="K423" s="12">
        <f>IF(OR(I423="",G423=""),"",IFERROR(INDEX(LAYOUT!$D$2:$D$34,MATCH(I423&amp;"|"&amp;G423,LAYOUT!$E$2:$E$34,0)),"zona tidak ada di layout"))</f>
        <v/>
      </c>
      <c r="L423" s="12">
        <f>IF(OR(F423="",A423=""),"",COUNTIFS($F$2:$F$500,F423,$G$2:$G$500,G423,$A$2:$A$500,"&lt;&gt;"))</f>
        <v/>
      </c>
      <c r="M423" s="12">
        <f>IF(AND(A423="",F423=""),"",IF(F423="","Belum ditempatkan",IF(I423="","CEK ID FIXTURE tidak ada di DAFTAR_FIXTURE",IF(G423="","CEK ZONA NO kosong",IF(K423="zona tidak ada di layout","CEK ZONA NO di luar layout",IF(H423&lt;&gt;K423,"CEK JENIS ZONA",IF(A423="","Zona kosong",IF(B423="","CEK SKU DESCRIPTION kosong","OK"))))))))</f>
        <v/>
      </c>
    </row>
    <row r="424">
      <c r="A424" s="10" t="n"/>
      <c r="B424" s="11" t="n"/>
      <c r="C424" s="11" t="n"/>
      <c r="D424" s="11" t="n"/>
      <c r="E424" s="11" t="n"/>
      <c r="F424" s="11" t="n"/>
      <c r="G424" s="11" t="n"/>
      <c r="H424" s="11" t="n"/>
      <c r="I424" s="12">
        <f>IF(F424="","",IFERROR(INDEX(DAFTAR_FIXTURE!$B$2:$B$51,MATCH(F424,DAFTAR_FIXTURE!$A$2:$A$51,0)),""))</f>
        <v/>
      </c>
      <c r="J424" s="12">
        <f>IF(A424="","","https://cdn.ruparupa.io/fit-in/850x850/ruparupa-com/image/upload/Products/"&amp;A424&amp;"_1.jpg")</f>
        <v/>
      </c>
      <c r="K424" s="12">
        <f>IF(OR(I424="",G424=""),"",IFERROR(INDEX(LAYOUT!$D$2:$D$34,MATCH(I424&amp;"|"&amp;G424,LAYOUT!$E$2:$E$34,0)),"zona tidak ada di layout"))</f>
        <v/>
      </c>
      <c r="L424" s="12">
        <f>IF(OR(F424="",A424=""),"",COUNTIFS($F$2:$F$500,F424,$G$2:$G$500,G424,$A$2:$A$500,"&lt;&gt;"))</f>
        <v/>
      </c>
      <c r="M424" s="12">
        <f>IF(AND(A424="",F424=""),"",IF(F424="","Belum ditempatkan",IF(I424="","CEK ID FIXTURE tidak ada di DAFTAR_FIXTURE",IF(G424="","CEK ZONA NO kosong",IF(K424="zona tidak ada di layout","CEK ZONA NO di luar layout",IF(H424&lt;&gt;K424,"CEK JENIS ZONA",IF(A424="","Zona kosong",IF(B424="","CEK SKU DESCRIPTION kosong","OK"))))))))</f>
        <v/>
      </c>
    </row>
    <row r="425">
      <c r="A425" s="10" t="n"/>
      <c r="B425" s="11" t="n"/>
      <c r="C425" s="11" t="n"/>
      <c r="D425" s="11" t="n"/>
      <c r="E425" s="11" t="n"/>
      <c r="F425" s="11" t="n"/>
      <c r="G425" s="11" t="n"/>
      <c r="H425" s="11" t="n"/>
      <c r="I425" s="12">
        <f>IF(F425="","",IFERROR(INDEX(DAFTAR_FIXTURE!$B$2:$B$51,MATCH(F425,DAFTAR_FIXTURE!$A$2:$A$51,0)),""))</f>
        <v/>
      </c>
      <c r="J425" s="12">
        <f>IF(A425="","","https://cdn.ruparupa.io/fit-in/850x850/ruparupa-com/image/upload/Products/"&amp;A425&amp;"_1.jpg")</f>
        <v/>
      </c>
      <c r="K425" s="12">
        <f>IF(OR(I425="",G425=""),"",IFERROR(INDEX(LAYOUT!$D$2:$D$34,MATCH(I425&amp;"|"&amp;G425,LAYOUT!$E$2:$E$34,0)),"zona tidak ada di layout"))</f>
        <v/>
      </c>
      <c r="L425" s="12">
        <f>IF(OR(F425="",A425=""),"",COUNTIFS($F$2:$F$500,F425,$G$2:$G$500,G425,$A$2:$A$500,"&lt;&gt;"))</f>
        <v/>
      </c>
      <c r="M425" s="12">
        <f>IF(AND(A425="",F425=""),"",IF(F425="","Belum ditempatkan",IF(I425="","CEK ID FIXTURE tidak ada di DAFTAR_FIXTURE",IF(G425="","CEK ZONA NO kosong",IF(K425="zona tidak ada di layout","CEK ZONA NO di luar layout",IF(H425&lt;&gt;K425,"CEK JENIS ZONA",IF(A425="","Zona kosong",IF(B425="","CEK SKU DESCRIPTION kosong","OK"))))))))</f>
        <v/>
      </c>
    </row>
    <row r="426">
      <c r="A426" s="10" t="n"/>
      <c r="B426" s="11" t="n"/>
      <c r="C426" s="11" t="n"/>
      <c r="D426" s="11" t="n"/>
      <c r="E426" s="11" t="n"/>
      <c r="F426" s="11" t="n"/>
      <c r="G426" s="11" t="n"/>
      <c r="H426" s="11" t="n"/>
      <c r="I426" s="12">
        <f>IF(F426="","",IFERROR(INDEX(DAFTAR_FIXTURE!$B$2:$B$51,MATCH(F426,DAFTAR_FIXTURE!$A$2:$A$51,0)),""))</f>
        <v/>
      </c>
      <c r="J426" s="12">
        <f>IF(A426="","","https://cdn.ruparupa.io/fit-in/850x850/ruparupa-com/image/upload/Products/"&amp;A426&amp;"_1.jpg")</f>
        <v/>
      </c>
      <c r="K426" s="12">
        <f>IF(OR(I426="",G426=""),"",IFERROR(INDEX(LAYOUT!$D$2:$D$34,MATCH(I426&amp;"|"&amp;G426,LAYOUT!$E$2:$E$34,0)),"zona tidak ada di layout"))</f>
        <v/>
      </c>
      <c r="L426" s="12">
        <f>IF(OR(F426="",A426=""),"",COUNTIFS($F$2:$F$500,F426,$G$2:$G$500,G426,$A$2:$A$500,"&lt;&gt;"))</f>
        <v/>
      </c>
      <c r="M426" s="12">
        <f>IF(AND(A426="",F426=""),"",IF(F426="","Belum ditempatkan",IF(I426="","CEK ID FIXTURE tidak ada di DAFTAR_FIXTURE",IF(G426="","CEK ZONA NO kosong",IF(K426="zona tidak ada di layout","CEK ZONA NO di luar layout",IF(H426&lt;&gt;K426,"CEK JENIS ZONA",IF(A426="","Zona kosong",IF(B426="","CEK SKU DESCRIPTION kosong","OK"))))))))</f>
        <v/>
      </c>
    </row>
    <row r="427">
      <c r="A427" s="10" t="n"/>
      <c r="B427" s="11" t="n"/>
      <c r="C427" s="11" t="n"/>
      <c r="D427" s="11" t="n"/>
      <c r="E427" s="11" t="n"/>
      <c r="F427" s="11" t="n"/>
      <c r="G427" s="11" t="n"/>
      <c r="H427" s="11" t="n"/>
      <c r="I427" s="12">
        <f>IF(F427="","",IFERROR(INDEX(DAFTAR_FIXTURE!$B$2:$B$51,MATCH(F427,DAFTAR_FIXTURE!$A$2:$A$51,0)),""))</f>
        <v/>
      </c>
      <c r="J427" s="12">
        <f>IF(A427="","","https://cdn.ruparupa.io/fit-in/850x850/ruparupa-com/image/upload/Products/"&amp;A427&amp;"_1.jpg")</f>
        <v/>
      </c>
      <c r="K427" s="12">
        <f>IF(OR(I427="",G427=""),"",IFERROR(INDEX(LAYOUT!$D$2:$D$34,MATCH(I427&amp;"|"&amp;G427,LAYOUT!$E$2:$E$34,0)),"zona tidak ada di layout"))</f>
        <v/>
      </c>
      <c r="L427" s="12">
        <f>IF(OR(F427="",A427=""),"",COUNTIFS($F$2:$F$500,F427,$G$2:$G$500,G427,$A$2:$A$500,"&lt;&gt;"))</f>
        <v/>
      </c>
      <c r="M427" s="12">
        <f>IF(AND(A427="",F427=""),"",IF(F427="","Belum ditempatkan",IF(I427="","CEK ID FIXTURE tidak ada di DAFTAR_FIXTURE",IF(G427="","CEK ZONA NO kosong",IF(K427="zona tidak ada di layout","CEK ZONA NO di luar layout",IF(H427&lt;&gt;K427,"CEK JENIS ZONA",IF(A427="","Zona kosong",IF(B427="","CEK SKU DESCRIPTION kosong","OK"))))))))</f>
        <v/>
      </c>
    </row>
    <row r="428">
      <c r="A428" s="10" t="n"/>
      <c r="B428" s="11" t="n"/>
      <c r="C428" s="11" t="n"/>
      <c r="D428" s="11" t="n"/>
      <c r="E428" s="11" t="n"/>
      <c r="F428" s="11" t="n"/>
      <c r="G428" s="11" t="n"/>
      <c r="H428" s="11" t="n"/>
      <c r="I428" s="12">
        <f>IF(F428="","",IFERROR(INDEX(DAFTAR_FIXTURE!$B$2:$B$51,MATCH(F428,DAFTAR_FIXTURE!$A$2:$A$51,0)),""))</f>
        <v/>
      </c>
      <c r="J428" s="12">
        <f>IF(A428="","","https://cdn.ruparupa.io/fit-in/850x850/ruparupa-com/image/upload/Products/"&amp;A428&amp;"_1.jpg")</f>
        <v/>
      </c>
      <c r="K428" s="12">
        <f>IF(OR(I428="",G428=""),"",IFERROR(INDEX(LAYOUT!$D$2:$D$34,MATCH(I428&amp;"|"&amp;G428,LAYOUT!$E$2:$E$34,0)),"zona tidak ada di layout"))</f>
        <v/>
      </c>
      <c r="L428" s="12">
        <f>IF(OR(F428="",A428=""),"",COUNTIFS($F$2:$F$500,F428,$G$2:$G$500,G428,$A$2:$A$500,"&lt;&gt;"))</f>
        <v/>
      </c>
      <c r="M428" s="12">
        <f>IF(AND(A428="",F428=""),"",IF(F428="","Belum ditempatkan",IF(I428="","CEK ID FIXTURE tidak ada di DAFTAR_FIXTURE",IF(G428="","CEK ZONA NO kosong",IF(K428="zona tidak ada di layout","CEK ZONA NO di luar layout",IF(H428&lt;&gt;K428,"CEK JENIS ZONA",IF(A428="","Zona kosong",IF(B428="","CEK SKU DESCRIPTION kosong","OK"))))))))</f>
        <v/>
      </c>
    </row>
    <row r="429">
      <c r="A429" s="10" t="n"/>
      <c r="B429" s="11" t="n"/>
      <c r="C429" s="11" t="n"/>
      <c r="D429" s="11" t="n"/>
      <c r="E429" s="11" t="n"/>
      <c r="F429" s="11" t="n"/>
      <c r="G429" s="11" t="n"/>
      <c r="H429" s="11" t="n"/>
      <c r="I429" s="12">
        <f>IF(F429="","",IFERROR(INDEX(DAFTAR_FIXTURE!$B$2:$B$51,MATCH(F429,DAFTAR_FIXTURE!$A$2:$A$51,0)),""))</f>
        <v/>
      </c>
      <c r="J429" s="12">
        <f>IF(A429="","","https://cdn.ruparupa.io/fit-in/850x850/ruparupa-com/image/upload/Products/"&amp;A429&amp;"_1.jpg")</f>
        <v/>
      </c>
      <c r="K429" s="12">
        <f>IF(OR(I429="",G429=""),"",IFERROR(INDEX(LAYOUT!$D$2:$D$34,MATCH(I429&amp;"|"&amp;G429,LAYOUT!$E$2:$E$34,0)),"zona tidak ada di layout"))</f>
        <v/>
      </c>
      <c r="L429" s="12">
        <f>IF(OR(F429="",A429=""),"",COUNTIFS($F$2:$F$500,F429,$G$2:$G$500,G429,$A$2:$A$500,"&lt;&gt;"))</f>
        <v/>
      </c>
      <c r="M429" s="12">
        <f>IF(AND(A429="",F429=""),"",IF(F429="","Belum ditempatkan",IF(I429="","CEK ID FIXTURE tidak ada di DAFTAR_FIXTURE",IF(G429="","CEK ZONA NO kosong",IF(K429="zona tidak ada di layout","CEK ZONA NO di luar layout",IF(H429&lt;&gt;K429,"CEK JENIS ZONA",IF(A429="","Zona kosong",IF(B429="","CEK SKU DESCRIPTION kosong","OK"))))))))</f>
        <v/>
      </c>
    </row>
    <row r="430">
      <c r="A430" s="10" t="n"/>
      <c r="B430" s="11" t="n"/>
      <c r="C430" s="11" t="n"/>
      <c r="D430" s="11" t="n"/>
      <c r="E430" s="11" t="n"/>
      <c r="F430" s="11" t="n"/>
      <c r="G430" s="11" t="n"/>
      <c r="H430" s="11" t="n"/>
      <c r="I430" s="12">
        <f>IF(F430="","",IFERROR(INDEX(DAFTAR_FIXTURE!$B$2:$B$51,MATCH(F430,DAFTAR_FIXTURE!$A$2:$A$51,0)),""))</f>
        <v/>
      </c>
      <c r="J430" s="12">
        <f>IF(A430="","","https://cdn.ruparupa.io/fit-in/850x850/ruparupa-com/image/upload/Products/"&amp;A430&amp;"_1.jpg")</f>
        <v/>
      </c>
      <c r="K430" s="12">
        <f>IF(OR(I430="",G430=""),"",IFERROR(INDEX(LAYOUT!$D$2:$D$34,MATCH(I430&amp;"|"&amp;G430,LAYOUT!$E$2:$E$34,0)),"zona tidak ada di layout"))</f>
        <v/>
      </c>
      <c r="L430" s="12">
        <f>IF(OR(F430="",A430=""),"",COUNTIFS($F$2:$F$500,F430,$G$2:$G$500,G430,$A$2:$A$500,"&lt;&gt;"))</f>
        <v/>
      </c>
      <c r="M430" s="12">
        <f>IF(AND(A430="",F430=""),"",IF(F430="","Belum ditempatkan",IF(I430="","CEK ID FIXTURE tidak ada di DAFTAR_FIXTURE",IF(G430="","CEK ZONA NO kosong",IF(K430="zona tidak ada di layout","CEK ZONA NO di luar layout",IF(H430&lt;&gt;K430,"CEK JENIS ZONA",IF(A430="","Zona kosong",IF(B430="","CEK SKU DESCRIPTION kosong","OK"))))))))</f>
        <v/>
      </c>
    </row>
    <row r="431">
      <c r="A431" s="10" t="n"/>
      <c r="B431" s="11" t="n"/>
      <c r="C431" s="11" t="n"/>
      <c r="D431" s="11" t="n"/>
      <c r="E431" s="11" t="n"/>
      <c r="F431" s="11" t="n"/>
      <c r="G431" s="11" t="n"/>
      <c r="H431" s="11" t="n"/>
      <c r="I431" s="12">
        <f>IF(F431="","",IFERROR(INDEX(DAFTAR_FIXTURE!$B$2:$B$51,MATCH(F431,DAFTAR_FIXTURE!$A$2:$A$51,0)),""))</f>
        <v/>
      </c>
      <c r="J431" s="12">
        <f>IF(A431="","","https://cdn.ruparupa.io/fit-in/850x850/ruparupa-com/image/upload/Products/"&amp;A431&amp;"_1.jpg")</f>
        <v/>
      </c>
      <c r="K431" s="12">
        <f>IF(OR(I431="",G431=""),"",IFERROR(INDEX(LAYOUT!$D$2:$D$34,MATCH(I431&amp;"|"&amp;G431,LAYOUT!$E$2:$E$34,0)),"zona tidak ada di layout"))</f>
        <v/>
      </c>
      <c r="L431" s="12">
        <f>IF(OR(F431="",A431=""),"",COUNTIFS($F$2:$F$500,F431,$G$2:$G$500,G431,$A$2:$A$500,"&lt;&gt;"))</f>
        <v/>
      </c>
      <c r="M431" s="12">
        <f>IF(AND(A431="",F431=""),"",IF(F431="","Belum ditempatkan",IF(I431="","CEK ID FIXTURE tidak ada di DAFTAR_FIXTURE",IF(G431="","CEK ZONA NO kosong",IF(K431="zona tidak ada di layout","CEK ZONA NO di luar layout",IF(H431&lt;&gt;K431,"CEK JENIS ZONA",IF(A431="","Zona kosong",IF(B431="","CEK SKU DESCRIPTION kosong","OK"))))))))</f>
        <v/>
      </c>
    </row>
    <row r="432">
      <c r="A432" s="10" t="n"/>
      <c r="B432" s="11" t="n"/>
      <c r="C432" s="11" t="n"/>
      <c r="D432" s="11" t="n"/>
      <c r="E432" s="11" t="n"/>
      <c r="F432" s="11" t="n"/>
      <c r="G432" s="11" t="n"/>
      <c r="H432" s="11" t="n"/>
      <c r="I432" s="12">
        <f>IF(F432="","",IFERROR(INDEX(DAFTAR_FIXTURE!$B$2:$B$51,MATCH(F432,DAFTAR_FIXTURE!$A$2:$A$51,0)),""))</f>
        <v/>
      </c>
      <c r="J432" s="12">
        <f>IF(A432="","","https://cdn.ruparupa.io/fit-in/850x850/ruparupa-com/image/upload/Products/"&amp;A432&amp;"_1.jpg")</f>
        <v/>
      </c>
      <c r="K432" s="12">
        <f>IF(OR(I432="",G432=""),"",IFERROR(INDEX(LAYOUT!$D$2:$D$34,MATCH(I432&amp;"|"&amp;G432,LAYOUT!$E$2:$E$34,0)),"zona tidak ada di layout"))</f>
        <v/>
      </c>
      <c r="L432" s="12">
        <f>IF(OR(F432="",A432=""),"",COUNTIFS($F$2:$F$500,F432,$G$2:$G$500,G432,$A$2:$A$500,"&lt;&gt;"))</f>
        <v/>
      </c>
      <c r="M432" s="12">
        <f>IF(AND(A432="",F432=""),"",IF(F432="","Belum ditempatkan",IF(I432="","CEK ID FIXTURE tidak ada di DAFTAR_FIXTURE",IF(G432="","CEK ZONA NO kosong",IF(K432="zona tidak ada di layout","CEK ZONA NO di luar layout",IF(H432&lt;&gt;K432,"CEK JENIS ZONA",IF(A432="","Zona kosong",IF(B432="","CEK SKU DESCRIPTION kosong","OK"))))))))</f>
        <v/>
      </c>
    </row>
    <row r="433">
      <c r="A433" s="10" t="n"/>
      <c r="B433" s="11" t="n"/>
      <c r="C433" s="11" t="n"/>
      <c r="D433" s="11" t="n"/>
      <c r="E433" s="11" t="n"/>
      <c r="F433" s="11" t="n"/>
      <c r="G433" s="11" t="n"/>
      <c r="H433" s="11" t="n"/>
      <c r="I433" s="12">
        <f>IF(F433="","",IFERROR(INDEX(DAFTAR_FIXTURE!$B$2:$B$51,MATCH(F433,DAFTAR_FIXTURE!$A$2:$A$51,0)),""))</f>
        <v/>
      </c>
      <c r="J433" s="12">
        <f>IF(A433="","","https://cdn.ruparupa.io/fit-in/850x850/ruparupa-com/image/upload/Products/"&amp;A433&amp;"_1.jpg")</f>
        <v/>
      </c>
      <c r="K433" s="12">
        <f>IF(OR(I433="",G433=""),"",IFERROR(INDEX(LAYOUT!$D$2:$D$34,MATCH(I433&amp;"|"&amp;G433,LAYOUT!$E$2:$E$34,0)),"zona tidak ada di layout"))</f>
        <v/>
      </c>
      <c r="L433" s="12">
        <f>IF(OR(F433="",A433=""),"",COUNTIFS($F$2:$F$500,F433,$G$2:$G$500,G433,$A$2:$A$500,"&lt;&gt;"))</f>
        <v/>
      </c>
      <c r="M433" s="12">
        <f>IF(AND(A433="",F433=""),"",IF(F433="","Belum ditempatkan",IF(I433="","CEK ID FIXTURE tidak ada di DAFTAR_FIXTURE",IF(G433="","CEK ZONA NO kosong",IF(K433="zona tidak ada di layout","CEK ZONA NO di luar layout",IF(H433&lt;&gt;K433,"CEK JENIS ZONA",IF(A433="","Zona kosong",IF(B433="","CEK SKU DESCRIPTION kosong","OK"))))))))</f>
        <v/>
      </c>
    </row>
    <row r="434">
      <c r="A434" s="10" t="n"/>
      <c r="B434" s="11" t="n"/>
      <c r="C434" s="11" t="n"/>
      <c r="D434" s="11" t="n"/>
      <c r="E434" s="11" t="n"/>
      <c r="F434" s="11" t="n"/>
      <c r="G434" s="11" t="n"/>
      <c r="H434" s="11" t="n"/>
      <c r="I434" s="12">
        <f>IF(F434="","",IFERROR(INDEX(DAFTAR_FIXTURE!$B$2:$B$51,MATCH(F434,DAFTAR_FIXTURE!$A$2:$A$51,0)),""))</f>
        <v/>
      </c>
      <c r="J434" s="12">
        <f>IF(A434="","","https://cdn.ruparupa.io/fit-in/850x850/ruparupa-com/image/upload/Products/"&amp;A434&amp;"_1.jpg")</f>
        <v/>
      </c>
      <c r="K434" s="12">
        <f>IF(OR(I434="",G434=""),"",IFERROR(INDEX(LAYOUT!$D$2:$D$34,MATCH(I434&amp;"|"&amp;G434,LAYOUT!$E$2:$E$34,0)),"zona tidak ada di layout"))</f>
        <v/>
      </c>
      <c r="L434" s="12">
        <f>IF(OR(F434="",A434=""),"",COUNTIFS($F$2:$F$500,F434,$G$2:$G$500,G434,$A$2:$A$500,"&lt;&gt;"))</f>
        <v/>
      </c>
      <c r="M434" s="12">
        <f>IF(AND(A434="",F434=""),"",IF(F434="","Belum ditempatkan",IF(I434="","CEK ID FIXTURE tidak ada di DAFTAR_FIXTURE",IF(G434="","CEK ZONA NO kosong",IF(K434="zona tidak ada di layout","CEK ZONA NO di luar layout",IF(H434&lt;&gt;K434,"CEK JENIS ZONA",IF(A434="","Zona kosong",IF(B434="","CEK SKU DESCRIPTION kosong","OK"))))))))</f>
        <v/>
      </c>
    </row>
    <row r="435">
      <c r="A435" s="10" t="n"/>
      <c r="B435" s="11" t="n"/>
      <c r="C435" s="11" t="n"/>
      <c r="D435" s="11" t="n"/>
      <c r="E435" s="11" t="n"/>
      <c r="F435" s="11" t="n"/>
      <c r="G435" s="11" t="n"/>
      <c r="H435" s="11" t="n"/>
      <c r="I435" s="12">
        <f>IF(F435="","",IFERROR(INDEX(DAFTAR_FIXTURE!$B$2:$B$51,MATCH(F435,DAFTAR_FIXTURE!$A$2:$A$51,0)),""))</f>
        <v/>
      </c>
      <c r="J435" s="12">
        <f>IF(A435="","","https://cdn.ruparupa.io/fit-in/850x850/ruparupa-com/image/upload/Products/"&amp;A435&amp;"_1.jpg")</f>
        <v/>
      </c>
      <c r="K435" s="12">
        <f>IF(OR(I435="",G435=""),"",IFERROR(INDEX(LAYOUT!$D$2:$D$34,MATCH(I435&amp;"|"&amp;G435,LAYOUT!$E$2:$E$34,0)),"zona tidak ada di layout"))</f>
        <v/>
      </c>
      <c r="L435" s="12">
        <f>IF(OR(F435="",A435=""),"",COUNTIFS($F$2:$F$500,F435,$G$2:$G$500,G435,$A$2:$A$500,"&lt;&gt;"))</f>
        <v/>
      </c>
      <c r="M435" s="12">
        <f>IF(AND(A435="",F435=""),"",IF(F435="","Belum ditempatkan",IF(I435="","CEK ID FIXTURE tidak ada di DAFTAR_FIXTURE",IF(G435="","CEK ZONA NO kosong",IF(K435="zona tidak ada di layout","CEK ZONA NO di luar layout",IF(H435&lt;&gt;K435,"CEK JENIS ZONA",IF(A435="","Zona kosong",IF(B435="","CEK SKU DESCRIPTION kosong","OK"))))))))</f>
        <v/>
      </c>
    </row>
    <row r="436">
      <c r="A436" s="10" t="n"/>
      <c r="B436" s="11" t="n"/>
      <c r="C436" s="11" t="n"/>
      <c r="D436" s="11" t="n"/>
      <c r="E436" s="11" t="n"/>
      <c r="F436" s="11" t="n"/>
      <c r="G436" s="11" t="n"/>
      <c r="H436" s="11" t="n"/>
      <c r="I436" s="12">
        <f>IF(F436="","",IFERROR(INDEX(DAFTAR_FIXTURE!$B$2:$B$51,MATCH(F436,DAFTAR_FIXTURE!$A$2:$A$51,0)),""))</f>
        <v/>
      </c>
      <c r="J436" s="12">
        <f>IF(A436="","","https://cdn.ruparupa.io/fit-in/850x850/ruparupa-com/image/upload/Products/"&amp;A436&amp;"_1.jpg")</f>
        <v/>
      </c>
      <c r="K436" s="12">
        <f>IF(OR(I436="",G436=""),"",IFERROR(INDEX(LAYOUT!$D$2:$D$34,MATCH(I436&amp;"|"&amp;G436,LAYOUT!$E$2:$E$34,0)),"zona tidak ada di layout"))</f>
        <v/>
      </c>
      <c r="L436" s="12">
        <f>IF(OR(F436="",A436=""),"",COUNTIFS($F$2:$F$500,F436,$G$2:$G$500,G436,$A$2:$A$500,"&lt;&gt;"))</f>
        <v/>
      </c>
      <c r="M436" s="12">
        <f>IF(AND(A436="",F436=""),"",IF(F436="","Belum ditempatkan",IF(I436="","CEK ID FIXTURE tidak ada di DAFTAR_FIXTURE",IF(G436="","CEK ZONA NO kosong",IF(K436="zona tidak ada di layout","CEK ZONA NO di luar layout",IF(H436&lt;&gt;K436,"CEK JENIS ZONA",IF(A436="","Zona kosong",IF(B436="","CEK SKU DESCRIPTION kosong","OK"))))))))</f>
        <v/>
      </c>
    </row>
    <row r="437">
      <c r="A437" s="10" t="n"/>
      <c r="B437" s="11" t="n"/>
      <c r="C437" s="11" t="n"/>
      <c r="D437" s="11" t="n"/>
      <c r="E437" s="11" t="n"/>
      <c r="F437" s="11" t="n"/>
      <c r="G437" s="11" t="n"/>
      <c r="H437" s="11" t="n"/>
      <c r="I437" s="12">
        <f>IF(F437="","",IFERROR(INDEX(DAFTAR_FIXTURE!$B$2:$B$51,MATCH(F437,DAFTAR_FIXTURE!$A$2:$A$51,0)),""))</f>
        <v/>
      </c>
      <c r="J437" s="12">
        <f>IF(A437="","","https://cdn.ruparupa.io/fit-in/850x850/ruparupa-com/image/upload/Products/"&amp;A437&amp;"_1.jpg")</f>
        <v/>
      </c>
      <c r="K437" s="12">
        <f>IF(OR(I437="",G437=""),"",IFERROR(INDEX(LAYOUT!$D$2:$D$34,MATCH(I437&amp;"|"&amp;G437,LAYOUT!$E$2:$E$34,0)),"zona tidak ada di layout"))</f>
        <v/>
      </c>
      <c r="L437" s="12">
        <f>IF(OR(F437="",A437=""),"",COUNTIFS($F$2:$F$500,F437,$G$2:$G$500,G437,$A$2:$A$500,"&lt;&gt;"))</f>
        <v/>
      </c>
      <c r="M437" s="12">
        <f>IF(AND(A437="",F437=""),"",IF(F437="","Belum ditempatkan",IF(I437="","CEK ID FIXTURE tidak ada di DAFTAR_FIXTURE",IF(G437="","CEK ZONA NO kosong",IF(K437="zona tidak ada di layout","CEK ZONA NO di luar layout",IF(H437&lt;&gt;K437,"CEK JENIS ZONA",IF(A437="","Zona kosong",IF(B437="","CEK SKU DESCRIPTION kosong","OK"))))))))</f>
        <v/>
      </c>
    </row>
    <row r="438">
      <c r="A438" s="10" t="n"/>
      <c r="B438" s="11" t="n"/>
      <c r="C438" s="11" t="n"/>
      <c r="D438" s="11" t="n"/>
      <c r="E438" s="11" t="n"/>
      <c r="F438" s="11" t="n"/>
      <c r="G438" s="11" t="n"/>
      <c r="H438" s="11" t="n"/>
      <c r="I438" s="12">
        <f>IF(F438="","",IFERROR(INDEX(DAFTAR_FIXTURE!$B$2:$B$51,MATCH(F438,DAFTAR_FIXTURE!$A$2:$A$51,0)),""))</f>
        <v/>
      </c>
      <c r="J438" s="12">
        <f>IF(A438="","","https://cdn.ruparupa.io/fit-in/850x850/ruparupa-com/image/upload/Products/"&amp;A438&amp;"_1.jpg")</f>
        <v/>
      </c>
      <c r="K438" s="12">
        <f>IF(OR(I438="",G438=""),"",IFERROR(INDEX(LAYOUT!$D$2:$D$34,MATCH(I438&amp;"|"&amp;G438,LAYOUT!$E$2:$E$34,0)),"zona tidak ada di layout"))</f>
        <v/>
      </c>
      <c r="L438" s="12">
        <f>IF(OR(F438="",A438=""),"",COUNTIFS($F$2:$F$500,F438,$G$2:$G$500,G438,$A$2:$A$500,"&lt;&gt;"))</f>
        <v/>
      </c>
      <c r="M438" s="12">
        <f>IF(AND(A438="",F438=""),"",IF(F438="","Belum ditempatkan",IF(I438="","CEK ID FIXTURE tidak ada di DAFTAR_FIXTURE",IF(G438="","CEK ZONA NO kosong",IF(K438="zona tidak ada di layout","CEK ZONA NO di luar layout",IF(H438&lt;&gt;K438,"CEK JENIS ZONA",IF(A438="","Zona kosong",IF(B438="","CEK SKU DESCRIPTION kosong","OK"))))))))</f>
        <v/>
      </c>
    </row>
    <row r="439">
      <c r="A439" s="10" t="n"/>
      <c r="B439" s="11" t="n"/>
      <c r="C439" s="11" t="n"/>
      <c r="D439" s="11" t="n"/>
      <c r="E439" s="11" t="n"/>
      <c r="F439" s="11" t="n"/>
      <c r="G439" s="11" t="n"/>
      <c r="H439" s="11" t="n"/>
      <c r="I439" s="12">
        <f>IF(F439="","",IFERROR(INDEX(DAFTAR_FIXTURE!$B$2:$B$51,MATCH(F439,DAFTAR_FIXTURE!$A$2:$A$51,0)),""))</f>
        <v/>
      </c>
      <c r="J439" s="12">
        <f>IF(A439="","","https://cdn.ruparupa.io/fit-in/850x850/ruparupa-com/image/upload/Products/"&amp;A439&amp;"_1.jpg")</f>
        <v/>
      </c>
      <c r="K439" s="12">
        <f>IF(OR(I439="",G439=""),"",IFERROR(INDEX(LAYOUT!$D$2:$D$34,MATCH(I439&amp;"|"&amp;G439,LAYOUT!$E$2:$E$34,0)),"zona tidak ada di layout"))</f>
        <v/>
      </c>
      <c r="L439" s="12">
        <f>IF(OR(F439="",A439=""),"",COUNTIFS($F$2:$F$500,F439,$G$2:$G$500,G439,$A$2:$A$500,"&lt;&gt;"))</f>
        <v/>
      </c>
      <c r="M439" s="12">
        <f>IF(AND(A439="",F439=""),"",IF(F439="","Belum ditempatkan",IF(I439="","CEK ID FIXTURE tidak ada di DAFTAR_FIXTURE",IF(G439="","CEK ZONA NO kosong",IF(K439="zona tidak ada di layout","CEK ZONA NO di luar layout",IF(H439&lt;&gt;K439,"CEK JENIS ZONA",IF(A439="","Zona kosong",IF(B439="","CEK SKU DESCRIPTION kosong","OK"))))))))</f>
        <v/>
      </c>
    </row>
    <row r="440">
      <c r="A440" s="10" t="n"/>
      <c r="B440" s="11" t="n"/>
      <c r="C440" s="11" t="n"/>
      <c r="D440" s="11" t="n"/>
      <c r="E440" s="11" t="n"/>
      <c r="F440" s="11" t="n"/>
      <c r="G440" s="11" t="n"/>
      <c r="H440" s="11" t="n"/>
      <c r="I440" s="12">
        <f>IF(F440="","",IFERROR(INDEX(DAFTAR_FIXTURE!$B$2:$B$51,MATCH(F440,DAFTAR_FIXTURE!$A$2:$A$51,0)),""))</f>
        <v/>
      </c>
      <c r="J440" s="12">
        <f>IF(A440="","","https://cdn.ruparupa.io/fit-in/850x850/ruparupa-com/image/upload/Products/"&amp;A440&amp;"_1.jpg")</f>
        <v/>
      </c>
      <c r="K440" s="12">
        <f>IF(OR(I440="",G440=""),"",IFERROR(INDEX(LAYOUT!$D$2:$D$34,MATCH(I440&amp;"|"&amp;G440,LAYOUT!$E$2:$E$34,0)),"zona tidak ada di layout"))</f>
        <v/>
      </c>
      <c r="L440" s="12">
        <f>IF(OR(F440="",A440=""),"",COUNTIFS($F$2:$F$500,F440,$G$2:$G$500,G440,$A$2:$A$500,"&lt;&gt;"))</f>
        <v/>
      </c>
      <c r="M440" s="12">
        <f>IF(AND(A440="",F440=""),"",IF(F440="","Belum ditempatkan",IF(I440="","CEK ID FIXTURE tidak ada di DAFTAR_FIXTURE",IF(G440="","CEK ZONA NO kosong",IF(K440="zona tidak ada di layout","CEK ZONA NO di luar layout",IF(H440&lt;&gt;K440,"CEK JENIS ZONA",IF(A440="","Zona kosong",IF(B440="","CEK SKU DESCRIPTION kosong","OK"))))))))</f>
        <v/>
      </c>
    </row>
    <row r="441">
      <c r="A441" s="10" t="n"/>
      <c r="B441" s="11" t="n"/>
      <c r="C441" s="11" t="n"/>
      <c r="D441" s="11" t="n"/>
      <c r="E441" s="11" t="n"/>
      <c r="F441" s="11" t="n"/>
      <c r="G441" s="11" t="n"/>
      <c r="H441" s="11" t="n"/>
      <c r="I441" s="12">
        <f>IF(F441="","",IFERROR(INDEX(DAFTAR_FIXTURE!$B$2:$B$51,MATCH(F441,DAFTAR_FIXTURE!$A$2:$A$51,0)),""))</f>
        <v/>
      </c>
      <c r="J441" s="12">
        <f>IF(A441="","","https://cdn.ruparupa.io/fit-in/850x850/ruparupa-com/image/upload/Products/"&amp;A441&amp;"_1.jpg")</f>
        <v/>
      </c>
      <c r="K441" s="12">
        <f>IF(OR(I441="",G441=""),"",IFERROR(INDEX(LAYOUT!$D$2:$D$34,MATCH(I441&amp;"|"&amp;G441,LAYOUT!$E$2:$E$34,0)),"zona tidak ada di layout"))</f>
        <v/>
      </c>
      <c r="L441" s="12">
        <f>IF(OR(F441="",A441=""),"",COUNTIFS($F$2:$F$500,F441,$G$2:$G$500,G441,$A$2:$A$500,"&lt;&gt;"))</f>
        <v/>
      </c>
      <c r="M441" s="12">
        <f>IF(AND(A441="",F441=""),"",IF(F441="","Belum ditempatkan",IF(I441="","CEK ID FIXTURE tidak ada di DAFTAR_FIXTURE",IF(G441="","CEK ZONA NO kosong",IF(K441="zona tidak ada di layout","CEK ZONA NO di luar layout",IF(H441&lt;&gt;K441,"CEK JENIS ZONA",IF(A441="","Zona kosong",IF(B441="","CEK SKU DESCRIPTION kosong","OK"))))))))</f>
        <v/>
      </c>
    </row>
    <row r="442">
      <c r="A442" s="10" t="n"/>
      <c r="B442" s="11" t="n"/>
      <c r="C442" s="11" t="n"/>
      <c r="D442" s="11" t="n"/>
      <c r="E442" s="11" t="n"/>
      <c r="F442" s="11" t="n"/>
      <c r="G442" s="11" t="n"/>
      <c r="H442" s="11" t="n"/>
      <c r="I442" s="12">
        <f>IF(F442="","",IFERROR(INDEX(DAFTAR_FIXTURE!$B$2:$B$51,MATCH(F442,DAFTAR_FIXTURE!$A$2:$A$51,0)),""))</f>
        <v/>
      </c>
      <c r="J442" s="12">
        <f>IF(A442="","","https://cdn.ruparupa.io/fit-in/850x850/ruparupa-com/image/upload/Products/"&amp;A442&amp;"_1.jpg")</f>
        <v/>
      </c>
      <c r="K442" s="12">
        <f>IF(OR(I442="",G442=""),"",IFERROR(INDEX(LAYOUT!$D$2:$D$34,MATCH(I442&amp;"|"&amp;G442,LAYOUT!$E$2:$E$34,0)),"zona tidak ada di layout"))</f>
        <v/>
      </c>
      <c r="L442" s="12">
        <f>IF(OR(F442="",A442=""),"",COUNTIFS($F$2:$F$500,F442,$G$2:$G$500,G442,$A$2:$A$500,"&lt;&gt;"))</f>
        <v/>
      </c>
      <c r="M442" s="12">
        <f>IF(AND(A442="",F442=""),"",IF(F442="","Belum ditempatkan",IF(I442="","CEK ID FIXTURE tidak ada di DAFTAR_FIXTURE",IF(G442="","CEK ZONA NO kosong",IF(K442="zona tidak ada di layout","CEK ZONA NO di luar layout",IF(H442&lt;&gt;K442,"CEK JENIS ZONA",IF(A442="","Zona kosong",IF(B442="","CEK SKU DESCRIPTION kosong","OK"))))))))</f>
        <v/>
      </c>
    </row>
    <row r="443">
      <c r="A443" s="10" t="n"/>
      <c r="B443" s="11" t="n"/>
      <c r="C443" s="11" t="n"/>
      <c r="D443" s="11" t="n"/>
      <c r="E443" s="11" t="n"/>
      <c r="F443" s="11" t="n"/>
      <c r="G443" s="11" t="n"/>
      <c r="H443" s="11" t="n"/>
      <c r="I443" s="12">
        <f>IF(F443="","",IFERROR(INDEX(DAFTAR_FIXTURE!$B$2:$B$51,MATCH(F443,DAFTAR_FIXTURE!$A$2:$A$51,0)),""))</f>
        <v/>
      </c>
      <c r="J443" s="12">
        <f>IF(A443="","","https://cdn.ruparupa.io/fit-in/850x850/ruparupa-com/image/upload/Products/"&amp;A443&amp;"_1.jpg")</f>
        <v/>
      </c>
      <c r="K443" s="12">
        <f>IF(OR(I443="",G443=""),"",IFERROR(INDEX(LAYOUT!$D$2:$D$34,MATCH(I443&amp;"|"&amp;G443,LAYOUT!$E$2:$E$34,0)),"zona tidak ada di layout"))</f>
        <v/>
      </c>
      <c r="L443" s="12">
        <f>IF(OR(F443="",A443=""),"",COUNTIFS($F$2:$F$500,F443,$G$2:$G$500,G443,$A$2:$A$500,"&lt;&gt;"))</f>
        <v/>
      </c>
      <c r="M443" s="12">
        <f>IF(AND(A443="",F443=""),"",IF(F443="","Belum ditempatkan",IF(I443="","CEK ID FIXTURE tidak ada di DAFTAR_FIXTURE",IF(G443="","CEK ZONA NO kosong",IF(K443="zona tidak ada di layout","CEK ZONA NO di luar layout",IF(H443&lt;&gt;K443,"CEK JENIS ZONA",IF(A443="","Zona kosong",IF(B443="","CEK SKU DESCRIPTION kosong","OK"))))))))</f>
        <v/>
      </c>
    </row>
    <row r="444">
      <c r="A444" s="10" t="n"/>
      <c r="B444" s="11" t="n"/>
      <c r="C444" s="11" t="n"/>
      <c r="D444" s="11" t="n"/>
      <c r="E444" s="11" t="n"/>
      <c r="F444" s="11" t="n"/>
      <c r="G444" s="11" t="n"/>
      <c r="H444" s="11" t="n"/>
      <c r="I444" s="12">
        <f>IF(F444="","",IFERROR(INDEX(DAFTAR_FIXTURE!$B$2:$B$51,MATCH(F444,DAFTAR_FIXTURE!$A$2:$A$51,0)),""))</f>
        <v/>
      </c>
      <c r="J444" s="12">
        <f>IF(A444="","","https://cdn.ruparupa.io/fit-in/850x850/ruparupa-com/image/upload/Products/"&amp;A444&amp;"_1.jpg")</f>
        <v/>
      </c>
      <c r="K444" s="12">
        <f>IF(OR(I444="",G444=""),"",IFERROR(INDEX(LAYOUT!$D$2:$D$34,MATCH(I444&amp;"|"&amp;G444,LAYOUT!$E$2:$E$34,0)),"zona tidak ada di layout"))</f>
        <v/>
      </c>
      <c r="L444" s="12">
        <f>IF(OR(F444="",A444=""),"",COUNTIFS($F$2:$F$500,F444,$G$2:$G$500,G444,$A$2:$A$500,"&lt;&gt;"))</f>
        <v/>
      </c>
      <c r="M444" s="12">
        <f>IF(AND(A444="",F444=""),"",IF(F444="","Belum ditempatkan",IF(I444="","CEK ID FIXTURE tidak ada di DAFTAR_FIXTURE",IF(G444="","CEK ZONA NO kosong",IF(K444="zona tidak ada di layout","CEK ZONA NO di luar layout",IF(H444&lt;&gt;K444,"CEK JENIS ZONA",IF(A444="","Zona kosong",IF(B444="","CEK SKU DESCRIPTION kosong","OK"))))))))</f>
        <v/>
      </c>
    </row>
    <row r="445">
      <c r="A445" s="10" t="n"/>
      <c r="B445" s="11" t="n"/>
      <c r="C445" s="11" t="n"/>
      <c r="D445" s="11" t="n"/>
      <c r="E445" s="11" t="n"/>
      <c r="F445" s="11" t="n"/>
      <c r="G445" s="11" t="n"/>
      <c r="H445" s="11" t="n"/>
      <c r="I445" s="12">
        <f>IF(F445="","",IFERROR(INDEX(DAFTAR_FIXTURE!$B$2:$B$51,MATCH(F445,DAFTAR_FIXTURE!$A$2:$A$51,0)),""))</f>
        <v/>
      </c>
      <c r="J445" s="12">
        <f>IF(A445="","","https://cdn.ruparupa.io/fit-in/850x850/ruparupa-com/image/upload/Products/"&amp;A445&amp;"_1.jpg")</f>
        <v/>
      </c>
      <c r="K445" s="12">
        <f>IF(OR(I445="",G445=""),"",IFERROR(INDEX(LAYOUT!$D$2:$D$34,MATCH(I445&amp;"|"&amp;G445,LAYOUT!$E$2:$E$34,0)),"zona tidak ada di layout"))</f>
        <v/>
      </c>
      <c r="L445" s="12">
        <f>IF(OR(F445="",A445=""),"",COUNTIFS($F$2:$F$500,F445,$G$2:$G$500,G445,$A$2:$A$500,"&lt;&gt;"))</f>
        <v/>
      </c>
      <c r="M445" s="12">
        <f>IF(AND(A445="",F445=""),"",IF(F445="","Belum ditempatkan",IF(I445="","CEK ID FIXTURE tidak ada di DAFTAR_FIXTURE",IF(G445="","CEK ZONA NO kosong",IF(K445="zona tidak ada di layout","CEK ZONA NO di luar layout",IF(H445&lt;&gt;K445,"CEK JENIS ZONA",IF(A445="","Zona kosong",IF(B445="","CEK SKU DESCRIPTION kosong","OK"))))))))</f>
        <v/>
      </c>
    </row>
    <row r="446">
      <c r="A446" s="10" t="n"/>
      <c r="B446" s="11" t="n"/>
      <c r="C446" s="11" t="n"/>
      <c r="D446" s="11" t="n"/>
      <c r="E446" s="11" t="n"/>
      <c r="F446" s="11" t="n"/>
      <c r="G446" s="11" t="n"/>
      <c r="H446" s="11" t="n"/>
      <c r="I446" s="12">
        <f>IF(F446="","",IFERROR(INDEX(DAFTAR_FIXTURE!$B$2:$B$51,MATCH(F446,DAFTAR_FIXTURE!$A$2:$A$51,0)),""))</f>
        <v/>
      </c>
      <c r="J446" s="12">
        <f>IF(A446="","","https://cdn.ruparupa.io/fit-in/850x850/ruparupa-com/image/upload/Products/"&amp;A446&amp;"_1.jpg")</f>
        <v/>
      </c>
      <c r="K446" s="12">
        <f>IF(OR(I446="",G446=""),"",IFERROR(INDEX(LAYOUT!$D$2:$D$34,MATCH(I446&amp;"|"&amp;G446,LAYOUT!$E$2:$E$34,0)),"zona tidak ada di layout"))</f>
        <v/>
      </c>
      <c r="L446" s="12">
        <f>IF(OR(F446="",A446=""),"",COUNTIFS($F$2:$F$500,F446,$G$2:$G$500,G446,$A$2:$A$500,"&lt;&gt;"))</f>
        <v/>
      </c>
      <c r="M446" s="12">
        <f>IF(AND(A446="",F446=""),"",IF(F446="","Belum ditempatkan",IF(I446="","CEK ID FIXTURE tidak ada di DAFTAR_FIXTURE",IF(G446="","CEK ZONA NO kosong",IF(K446="zona tidak ada di layout","CEK ZONA NO di luar layout",IF(H446&lt;&gt;K446,"CEK JENIS ZONA",IF(A446="","Zona kosong",IF(B446="","CEK SKU DESCRIPTION kosong","OK"))))))))</f>
        <v/>
      </c>
    </row>
    <row r="447">
      <c r="A447" s="10" t="n"/>
      <c r="B447" s="11" t="n"/>
      <c r="C447" s="11" t="n"/>
      <c r="D447" s="11" t="n"/>
      <c r="E447" s="11" t="n"/>
      <c r="F447" s="11" t="n"/>
      <c r="G447" s="11" t="n"/>
      <c r="H447" s="11" t="n"/>
      <c r="I447" s="12">
        <f>IF(F447="","",IFERROR(INDEX(DAFTAR_FIXTURE!$B$2:$B$51,MATCH(F447,DAFTAR_FIXTURE!$A$2:$A$51,0)),""))</f>
        <v/>
      </c>
      <c r="J447" s="12">
        <f>IF(A447="","","https://cdn.ruparupa.io/fit-in/850x850/ruparupa-com/image/upload/Products/"&amp;A447&amp;"_1.jpg")</f>
        <v/>
      </c>
      <c r="K447" s="12">
        <f>IF(OR(I447="",G447=""),"",IFERROR(INDEX(LAYOUT!$D$2:$D$34,MATCH(I447&amp;"|"&amp;G447,LAYOUT!$E$2:$E$34,0)),"zona tidak ada di layout"))</f>
        <v/>
      </c>
      <c r="L447" s="12">
        <f>IF(OR(F447="",A447=""),"",COUNTIFS($F$2:$F$500,F447,$G$2:$G$500,G447,$A$2:$A$500,"&lt;&gt;"))</f>
        <v/>
      </c>
      <c r="M447" s="12">
        <f>IF(AND(A447="",F447=""),"",IF(F447="","Belum ditempatkan",IF(I447="","CEK ID FIXTURE tidak ada di DAFTAR_FIXTURE",IF(G447="","CEK ZONA NO kosong",IF(K447="zona tidak ada di layout","CEK ZONA NO di luar layout",IF(H447&lt;&gt;K447,"CEK JENIS ZONA",IF(A447="","Zona kosong",IF(B447="","CEK SKU DESCRIPTION kosong","OK"))))))))</f>
        <v/>
      </c>
    </row>
    <row r="448">
      <c r="A448" s="10" t="n"/>
      <c r="B448" s="11" t="n"/>
      <c r="C448" s="11" t="n"/>
      <c r="D448" s="11" t="n"/>
      <c r="E448" s="11" t="n"/>
      <c r="F448" s="11" t="n"/>
      <c r="G448" s="11" t="n"/>
      <c r="H448" s="11" t="n"/>
      <c r="I448" s="12">
        <f>IF(F448="","",IFERROR(INDEX(DAFTAR_FIXTURE!$B$2:$B$51,MATCH(F448,DAFTAR_FIXTURE!$A$2:$A$51,0)),""))</f>
        <v/>
      </c>
      <c r="J448" s="12">
        <f>IF(A448="","","https://cdn.ruparupa.io/fit-in/850x850/ruparupa-com/image/upload/Products/"&amp;A448&amp;"_1.jpg")</f>
        <v/>
      </c>
      <c r="K448" s="12">
        <f>IF(OR(I448="",G448=""),"",IFERROR(INDEX(LAYOUT!$D$2:$D$34,MATCH(I448&amp;"|"&amp;G448,LAYOUT!$E$2:$E$34,0)),"zona tidak ada di layout"))</f>
        <v/>
      </c>
      <c r="L448" s="12">
        <f>IF(OR(F448="",A448=""),"",COUNTIFS($F$2:$F$500,F448,$G$2:$G$500,G448,$A$2:$A$500,"&lt;&gt;"))</f>
        <v/>
      </c>
      <c r="M448" s="12">
        <f>IF(AND(A448="",F448=""),"",IF(F448="","Belum ditempatkan",IF(I448="","CEK ID FIXTURE tidak ada di DAFTAR_FIXTURE",IF(G448="","CEK ZONA NO kosong",IF(K448="zona tidak ada di layout","CEK ZONA NO di luar layout",IF(H448&lt;&gt;K448,"CEK JENIS ZONA",IF(A448="","Zona kosong",IF(B448="","CEK SKU DESCRIPTION kosong","OK"))))))))</f>
        <v/>
      </c>
    </row>
    <row r="449">
      <c r="A449" s="10" t="n"/>
      <c r="B449" s="11" t="n"/>
      <c r="C449" s="11" t="n"/>
      <c r="D449" s="11" t="n"/>
      <c r="E449" s="11" t="n"/>
      <c r="F449" s="11" t="n"/>
      <c r="G449" s="11" t="n"/>
      <c r="H449" s="11" t="n"/>
      <c r="I449" s="12">
        <f>IF(F449="","",IFERROR(INDEX(DAFTAR_FIXTURE!$B$2:$B$51,MATCH(F449,DAFTAR_FIXTURE!$A$2:$A$51,0)),""))</f>
        <v/>
      </c>
      <c r="J449" s="12">
        <f>IF(A449="","","https://cdn.ruparupa.io/fit-in/850x850/ruparupa-com/image/upload/Products/"&amp;A449&amp;"_1.jpg")</f>
        <v/>
      </c>
      <c r="K449" s="12">
        <f>IF(OR(I449="",G449=""),"",IFERROR(INDEX(LAYOUT!$D$2:$D$34,MATCH(I449&amp;"|"&amp;G449,LAYOUT!$E$2:$E$34,0)),"zona tidak ada di layout"))</f>
        <v/>
      </c>
      <c r="L449" s="12">
        <f>IF(OR(F449="",A449=""),"",COUNTIFS($F$2:$F$500,F449,$G$2:$G$500,G449,$A$2:$A$500,"&lt;&gt;"))</f>
        <v/>
      </c>
      <c r="M449" s="12">
        <f>IF(AND(A449="",F449=""),"",IF(F449="","Belum ditempatkan",IF(I449="","CEK ID FIXTURE tidak ada di DAFTAR_FIXTURE",IF(G449="","CEK ZONA NO kosong",IF(K449="zona tidak ada di layout","CEK ZONA NO di luar layout",IF(H449&lt;&gt;K449,"CEK JENIS ZONA",IF(A449="","Zona kosong",IF(B449="","CEK SKU DESCRIPTION kosong","OK"))))))))</f>
        <v/>
      </c>
    </row>
    <row r="450">
      <c r="A450" s="10" t="n"/>
      <c r="B450" s="11" t="n"/>
      <c r="C450" s="11" t="n"/>
      <c r="D450" s="11" t="n"/>
      <c r="E450" s="11" t="n"/>
      <c r="F450" s="11" t="n"/>
      <c r="G450" s="11" t="n"/>
      <c r="H450" s="11" t="n"/>
      <c r="I450" s="12">
        <f>IF(F450="","",IFERROR(INDEX(DAFTAR_FIXTURE!$B$2:$B$51,MATCH(F450,DAFTAR_FIXTURE!$A$2:$A$51,0)),""))</f>
        <v/>
      </c>
      <c r="J450" s="12">
        <f>IF(A450="","","https://cdn.ruparupa.io/fit-in/850x850/ruparupa-com/image/upload/Products/"&amp;A450&amp;"_1.jpg")</f>
        <v/>
      </c>
      <c r="K450" s="12">
        <f>IF(OR(I450="",G450=""),"",IFERROR(INDEX(LAYOUT!$D$2:$D$34,MATCH(I450&amp;"|"&amp;G450,LAYOUT!$E$2:$E$34,0)),"zona tidak ada di layout"))</f>
        <v/>
      </c>
      <c r="L450" s="12">
        <f>IF(OR(F450="",A450=""),"",COUNTIFS($F$2:$F$500,F450,$G$2:$G$500,G450,$A$2:$A$500,"&lt;&gt;"))</f>
        <v/>
      </c>
      <c r="M450" s="12">
        <f>IF(AND(A450="",F450=""),"",IF(F450="","Belum ditempatkan",IF(I450="","CEK ID FIXTURE tidak ada di DAFTAR_FIXTURE",IF(G450="","CEK ZONA NO kosong",IF(K450="zona tidak ada di layout","CEK ZONA NO di luar layout",IF(H450&lt;&gt;K450,"CEK JENIS ZONA",IF(A450="","Zona kosong",IF(B450="","CEK SKU DESCRIPTION kosong","OK"))))))))</f>
        <v/>
      </c>
    </row>
    <row r="451">
      <c r="A451" s="10" t="n"/>
      <c r="B451" s="11" t="n"/>
      <c r="C451" s="11" t="n"/>
      <c r="D451" s="11" t="n"/>
      <c r="E451" s="11" t="n"/>
      <c r="F451" s="11" t="n"/>
      <c r="G451" s="11" t="n"/>
      <c r="H451" s="11" t="n"/>
      <c r="I451" s="12">
        <f>IF(F451="","",IFERROR(INDEX(DAFTAR_FIXTURE!$B$2:$B$51,MATCH(F451,DAFTAR_FIXTURE!$A$2:$A$51,0)),""))</f>
        <v/>
      </c>
      <c r="J451" s="12">
        <f>IF(A451="","","https://cdn.ruparupa.io/fit-in/850x850/ruparupa-com/image/upload/Products/"&amp;A451&amp;"_1.jpg")</f>
        <v/>
      </c>
      <c r="K451" s="12">
        <f>IF(OR(I451="",G451=""),"",IFERROR(INDEX(LAYOUT!$D$2:$D$34,MATCH(I451&amp;"|"&amp;G451,LAYOUT!$E$2:$E$34,0)),"zona tidak ada di layout"))</f>
        <v/>
      </c>
      <c r="L451" s="12">
        <f>IF(OR(F451="",A451=""),"",COUNTIFS($F$2:$F$500,F451,$G$2:$G$500,G451,$A$2:$A$500,"&lt;&gt;"))</f>
        <v/>
      </c>
      <c r="M451" s="12">
        <f>IF(AND(A451="",F451=""),"",IF(F451="","Belum ditempatkan",IF(I451="","CEK ID FIXTURE tidak ada di DAFTAR_FIXTURE",IF(G451="","CEK ZONA NO kosong",IF(K451="zona tidak ada di layout","CEK ZONA NO di luar layout",IF(H451&lt;&gt;K451,"CEK JENIS ZONA",IF(A451="","Zona kosong",IF(B451="","CEK SKU DESCRIPTION kosong","OK"))))))))</f>
        <v/>
      </c>
    </row>
    <row r="452">
      <c r="A452" s="10" t="n"/>
      <c r="B452" s="11" t="n"/>
      <c r="C452" s="11" t="n"/>
      <c r="D452" s="11" t="n"/>
      <c r="E452" s="11" t="n"/>
      <c r="F452" s="11" t="n"/>
      <c r="G452" s="11" t="n"/>
      <c r="H452" s="11" t="n"/>
      <c r="I452" s="12">
        <f>IF(F452="","",IFERROR(INDEX(DAFTAR_FIXTURE!$B$2:$B$51,MATCH(F452,DAFTAR_FIXTURE!$A$2:$A$51,0)),""))</f>
        <v/>
      </c>
      <c r="J452" s="12">
        <f>IF(A452="","","https://cdn.ruparupa.io/fit-in/850x850/ruparupa-com/image/upload/Products/"&amp;A452&amp;"_1.jpg")</f>
        <v/>
      </c>
      <c r="K452" s="12">
        <f>IF(OR(I452="",G452=""),"",IFERROR(INDEX(LAYOUT!$D$2:$D$34,MATCH(I452&amp;"|"&amp;G452,LAYOUT!$E$2:$E$34,0)),"zona tidak ada di layout"))</f>
        <v/>
      </c>
      <c r="L452" s="12">
        <f>IF(OR(F452="",A452=""),"",COUNTIFS($F$2:$F$500,F452,$G$2:$G$500,G452,$A$2:$A$500,"&lt;&gt;"))</f>
        <v/>
      </c>
      <c r="M452" s="12">
        <f>IF(AND(A452="",F452=""),"",IF(F452="","Belum ditempatkan",IF(I452="","CEK ID FIXTURE tidak ada di DAFTAR_FIXTURE",IF(G452="","CEK ZONA NO kosong",IF(K452="zona tidak ada di layout","CEK ZONA NO di luar layout",IF(H452&lt;&gt;K452,"CEK JENIS ZONA",IF(A452="","Zona kosong",IF(B452="","CEK SKU DESCRIPTION kosong","OK"))))))))</f>
        <v/>
      </c>
    </row>
    <row r="453">
      <c r="A453" s="10" t="n"/>
      <c r="B453" s="11" t="n"/>
      <c r="C453" s="11" t="n"/>
      <c r="D453" s="11" t="n"/>
      <c r="E453" s="11" t="n"/>
      <c r="F453" s="11" t="n"/>
      <c r="G453" s="11" t="n"/>
      <c r="H453" s="11" t="n"/>
      <c r="I453" s="12">
        <f>IF(F453="","",IFERROR(INDEX(DAFTAR_FIXTURE!$B$2:$B$51,MATCH(F453,DAFTAR_FIXTURE!$A$2:$A$51,0)),""))</f>
        <v/>
      </c>
      <c r="J453" s="12">
        <f>IF(A453="","","https://cdn.ruparupa.io/fit-in/850x850/ruparupa-com/image/upload/Products/"&amp;A453&amp;"_1.jpg")</f>
        <v/>
      </c>
      <c r="K453" s="12">
        <f>IF(OR(I453="",G453=""),"",IFERROR(INDEX(LAYOUT!$D$2:$D$34,MATCH(I453&amp;"|"&amp;G453,LAYOUT!$E$2:$E$34,0)),"zona tidak ada di layout"))</f>
        <v/>
      </c>
      <c r="L453" s="12">
        <f>IF(OR(F453="",A453=""),"",COUNTIFS($F$2:$F$500,F453,$G$2:$G$500,G453,$A$2:$A$500,"&lt;&gt;"))</f>
        <v/>
      </c>
      <c r="M453" s="12">
        <f>IF(AND(A453="",F453=""),"",IF(F453="","Belum ditempatkan",IF(I453="","CEK ID FIXTURE tidak ada di DAFTAR_FIXTURE",IF(G453="","CEK ZONA NO kosong",IF(K453="zona tidak ada di layout","CEK ZONA NO di luar layout",IF(H453&lt;&gt;K453,"CEK JENIS ZONA",IF(A453="","Zona kosong",IF(B453="","CEK SKU DESCRIPTION kosong","OK"))))))))</f>
        <v/>
      </c>
    </row>
    <row r="454">
      <c r="A454" s="10" t="n"/>
      <c r="B454" s="11" t="n"/>
      <c r="C454" s="11" t="n"/>
      <c r="D454" s="11" t="n"/>
      <c r="E454" s="11" t="n"/>
      <c r="F454" s="11" t="n"/>
      <c r="G454" s="11" t="n"/>
      <c r="H454" s="11" t="n"/>
      <c r="I454" s="12">
        <f>IF(F454="","",IFERROR(INDEX(DAFTAR_FIXTURE!$B$2:$B$51,MATCH(F454,DAFTAR_FIXTURE!$A$2:$A$51,0)),""))</f>
        <v/>
      </c>
      <c r="J454" s="12">
        <f>IF(A454="","","https://cdn.ruparupa.io/fit-in/850x850/ruparupa-com/image/upload/Products/"&amp;A454&amp;"_1.jpg")</f>
        <v/>
      </c>
      <c r="K454" s="12">
        <f>IF(OR(I454="",G454=""),"",IFERROR(INDEX(LAYOUT!$D$2:$D$34,MATCH(I454&amp;"|"&amp;G454,LAYOUT!$E$2:$E$34,0)),"zona tidak ada di layout"))</f>
        <v/>
      </c>
      <c r="L454" s="12">
        <f>IF(OR(F454="",A454=""),"",COUNTIFS($F$2:$F$500,F454,$G$2:$G$500,G454,$A$2:$A$500,"&lt;&gt;"))</f>
        <v/>
      </c>
      <c r="M454" s="12">
        <f>IF(AND(A454="",F454=""),"",IF(F454="","Belum ditempatkan",IF(I454="","CEK ID FIXTURE tidak ada di DAFTAR_FIXTURE",IF(G454="","CEK ZONA NO kosong",IF(K454="zona tidak ada di layout","CEK ZONA NO di luar layout",IF(H454&lt;&gt;K454,"CEK JENIS ZONA",IF(A454="","Zona kosong",IF(B454="","CEK SKU DESCRIPTION kosong","OK"))))))))</f>
        <v/>
      </c>
    </row>
    <row r="455">
      <c r="A455" s="10" t="n"/>
      <c r="B455" s="11" t="n"/>
      <c r="C455" s="11" t="n"/>
      <c r="D455" s="11" t="n"/>
      <c r="E455" s="11" t="n"/>
      <c r="F455" s="11" t="n"/>
      <c r="G455" s="11" t="n"/>
      <c r="H455" s="11" t="n"/>
      <c r="I455" s="12">
        <f>IF(F455="","",IFERROR(INDEX(DAFTAR_FIXTURE!$B$2:$B$51,MATCH(F455,DAFTAR_FIXTURE!$A$2:$A$51,0)),""))</f>
        <v/>
      </c>
      <c r="J455" s="12">
        <f>IF(A455="","","https://cdn.ruparupa.io/fit-in/850x850/ruparupa-com/image/upload/Products/"&amp;A455&amp;"_1.jpg")</f>
        <v/>
      </c>
      <c r="K455" s="12">
        <f>IF(OR(I455="",G455=""),"",IFERROR(INDEX(LAYOUT!$D$2:$D$34,MATCH(I455&amp;"|"&amp;G455,LAYOUT!$E$2:$E$34,0)),"zona tidak ada di layout"))</f>
        <v/>
      </c>
      <c r="L455" s="12">
        <f>IF(OR(F455="",A455=""),"",COUNTIFS($F$2:$F$500,F455,$G$2:$G$500,G455,$A$2:$A$500,"&lt;&gt;"))</f>
        <v/>
      </c>
      <c r="M455" s="12">
        <f>IF(AND(A455="",F455=""),"",IF(F455="","Belum ditempatkan",IF(I455="","CEK ID FIXTURE tidak ada di DAFTAR_FIXTURE",IF(G455="","CEK ZONA NO kosong",IF(K455="zona tidak ada di layout","CEK ZONA NO di luar layout",IF(H455&lt;&gt;K455,"CEK JENIS ZONA",IF(A455="","Zona kosong",IF(B455="","CEK SKU DESCRIPTION kosong","OK"))))))))</f>
        <v/>
      </c>
    </row>
    <row r="456">
      <c r="A456" s="10" t="n"/>
      <c r="B456" s="11" t="n"/>
      <c r="C456" s="11" t="n"/>
      <c r="D456" s="11" t="n"/>
      <c r="E456" s="11" t="n"/>
      <c r="F456" s="11" t="n"/>
      <c r="G456" s="11" t="n"/>
      <c r="H456" s="11" t="n"/>
      <c r="I456" s="12">
        <f>IF(F456="","",IFERROR(INDEX(DAFTAR_FIXTURE!$B$2:$B$51,MATCH(F456,DAFTAR_FIXTURE!$A$2:$A$51,0)),""))</f>
        <v/>
      </c>
      <c r="J456" s="12">
        <f>IF(A456="","","https://cdn.ruparupa.io/fit-in/850x850/ruparupa-com/image/upload/Products/"&amp;A456&amp;"_1.jpg")</f>
        <v/>
      </c>
      <c r="K456" s="12">
        <f>IF(OR(I456="",G456=""),"",IFERROR(INDEX(LAYOUT!$D$2:$D$34,MATCH(I456&amp;"|"&amp;G456,LAYOUT!$E$2:$E$34,0)),"zona tidak ada di layout"))</f>
        <v/>
      </c>
      <c r="L456" s="12">
        <f>IF(OR(F456="",A456=""),"",COUNTIFS($F$2:$F$500,F456,$G$2:$G$500,G456,$A$2:$A$500,"&lt;&gt;"))</f>
        <v/>
      </c>
      <c r="M456" s="12">
        <f>IF(AND(A456="",F456=""),"",IF(F456="","Belum ditempatkan",IF(I456="","CEK ID FIXTURE tidak ada di DAFTAR_FIXTURE",IF(G456="","CEK ZONA NO kosong",IF(K456="zona tidak ada di layout","CEK ZONA NO di luar layout",IF(H456&lt;&gt;K456,"CEK JENIS ZONA",IF(A456="","Zona kosong",IF(B456="","CEK SKU DESCRIPTION kosong","OK"))))))))</f>
        <v/>
      </c>
    </row>
    <row r="457">
      <c r="A457" s="10" t="n"/>
      <c r="B457" s="11" t="n"/>
      <c r="C457" s="11" t="n"/>
      <c r="D457" s="11" t="n"/>
      <c r="E457" s="11" t="n"/>
      <c r="F457" s="11" t="n"/>
      <c r="G457" s="11" t="n"/>
      <c r="H457" s="11" t="n"/>
      <c r="I457" s="12">
        <f>IF(F457="","",IFERROR(INDEX(DAFTAR_FIXTURE!$B$2:$B$51,MATCH(F457,DAFTAR_FIXTURE!$A$2:$A$51,0)),""))</f>
        <v/>
      </c>
      <c r="J457" s="12">
        <f>IF(A457="","","https://cdn.ruparupa.io/fit-in/850x850/ruparupa-com/image/upload/Products/"&amp;A457&amp;"_1.jpg")</f>
        <v/>
      </c>
      <c r="K457" s="12">
        <f>IF(OR(I457="",G457=""),"",IFERROR(INDEX(LAYOUT!$D$2:$D$34,MATCH(I457&amp;"|"&amp;G457,LAYOUT!$E$2:$E$34,0)),"zona tidak ada di layout"))</f>
        <v/>
      </c>
      <c r="L457" s="12">
        <f>IF(OR(F457="",A457=""),"",COUNTIFS($F$2:$F$500,F457,$G$2:$G$500,G457,$A$2:$A$500,"&lt;&gt;"))</f>
        <v/>
      </c>
      <c r="M457" s="12">
        <f>IF(AND(A457="",F457=""),"",IF(F457="","Belum ditempatkan",IF(I457="","CEK ID FIXTURE tidak ada di DAFTAR_FIXTURE",IF(G457="","CEK ZONA NO kosong",IF(K457="zona tidak ada di layout","CEK ZONA NO di luar layout",IF(H457&lt;&gt;K457,"CEK JENIS ZONA",IF(A457="","Zona kosong",IF(B457="","CEK SKU DESCRIPTION kosong","OK"))))))))</f>
        <v/>
      </c>
    </row>
    <row r="458">
      <c r="A458" s="10" t="n"/>
      <c r="B458" s="11" t="n"/>
      <c r="C458" s="11" t="n"/>
      <c r="D458" s="11" t="n"/>
      <c r="E458" s="11" t="n"/>
      <c r="F458" s="11" t="n"/>
      <c r="G458" s="11" t="n"/>
      <c r="H458" s="11" t="n"/>
      <c r="I458" s="12">
        <f>IF(F458="","",IFERROR(INDEX(DAFTAR_FIXTURE!$B$2:$B$51,MATCH(F458,DAFTAR_FIXTURE!$A$2:$A$51,0)),""))</f>
        <v/>
      </c>
      <c r="J458" s="12">
        <f>IF(A458="","","https://cdn.ruparupa.io/fit-in/850x850/ruparupa-com/image/upload/Products/"&amp;A458&amp;"_1.jpg")</f>
        <v/>
      </c>
      <c r="K458" s="12">
        <f>IF(OR(I458="",G458=""),"",IFERROR(INDEX(LAYOUT!$D$2:$D$34,MATCH(I458&amp;"|"&amp;G458,LAYOUT!$E$2:$E$34,0)),"zona tidak ada di layout"))</f>
        <v/>
      </c>
      <c r="L458" s="12">
        <f>IF(OR(F458="",A458=""),"",COUNTIFS($F$2:$F$500,F458,$G$2:$G$500,G458,$A$2:$A$500,"&lt;&gt;"))</f>
        <v/>
      </c>
      <c r="M458" s="12">
        <f>IF(AND(A458="",F458=""),"",IF(F458="","Belum ditempatkan",IF(I458="","CEK ID FIXTURE tidak ada di DAFTAR_FIXTURE",IF(G458="","CEK ZONA NO kosong",IF(K458="zona tidak ada di layout","CEK ZONA NO di luar layout",IF(H458&lt;&gt;K458,"CEK JENIS ZONA",IF(A458="","Zona kosong",IF(B458="","CEK SKU DESCRIPTION kosong","OK"))))))))</f>
        <v/>
      </c>
    </row>
    <row r="459">
      <c r="A459" s="10" t="n"/>
      <c r="B459" s="11" t="n"/>
      <c r="C459" s="11" t="n"/>
      <c r="D459" s="11" t="n"/>
      <c r="E459" s="11" t="n"/>
      <c r="F459" s="11" t="n"/>
      <c r="G459" s="11" t="n"/>
      <c r="H459" s="11" t="n"/>
      <c r="I459" s="12">
        <f>IF(F459="","",IFERROR(INDEX(DAFTAR_FIXTURE!$B$2:$B$51,MATCH(F459,DAFTAR_FIXTURE!$A$2:$A$51,0)),""))</f>
        <v/>
      </c>
      <c r="J459" s="12">
        <f>IF(A459="","","https://cdn.ruparupa.io/fit-in/850x850/ruparupa-com/image/upload/Products/"&amp;A459&amp;"_1.jpg")</f>
        <v/>
      </c>
      <c r="K459" s="12">
        <f>IF(OR(I459="",G459=""),"",IFERROR(INDEX(LAYOUT!$D$2:$D$34,MATCH(I459&amp;"|"&amp;G459,LAYOUT!$E$2:$E$34,0)),"zona tidak ada di layout"))</f>
        <v/>
      </c>
      <c r="L459" s="12">
        <f>IF(OR(F459="",A459=""),"",COUNTIFS($F$2:$F$500,F459,$G$2:$G$500,G459,$A$2:$A$500,"&lt;&gt;"))</f>
        <v/>
      </c>
      <c r="M459" s="12">
        <f>IF(AND(A459="",F459=""),"",IF(F459="","Belum ditempatkan",IF(I459="","CEK ID FIXTURE tidak ada di DAFTAR_FIXTURE",IF(G459="","CEK ZONA NO kosong",IF(K459="zona tidak ada di layout","CEK ZONA NO di luar layout",IF(H459&lt;&gt;K459,"CEK JENIS ZONA",IF(A459="","Zona kosong",IF(B459="","CEK SKU DESCRIPTION kosong","OK"))))))))</f>
        <v/>
      </c>
    </row>
    <row r="460">
      <c r="A460" s="10" t="n"/>
      <c r="B460" s="11" t="n"/>
      <c r="C460" s="11" t="n"/>
      <c r="D460" s="11" t="n"/>
      <c r="E460" s="11" t="n"/>
      <c r="F460" s="11" t="n"/>
      <c r="G460" s="11" t="n"/>
      <c r="H460" s="11" t="n"/>
      <c r="I460" s="12">
        <f>IF(F460="","",IFERROR(INDEX(DAFTAR_FIXTURE!$B$2:$B$51,MATCH(F460,DAFTAR_FIXTURE!$A$2:$A$51,0)),""))</f>
        <v/>
      </c>
      <c r="J460" s="12">
        <f>IF(A460="","","https://cdn.ruparupa.io/fit-in/850x850/ruparupa-com/image/upload/Products/"&amp;A460&amp;"_1.jpg")</f>
        <v/>
      </c>
      <c r="K460" s="12">
        <f>IF(OR(I460="",G460=""),"",IFERROR(INDEX(LAYOUT!$D$2:$D$34,MATCH(I460&amp;"|"&amp;G460,LAYOUT!$E$2:$E$34,0)),"zona tidak ada di layout"))</f>
        <v/>
      </c>
      <c r="L460" s="12">
        <f>IF(OR(F460="",A460=""),"",COUNTIFS($F$2:$F$500,F460,$G$2:$G$500,G460,$A$2:$A$500,"&lt;&gt;"))</f>
        <v/>
      </c>
      <c r="M460" s="12">
        <f>IF(AND(A460="",F460=""),"",IF(F460="","Belum ditempatkan",IF(I460="","CEK ID FIXTURE tidak ada di DAFTAR_FIXTURE",IF(G460="","CEK ZONA NO kosong",IF(K460="zona tidak ada di layout","CEK ZONA NO di luar layout",IF(H460&lt;&gt;K460,"CEK JENIS ZONA",IF(A460="","Zona kosong",IF(B460="","CEK SKU DESCRIPTION kosong","OK"))))))))</f>
        <v/>
      </c>
    </row>
    <row r="461">
      <c r="A461" s="10" t="n"/>
      <c r="B461" s="11" t="n"/>
      <c r="C461" s="11" t="n"/>
      <c r="D461" s="11" t="n"/>
      <c r="E461" s="11" t="n"/>
      <c r="F461" s="11" t="n"/>
      <c r="G461" s="11" t="n"/>
      <c r="H461" s="11" t="n"/>
      <c r="I461" s="12">
        <f>IF(F461="","",IFERROR(INDEX(DAFTAR_FIXTURE!$B$2:$B$51,MATCH(F461,DAFTAR_FIXTURE!$A$2:$A$51,0)),""))</f>
        <v/>
      </c>
      <c r="J461" s="12">
        <f>IF(A461="","","https://cdn.ruparupa.io/fit-in/850x850/ruparupa-com/image/upload/Products/"&amp;A461&amp;"_1.jpg")</f>
        <v/>
      </c>
      <c r="K461" s="12">
        <f>IF(OR(I461="",G461=""),"",IFERROR(INDEX(LAYOUT!$D$2:$D$34,MATCH(I461&amp;"|"&amp;G461,LAYOUT!$E$2:$E$34,0)),"zona tidak ada di layout"))</f>
        <v/>
      </c>
      <c r="L461" s="12">
        <f>IF(OR(F461="",A461=""),"",COUNTIFS($F$2:$F$500,F461,$G$2:$G$500,G461,$A$2:$A$500,"&lt;&gt;"))</f>
        <v/>
      </c>
      <c r="M461" s="12">
        <f>IF(AND(A461="",F461=""),"",IF(F461="","Belum ditempatkan",IF(I461="","CEK ID FIXTURE tidak ada di DAFTAR_FIXTURE",IF(G461="","CEK ZONA NO kosong",IF(K461="zona tidak ada di layout","CEK ZONA NO di luar layout",IF(H461&lt;&gt;K461,"CEK JENIS ZONA",IF(A461="","Zona kosong",IF(B461="","CEK SKU DESCRIPTION kosong","OK"))))))))</f>
        <v/>
      </c>
    </row>
    <row r="462">
      <c r="A462" s="10" t="n"/>
      <c r="B462" s="11" t="n"/>
      <c r="C462" s="11" t="n"/>
      <c r="D462" s="11" t="n"/>
      <c r="E462" s="11" t="n"/>
      <c r="F462" s="11" t="n"/>
      <c r="G462" s="11" t="n"/>
      <c r="H462" s="11" t="n"/>
      <c r="I462" s="12">
        <f>IF(F462="","",IFERROR(INDEX(DAFTAR_FIXTURE!$B$2:$B$51,MATCH(F462,DAFTAR_FIXTURE!$A$2:$A$51,0)),""))</f>
        <v/>
      </c>
      <c r="J462" s="12">
        <f>IF(A462="","","https://cdn.ruparupa.io/fit-in/850x850/ruparupa-com/image/upload/Products/"&amp;A462&amp;"_1.jpg")</f>
        <v/>
      </c>
      <c r="K462" s="12">
        <f>IF(OR(I462="",G462=""),"",IFERROR(INDEX(LAYOUT!$D$2:$D$34,MATCH(I462&amp;"|"&amp;G462,LAYOUT!$E$2:$E$34,0)),"zona tidak ada di layout"))</f>
        <v/>
      </c>
      <c r="L462" s="12">
        <f>IF(OR(F462="",A462=""),"",COUNTIFS($F$2:$F$500,F462,$G$2:$G$500,G462,$A$2:$A$500,"&lt;&gt;"))</f>
        <v/>
      </c>
      <c r="M462" s="12">
        <f>IF(AND(A462="",F462=""),"",IF(F462="","Belum ditempatkan",IF(I462="","CEK ID FIXTURE tidak ada di DAFTAR_FIXTURE",IF(G462="","CEK ZONA NO kosong",IF(K462="zona tidak ada di layout","CEK ZONA NO di luar layout",IF(H462&lt;&gt;K462,"CEK JENIS ZONA",IF(A462="","Zona kosong",IF(B462="","CEK SKU DESCRIPTION kosong","OK"))))))))</f>
        <v/>
      </c>
    </row>
    <row r="463">
      <c r="A463" s="10" t="n"/>
      <c r="B463" s="11" t="n"/>
      <c r="C463" s="11" t="n"/>
      <c r="D463" s="11" t="n"/>
      <c r="E463" s="11" t="n"/>
      <c r="F463" s="11" t="n"/>
      <c r="G463" s="11" t="n"/>
      <c r="H463" s="11" t="n"/>
      <c r="I463" s="12">
        <f>IF(F463="","",IFERROR(INDEX(DAFTAR_FIXTURE!$B$2:$B$51,MATCH(F463,DAFTAR_FIXTURE!$A$2:$A$51,0)),""))</f>
        <v/>
      </c>
      <c r="J463" s="12">
        <f>IF(A463="","","https://cdn.ruparupa.io/fit-in/850x850/ruparupa-com/image/upload/Products/"&amp;A463&amp;"_1.jpg")</f>
        <v/>
      </c>
      <c r="K463" s="12">
        <f>IF(OR(I463="",G463=""),"",IFERROR(INDEX(LAYOUT!$D$2:$D$34,MATCH(I463&amp;"|"&amp;G463,LAYOUT!$E$2:$E$34,0)),"zona tidak ada di layout"))</f>
        <v/>
      </c>
      <c r="L463" s="12">
        <f>IF(OR(F463="",A463=""),"",COUNTIFS($F$2:$F$500,F463,$G$2:$G$500,G463,$A$2:$A$500,"&lt;&gt;"))</f>
        <v/>
      </c>
      <c r="M463" s="12">
        <f>IF(AND(A463="",F463=""),"",IF(F463="","Belum ditempatkan",IF(I463="","CEK ID FIXTURE tidak ada di DAFTAR_FIXTURE",IF(G463="","CEK ZONA NO kosong",IF(K463="zona tidak ada di layout","CEK ZONA NO di luar layout",IF(H463&lt;&gt;K463,"CEK JENIS ZONA",IF(A463="","Zona kosong",IF(B463="","CEK SKU DESCRIPTION kosong","OK"))))))))</f>
        <v/>
      </c>
    </row>
    <row r="464">
      <c r="A464" s="10" t="n"/>
      <c r="B464" s="11" t="n"/>
      <c r="C464" s="11" t="n"/>
      <c r="D464" s="11" t="n"/>
      <c r="E464" s="11" t="n"/>
      <c r="F464" s="11" t="n"/>
      <c r="G464" s="11" t="n"/>
      <c r="H464" s="11" t="n"/>
      <c r="I464" s="12">
        <f>IF(F464="","",IFERROR(INDEX(DAFTAR_FIXTURE!$B$2:$B$51,MATCH(F464,DAFTAR_FIXTURE!$A$2:$A$51,0)),""))</f>
        <v/>
      </c>
      <c r="J464" s="12">
        <f>IF(A464="","","https://cdn.ruparupa.io/fit-in/850x850/ruparupa-com/image/upload/Products/"&amp;A464&amp;"_1.jpg")</f>
        <v/>
      </c>
      <c r="K464" s="12">
        <f>IF(OR(I464="",G464=""),"",IFERROR(INDEX(LAYOUT!$D$2:$D$34,MATCH(I464&amp;"|"&amp;G464,LAYOUT!$E$2:$E$34,0)),"zona tidak ada di layout"))</f>
        <v/>
      </c>
      <c r="L464" s="12">
        <f>IF(OR(F464="",A464=""),"",COUNTIFS($F$2:$F$500,F464,$G$2:$G$500,G464,$A$2:$A$500,"&lt;&gt;"))</f>
        <v/>
      </c>
      <c r="M464" s="12">
        <f>IF(AND(A464="",F464=""),"",IF(F464="","Belum ditempatkan",IF(I464="","CEK ID FIXTURE tidak ada di DAFTAR_FIXTURE",IF(G464="","CEK ZONA NO kosong",IF(K464="zona tidak ada di layout","CEK ZONA NO di luar layout",IF(H464&lt;&gt;K464,"CEK JENIS ZONA",IF(A464="","Zona kosong",IF(B464="","CEK SKU DESCRIPTION kosong","OK"))))))))</f>
        <v/>
      </c>
    </row>
    <row r="465">
      <c r="A465" s="10" t="n"/>
      <c r="B465" s="11" t="n"/>
      <c r="C465" s="11" t="n"/>
      <c r="D465" s="11" t="n"/>
      <c r="E465" s="11" t="n"/>
      <c r="F465" s="11" t="n"/>
      <c r="G465" s="11" t="n"/>
      <c r="H465" s="11" t="n"/>
      <c r="I465" s="12">
        <f>IF(F465="","",IFERROR(INDEX(DAFTAR_FIXTURE!$B$2:$B$51,MATCH(F465,DAFTAR_FIXTURE!$A$2:$A$51,0)),""))</f>
        <v/>
      </c>
      <c r="J465" s="12">
        <f>IF(A465="","","https://cdn.ruparupa.io/fit-in/850x850/ruparupa-com/image/upload/Products/"&amp;A465&amp;"_1.jpg")</f>
        <v/>
      </c>
      <c r="K465" s="12">
        <f>IF(OR(I465="",G465=""),"",IFERROR(INDEX(LAYOUT!$D$2:$D$34,MATCH(I465&amp;"|"&amp;G465,LAYOUT!$E$2:$E$34,0)),"zona tidak ada di layout"))</f>
        <v/>
      </c>
      <c r="L465" s="12">
        <f>IF(OR(F465="",A465=""),"",COUNTIFS($F$2:$F$500,F465,$G$2:$G$500,G465,$A$2:$A$500,"&lt;&gt;"))</f>
        <v/>
      </c>
      <c r="M465" s="12">
        <f>IF(AND(A465="",F465=""),"",IF(F465="","Belum ditempatkan",IF(I465="","CEK ID FIXTURE tidak ada di DAFTAR_FIXTURE",IF(G465="","CEK ZONA NO kosong",IF(K465="zona tidak ada di layout","CEK ZONA NO di luar layout",IF(H465&lt;&gt;K465,"CEK JENIS ZONA",IF(A465="","Zona kosong",IF(B465="","CEK SKU DESCRIPTION kosong","OK"))))))))</f>
        <v/>
      </c>
    </row>
    <row r="466">
      <c r="A466" s="10" t="n"/>
      <c r="B466" s="11" t="n"/>
      <c r="C466" s="11" t="n"/>
      <c r="D466" s="11" t="n"/>
      <c r="E466" s="11" t="n"/>
      <c r="F466" s="11" t="n"/>
      <c r="G466" s="11" t="n"/>
      <c r="H466" s="11" t="n"/>
      <c r="I466" s="12">
        <f>IF(F466="","",IFERROR(INDEX(DAFTAR_FIXTURE!$B$2:$B$51,MATCH(F466,DAFTAR_FIXTURE!$A$2:$A$51,0)),""))</f>
        <v/>
      </c>
      <c r="J466" s="12">
        <f>IF(A466="","","https://cdn.ruparupa.io/fit-in/850x850/ruparupa-com/image/upload/Products/"&amp;A466&amp;"_1.jpg")</f>
        <v/>
      </c>
      <c r="K466" s="12">
        <f>IF(OR(I466="",G466=""),"",IFERROR(INDEX(LAYOUT!$D$2:$D$34,MATCH(I466&amp;"|"&amp;G466,LAYOUT!$E$2:$E$34,0)),"zona tidak ada di layout"))</f>
        <v/>
      </c>
      <c r="L466" s="12">
        <f>IF(OR(F466="",A466=""),"",COUNTIFS($F$2:$F$500,F466,$G$2:$G$500,G466,$A$2:$A$500,"&lt;&gt;"))</f>
        <v/>
      </c>
      <c r="M466" s="12">
        <f>IF(AND(A466="",F466=""),"",IF(F466="","Belum ditempatkan",IF(I466="","CEK ID FIXTURE tidak ada di DAFTAR_FIXTURE",IF(G466="","CEK ZONA NO kosong",IF(K466="zona tidak ada di layout","CEK ZONA NO di luar layout",IF(H466&lt;&gt;K466,"CEK JENIS ZONA",IF(A466="","Zona kosong",IF(B466="","CEK SKU DESCRIPTION kosong","OK"))))))))</f>
        <v/>
      </c>
    </row>
    <row r="467">
      <c r="A467" s="10" t="n"/>
      <c r="B467" s="11" t="n"/>
      <c r="C467" s="11" t="n"/>
      <c r="D467" s="11" t="n"/>
      <c r="E467" s="11" t="n"/>
      <c r="F467" s="11" t="n"/>
      <c r="G467" s="11" t="n"/>
      <c r="H467" s="11" t="n"/>
      <c r="I467" s="12">
        <f>IF(F467="","",IFERROR(INDEX(DAFTAR_FIXTURE!$B$2:$B$51,MATCH(F467,DAFTAR_FIXTURE!$A$2:$A$51,0)),""))</f>
        <v/>
      </c>
      <c r="J467" s="12">
        <f>IF(A467="","","https://cdn.ruparupa.io/fit-in/850x850/ruparupa-com/image/upload/Products/"&amp;A467&amp;"_1.jpg")</f>
        <v/>
      </c>
      <c r="K467" s="12">
        <f>IF(OR(I467="",G467=""),"",IFERROR(INDEX(LAYOUT!$D$2:$D$34,MATCH(I467&amp;"|"&amp;G467,LAYOUT!$E$2:$E$34,0)),"zona tidak ada di layout"))</f>
        <v/>
      </c>
      <c r="L467" s="12">
        <f>IF(OR(F467="",A467=""),"",COUNTIFS($F$2:$F$500,F467,$G$2:$G$500,G467,$A$2:$A$500,"&lt;&gt;"))</f>
        <v/>
      </c>
      <c r="M467" s="12">
        <f>IF(AND(A467="",F467=""),"",IF(F467="","Belum ditempatkan",IF(I467="","CEK ID FIXTURE tidak ada di DAFTAR_FIXTURE",IF(G467="","CEK ZONA NO kosong",IF(K467="zona tidak ada di layout","CEK ZONA NO di luar layout",IF(H467&lt;&gt;K467,"CEK JENIS ZONA",IF(A467="","Zona kosong",IF(B467="","CEK SKU DESCRIPTION kosong","OK"))))))))</f>
        <v/>
      </c>
    </row>
    <row r="468">
      <c r="A468" s="10" t="n"/>
      <c r="B468" s="11" t="n"/>
      <c r="C468" s="11" t="n"/>
      <c r="D468" s="11" t="n"/>
      <c r="E468" s="11" t="n"/>
      <c r="F468" s="11" t="n"/>
      <c r="G468" s="11" t="n"/>
      <c r="H468" s="11" t="n"/>
      <c r="I468" s="12">
        <f>IF(F468="","",IFERROR(INDEX(DAFTAR_FIXTURE!$B$2:$B$51,MATCH(F468,DAFTAR_FIXTURE!$A$2:$A$51,0)),""))</f>
        <v/>
      </c>
      <c r="J468" s="12">
        <f>IF(A468="","","https://cdn.ruparupa.io/fit-in/850x850/ruparupa-com/image/upload/Products/"&amp;A468&amp;"_1.jpg")</f>
        <v/>
      </c>
      <c r="K468" s="12">
        <f>IF(OR(I468="",G468=""),"",IFERROR(INDEX(LAYOUT!$D$2:$D$34,MATCH(I468&amp;"|"&amp;G468,LAYOUT!$E$2:$E$34,0)),"zona tidak ada di layout"))</f>
        <v/>
      </c>
      <c r="L468" s="12">
        <f>IF(OR(F468="",A468=""),"",COUNTIFS($F$2:$F$500,F468,$G$2:$G$500,G468,$A$2:$A$500,"&lt;&gt;"))</f>
        <v/>
      </c>
      <c r="M468" s="12">
        <f>IF(AND(A468="",F468=""),"",IF(F468="","Belum ditempatkan",IF(I468="","CEK ID FIXTURE tidak ada di DAFTAR_FIXTURE",IF(G468="","CEK ZONA NO kosong",IF(K468="zona tidak ada di layout","CEK ZONA NO di luar layout",IF(H468&lt;&gt;K468,"CEK JENIS ZONA",IF(A468="","Zona kosong",IF(B468="","CEK SKU DESCRIPTION kosong","OK"))))))))</f>
        <v/>
      </c>
    </row>
    <row r="469">
      <c r="A469" s="10" t="n"/>
      <c r="B469" s="11" t="n"/>
      <c r="C469" s="11" t="n"/>
      <c r="D469" s="11" t="n"/>
      <c r="E469" s="11" t="n"/>
      <c r="F469" s="11" t="n"/>
      <c r="G469" s="11" t="n"/>
      <c r="H469" s="11" t="n"/>
      <c r="I469" s="12">
        <f>IF(F469="","",IFERROR(INDEX(DAFTAR_FIXTURE!$B$2:$B$51,MATCH(F469,DAFTAR_FIXTURE!$A$2:$A$51,0)),""))</f>
        <v/>
      </c>
      <c r="J469" s="12">
        <f>IF(A469="","","https://cdn.ruparupa.io/fit-in/850x850/ruparupa-com/image/upload/Products/"&amp;A469&amp;"_1.jpg")</f>
        <v/>
      </c>
      <c r="K469" s="12">
        <f>IF(OR(I469="",G469=""),"",IFERROR(INDEX(LAYOUT!$D$2:$D$34,MATCH(I469&amp;"|"&amp;G469,LAYOUT!$E$2:$E$34,0)),"zona tidak ada di layout"))</f>
        <v/>
      </c>
      <c r="L469" s="12">
        <f>IF(OR(F469="",A469=""),"",COUNTIFS($F$2:$F$500,F469,$G$2:$G$500,G469,$A$2:$A$500,"&lt;&gt;"))</f>
        <v/>
      </c>
      <c r="M469" s="12">
        <f>IF(AND(A469="",F469=""),"",IF(F469="","Belum ditempatkan",IF(I469="","CEK ID FIXTURE tidak ada di DAFTAR_FIXTURE",IF(G469="","CEK ZONA NO kosong",IF(K469="zona tidak ada di layout","CEK ZONA NO di luar layout",IF(H469&lt;&gt;K469,"CEK JENIS ZONA",IF(A469="","Zona kosong",IF(B469="","CEK SKU DESCRIPTION kosong","OK"))))))))</f>
        <v/>
      </c>
    </row>
    <row r="470">
      <c r="A470" s="10" t="n"/>
      <c r="B470" s="11" t="n"/>
      <c r="C470" s="11" t="n"/>
      <c r="D470" s="11" t="n"/>
      <c r="E470" s="11" t="n"/>
      <c r="F470" s="11" t="n"/>
      <c r="G470" s="11" t="n"/>
      <c r="H470" s="11" t="n"/>
      <c r="I470" s="12">
        <f>IF(F470="","",IFERROR(INDEX(DAFTAR_FIXTURE!$B$2:$B$51,MATCH(F470,DAFTAR_FIXTURE!$A$2:$A$51,0)),""))</f>
        <v/>
      </c>
      <c r="J470" s="12">
        <f>IF(A470="","","https://cdn.ruparupa.io/fit-in/850x850/ruparupa-com/image/upload/Products/"&amp;A470&amp;"_1.jpg")</f>
        <v/>
      </c>
      <c r="K470" s="12">
        <f>IF(OR(I470="",G470=""),"",IFERROR(INDEX(LAYOUT!$D$2:$D$34,MATCH(I470&amp;"|"&amp;G470,LAYOUT!$E$2:$E$34,0)),"zona tidak ada di layout"))</f>
        <v/>
      </c>
      <c r="L470" s="12">
        <f>IF(OR(F470="",A470=""),"",COUNTIFS($F$2:$F$500,F470,$G$2:$G$500,G470,$A$2:$A$500,"&lt;&gt;"))</f>
        <v/>
      </c>
      <c r="M470" s="12">
        <f>IF(AND(A470="",F470=""),"",IF(F470="","Belum ditempatkan",IF(I470="","CEK ID FIXTURE tidak ada di DAFTAR_FIXTURE",IF(G470="","CEK ZONA NO kosong",IF(K470="zona tidak ada di layout","CEK ZONA NO di luar layout",IF(H470&lt;&gt;K470,"CEK JENIS ZONA",IF(A470="","Zona kosong",IF(B470="","CEK SKU DESCRIPTION kosong","OK"))))))))</f>
        <v/>
      </c>
    </row>
    <row r="471">
      <c r="A471" s="10" t="n"/>
      <c r="B471" s="11" t="n"/>
      <c r="C471" s="11" t="n"/>
      <c r="D471" s="11" t="n"/>
      <c r="E471" s="11" t="n"/>
      <c r="F471" s="11" t="n"/>
      <c r="G471" s="11" t="n"/>
      <c r="H471" s="11" t="n"/>
      <c r="I471" s="12">
        <f>IF(F471="","",IFERROR(INDEX(DAFTAR_FIXTURE!$B$2:$B$51,MATCH(F471,DAFTAR_FIXTURE!$A$2:$A$51,0)),""))</f>
        <v/>
      </c>
      <c r="J471" s="12">
        <f>IF(A471="","","https://cdn.ruparupa.io/fit-in/850x850/ruparupa-com/image/upload/Products/"&amp;A471&amp;"_1.jpg")</f>
        <v/>
      </c>
      <c r="K471" s="12">
        <f>IF(OR(I471="",G471=""),"",IFERROR(INDEX(LAYOUT!$D$2:$D$34,MATCH(I471&amp;"|"&amp;G471,LAYOUT!$E$2:$E$34,0)),"zona tidak ada di layout"))</f>
        <v/>
      </c>
      <c r="L471" s="12">
        <f>IF(OR(F471="",A471=""),"",COUNTIFS($F$2:$F$500,F471,$G$2:$G$500,G471,$A$2:$A$500,"&lt;&gt;"))</f>
        <v/>
      </c>
      <c r="M471" s="12">
        <f>IF(AND(A471="",F471=""),"",IF(F471="","Belum ditempatkan",IF(I471="","CEK ID FIXTURE tidak ada di DAFTAR_FIXTURE",IF(G471="","CEK ZONA NO kosong",IF(K471="zona tidak ada di layout","CEK ZONA NO di luar layout",IF(H471&lt;&gt;K471,"CEK JENIS ZONA",IF(A471="","Zona kosong",IF(B471="","CEK SKU DESCRIPTION kosong","OK"))))))))</f>
        <v/>
      </c>
    </row>
    <row r="472">
      <c r="A472" s="10" t="n"/>
      <c r="B472" s="11" t="n"/>
      <c r="C472" s="11" t="n"/>
      <c r="D472" s="11" t="n"/>
      <c r="E472" s="11" t="n"/>
      <c r="F472" s="11" t="n"/>
      <c r="G472" s="11" t="n"/>
      <c r="H472" s="11" t="n"/>
      <c r="I472" s="12">
        <f>IF(F472="","",IFERROR(INDEX(DAFTAR_FIXTURE!$B$2:$B$51,MATCH(F472,DAFTAR_FIXTURE!$A$2:$A$51,0)),""))</f>
        <v/>
      </c>
      <c r="J472" s="12">
        <f>IF(A472="","","https://cdn.ruparupa.io/fit-in/850x850/ruparupa-com/image/upload/Products/"&amp;A472&amp;"_1.jpg")</f>
        <v/>
      </c>
      <c r="K472" s="12">
        <f>IF(OR(I472="",G472=""),"",IFERROR(INDEX(LAYOUT!$D$2:$D$34,MATCH(I472&amp;"|"&amp;G472,LAYOUT!$E$2:$E$34,0)),"zona tidak ada di layout"))</f>
        <v/>
      </c>
      <c r="L472" s="12">
        <f>IF(OR(F472="",A472=""),"",COUNTIFS($F$2:$F$500,F472,$G$2:$G$500,G472,$A$2:$A$500,"&lt;&gt;"))</f>
        <v/>
      </c>
      <c r="M472" s="12">
        <f>IF(AND(A472="",F472=""),"",IF(F472="","Belum ditempatkan",IF(I472="","CEK ID FIXTURE tidak ada di DAFTAR_FIXTURE",IF(G472="","CEK ZONA NO kosong",IF(K472="zona tidak ada di layout","CEK ZONA NO di luar layout",IF(H472&lt;&gt;K472,"CEK JENIS ZONA",IF(A472="","Zona kosong",IF(B472="","CEK SKU DESCRIPTION kosong","OK"))))))))</f>
        <v/>
      </c>
    </row>
    <row r="473">
      <c r="A473" s="10" t="n"/>
      <c r="B473" s="11" t="n"/>
      <c r="C473" s="11" t="n"/>
      <c r="D473" s="11" t="n"/>
      <c r="E473" s="11" t="n"/>
      <c r="F473" s="11" t="n"/>
      <c r="G473" s="11" t="n"/>
      <c r="H473" s="11" t="n"/>
      <c r="I473" s="12">
        <f>IF(F473="","",IFERROR(INDEX(DAFTAR_FIXTURE!$B$2:$B$51,MATCH(F473,DAFTAR_FIXTURE!$A$2:$A$51,0)),""))</f>
        <v/>
      </c>
      <c r="J473" s="12">
        <f>IF(A473="","","https://cdn.ruparupa.io/fit-in/850x850/ruparupa-com/image/upload/Products/"&amp;A473&amp;"_1.jpg")</f>
        <v/>
      </c>
      <c r="K473" s="12">
        <f>IF(OR(I473="",G473=""),"",IFERROR(INDEX(LAYOUT!$D$2:$D$34,MATCH(I473&amp;"|"&amp;G473,LAYOUT!$E$2:$E$34,0)),"zona tidak ada di layout"))</f>
        <v/>
      </c>
      <c r="L473" s="12">
        <f>IF(OR(F473="",A473=""),"",COUNTIFS($F$2:$F$500,F473,$G$2:$G$500,G473,$A$2:$A$500,"&lt;&gt;"))</f>
        <v/>
      </c>
      <c r="M473" s="12">
        <f>IF(AND(A473="",F473=""),"",IF(F473="","Belum ditempatkan",IF(I473="","CEK ID FIXTURE tidak ada di DAFTAR_FIXTURE",IF(G473="","CEK ZONA NO kosong",IF(K473="zona tidak ada di layout","CEK ZONA NO di luar layout",IF(H473&lt;&gt;K473,"CEK JENIS ZONA",IF(A473="","Zona kosong",IF(B473="","CEK SKU DESCRIPTION kosong","OK"))))))))</f>
        <v/>
      </c>
    </row>
    <row r="474">
      <c r="A474" s="10" t="n"/>
      <c r="B474" s="11" t="n"/>
      <c r="C474" s="11" t="n"/>
      <c r="D474" s="11" t="n"/>
      <c r="E474" s="11" t="n"/>
      <c r="F474" s="11" t="n"/>
      <c r="G474" s="11" t="n"/>
      <c r="H474" s="11" t="n"/>
      <c r="I474" s="12">
        <f>IF(F474="","",IFERROR(INDEX(DAFTAR_FIXTURE!$B$2:$B$51,MATCH(F474,DAFTAR_FIXTURE!$A$2:$A$51,0)),""))</f>
        <v/>
      </c>
      <c r="J474" s="12">
        <f>IF(A474="","","https://cdn.ruparupa.io/fit-in/850x850/ruparupa-com/image/upload/Products/"&amp;A474&amp;"_1.jpg")</f>
        <v/>
      </c>
      <c r="K474" s="12">
        <f>IF(OR(I474="",G474=""),"",IFERROR(INDEX(LAYOUT!$D$2:$D$34,MATCH(I474&amp;"|"&amp;G474,LAYOUT!$E$2:$E$34,0)),"zona tidak ada di layout"))</f>
        <v/>
      </c>
      <c r="L474" s="12">
        <f>IF(OR(F474="",A474=""),"",COUNTIFS($F$2:$F$500,F474,$G$2:$G$500,G474,$A$2:$A$500,"&lt;&gt;"))</f>
        <v/>
      </c>
      <c r="M474" s="12">
        <f>IF(AND(A474="",F474=""),"",IF(F474="","Belum ditempatkan",IF(I474="","CEK ID FIXTURE tidak ada di DAFTAR_FIXTURE",IF(G474="","CEK ZONA NO kosong",IF(K474="zona tidak ada di layout","CEK ZONA NO di luar layout",IF(H474&lt;&gt;K474,"CEK JENIS ZONA",IF(A474="","Zona kosong",IF(B474="","CEK SKU DESCRIPTION kosong","OK"))))))))</f>
        <v/>
      </c>
    </row>
    <row r="475">
      <c r="A475" s="10" t="n"/>
      <c r="B475" s="11" t="n"/>
      <c r="C475" s="11" t="n"/>
      <c r="D475" s="11" t="n"/>
      <c r="E475" s="11" t="n"/>
      <c r="F475" s="11" t="n"/>
      <c r="G475" s="11" t="n"/>
      <c r="H475" s="11" t="n"/>
      <c r="I475" s="12">
        <f>IF(F475="","",IFERROR(INDEX(DAFTAR_FIXTURE!$B$2:$B$51,MATCH(F475,DAFTAR_FIXTURE!$A$2:$A$51,0)),""))</f>
        <v/>
      </c>
      <c r="J475" s="12">
        <f>IF(A475="","","https://cdn.ruparupa.io/fit-in/850x850/ruparupa-com/image/upload/Products/"&amp;A475&amp;"_1.jpg")</f>
        <v/>
      </c>
      <c r="K475" s="12">
        <f>IF(OR(I475="",G475=""),"",IFERROR(INDEX(LAYOUT!$D$2:$D$34,MATCH(I475&amp;"|"&amp;G475,LAYOUT!$E$2:$E$34,0)),"zona tidak ada di layout"))</f>
        <v/>
      </c>
      <c r="L475" s="12">
        <f>IF(OR(F475="",A475=""),"",COUNTIFS($F$2:$F$500,F475,$G$2:$G$500,G475,$A$2:$A$500,"&lt;&gt;"))</f>
        <v/>
      </c>
      <c r="M475" s="12">
        <f>IF(AND(A475="",F475=""),"",IF(F475="","Belum ditempatkan",IF(I475="","CEK ID FIXTURE tidak ada di DAFTAR_FIXTURE",IF(G475="","CEK ZONA NO kosong",IF(K475="zona tidak ada di layout","CEK ZONA NO di luar layout",IF(H475&lt;&gt;K475,"CEK JENIS ZONA",IF(A475="","Zona kosong",IF(B475="","CEK SKU DESCRIPTION kosong","OK"))))))))</f>
        <v/>
      </c>
    </row>
    <row r="476">
      <c r="A476" s="10" t="n"/>
      <c r="B476" s="11" t="n"/>
      <c r="C476" s="11" t="n"/>
      <c r="D476" s="11" t="n"/>
      <c r="E476" s="11" t="n"/>
      <c r="F476" s="11" t="n"/>
      <c r="G476" s="11" t="n"/>
      <c r="H476" s="11" t="n"/>
      <c r="I476" s="12">
        <f>IF(F476="","",IFERROR(INDEX(DAFTAR_FIXTURE!$B$2:$B$51,MATCH(F476,DAFTAR_FIXTURE!$A$2:$A$51,0)),""))</f>
        <v/>
      </c>
      <c r="J476" s="12">
        <f>IF(A476="","","https://cdn.ruparupa.io/fit-in/850x850/ruparupa-com/image/upload/Products/"&amp;A476&amp;"_1.jpg")</f>
        <v/>
      </c>
      <c r="K476" s="12">
        <f>IF(OR(I476="",G476=""),"",IFERROR(INDEX(LAYOUT!$D$2:$D$34,MATCH(I476&amp;"|"&amp;G476,LAYOUT!$E$2:$E$34,0)),"zona tidak ada di layout"))</f>
        <v/>
      </c>
      <c r="L476" s="12">
        <f>IF(OR(F476="",A476=""),"",COUNTIFS($F$2:$F$500,F476,$G$2:$G$500,G476,$A$2:$A$500,"&lt;&gt;"))</f>
        <v/>
      </c>
      <c r="M476" s="12">
        <f>IF(AND(A476="",F476=""),"",IF(F476="","Belum ditempatkan",IF(I476="","CEK ID FIXTURE tidak ada di DAFTAR_FIXTURE",IF(G476="","CEK ZONA NO kosong",IF(K476="zona tidak ada di layout","CEK ZONA NO di luar layout",IF(H476&lt;&gt;K476,"CEK JENIS ZONA",IF(A476="","Zona kosong",IF(B476="","CEK SKU DESCRIPTION kosong","OK"))))))))</f>
        <v/>
      </c>
    </row>
    <row r="477">
      <c r="A477" s="10" t="n"/>
      <c r="B477" s="11" t="n"/>
      <c r="C477" s="11" t="n"/>
      <c r="D477" s="11" t="n"/>
      <c r="E477" s="11" t="n"/>
      <c r="F477" s="11" t="n"/>
      <c r="G477" s="11" t="n"/>
      <c r="H477" s="11" t="n"/>
      <c r="I477" s="12">
        <f>IF(F477="","",IFERROR(INDEX(DAFTAR_FIXTURE!$B$2:$B$51,MATCH(F477,DAFTAR_FIXTURE!$A$2:$A$51,0)),""))</f>
        <v/>
      </c>
      <c r="J477" s="12">
        <f>IF(A477="","","https://cdn.ruparupa.io/fit-in/850x850/ruparupa-com/image/upload/Products/"&amp;A477&amp;"_1.jpg")</f>
        <v/>
      </c>
      <c r="K477" s="12">
        <f>IF(OR(I477="",G477=""),"",IFERROR(INDEX(LAYOUT!$D$2:$D$34,MATCH(I477&amp;"|"&amp;G477,LAYOUT!$E$2:$E$34,0)),"zona tidak ada di layout"))</f>
        <v/>
      </c>
      <c r="L477" s="12">
        <f>IF(OR(F477="",A477=""),"",COUNTIFS($F$2:$F$500,F477,$G$2:$G$500,G477,$A$2:$A$500,"&lt;&gt;"))</f>
        <v/>
      </c>
      <c r="M477" s="12">
        <f>IF(AND(A477="",F477=""),"",IF(F477="","Belum ditempatkan",IF(I477="","CEK ID FIXTURE tidak ada di DAFTAR_FIXTURE",IF(G477="","CEK ZONA NO kosong",IF(K477="zona tidak ada di layout","CEK ZONA NO di luar layout",IF(H477&lt;&gt;K477,"CEK JENIS ZONA",IF(A477="","Zona kosong",IF(B477="","CEK SKU DESCRIPTION kosong","OK"))))))))</f>
        <v/>
      </c>
    </row>
    <row r="478">
      <c r="A478" s="10" t="n"/>
      <c r="B478" s="11" t="n"/>
      <c r="C478" s="11" t="n"/>
      <c r="D478" s="11" t="n"/>
      <c r="E478" s="11" t="n"/>
      <c r="F478" s="11" t="n"/>
      <c r="G478" s="11" t="n"/>
      <c r="H478" s="11" t="n"/>
      <c r="I478" s="12">
        <f>IF(F478="","",IFERROR(INDEX(DAFTAR_FIXTURE!$B$2:$B$51,MATCH(F478,DAFTAR_FIXTURE!$A$2:$A$51,0)),""))</f>
        <v/>
      </c>
      <c r="J478" s="12">
        <f>IF(A478="","","https://cdn.ruparupa.io/fit-in/850x850/ruparupa-com/image/upload/Products/"&amp;A478&amp;"_1.jpg")</f>
        <v/>
      </c>
      <c r="K478" s="12">
        <f>IF(OR(I478="",G478=""),"",IFERROR(INDEX(LAYOUT!$D$2:$D$34,MATCH(I478&amp;"|"&amp;G478,LAYOUT!$E$2:$E$34,0)),"zona tidak ada di layout"))</f>
        <v/>
      </c>
      <c r="L478" s="12">
        <f>IF(OR(F478="",A478=""),"",COUNTIFS($F$2:$F$500,F478,$G$2:$G$500,G478,$A$2:$A$500,"&lt;&gt;"))</f>
        <v/>
      </c>
      <c r="M478" s="12">
        <f>IF(AND(A478="",F478=""),"",IF(F478="","Belum ditempatkan",IF(I478="","CEK ID FIXTURE tidak ada di DAFTAR_FIXTURE",IF(G478="","CEK ZONA NO kosong",IF(K478="zona tidak ada di layout","CEK ZONA NO di luar layout",IF(H478&lt;&gt;K478,"CEK JENIS ZONA",IF(A478="","Zona kosong",IF(B478="","CEK SKU DESCRIPTION kosong","OK"))))))))</f>
        <v/>
      </c>
    </row>
    <row r="479">
      <c r="A479" s="10" t="n"/>
      <c r="B479" s="11" t="n"/>
      <c r="C479" s="11" t="n"/>
      <c r="D479" s="11" t="n"/>
      <c r="E479" s="11" t="n"/>
      <c r="F479" s="11" t="n"/>
      <c r="G479" s="11" t="n"/>
      <c r="H479" s="11" t="n"/>
      <c r="I479" s="12">
        <f>IF(F479="","",IFERROR(INDEX(DAFTAR_FIXTURE!$B$2:$B$51,MATCH(F479,DAFTAR_FIXTURE!$A$2:$A$51,0)),""))</f>
        <v/>
      </c>
      <c r="J479" s="12">
        <f>IF(A479="","","https://cdn.ruparupa.io/fit-in/850x850/ruparupa-com/image/upload/Products/"&amp;A479&amp;"_1.jpg")</f>
        <v/>
      </c>
      <c r="K479" s="12">
        <f>IF(OR(I479="",G479=""),"",IFERROR(INDEX(LAYOUT!$D$2:$D$34,MATCH(I479&amp;"|"&amp;G479,LAYOUT!$E$2:$E$34,0)),"zona tidak ada di layout"))</f>
        <v/>
      </c>
      <c r="L479" s="12">
        <f>IF(OR(F479="",A479=""),"",COUNTIFS($F$2:$F$500,F479,$G$2:$G$500,G479,$A$2:$A$500,"&lt;&gt;"))</f>
        <v/>
      </c>
      <c r="M479" s="12">
        <f>IF(AND(A479="",F479=""),"",IF(F479="","Belum ditempatkan",IF(I479="","CEK ID FIXTURE tidak ada di DAFTAR_FIXTURE",IF(G479="","CEK ZONA NO kosong",IF(K479="zona tidak ada di layout","CEK ZONA NO di luar layout",IF(H479&lt;&gt;K479,"CEK JENIS ZONA",IF(A479="","Zona kosong",IF(B479="","CEK SKU DESCRIPTION kosong","OK"))))))))</f>
        <v/>
      </c>
    </row>
    <row r="480">
      <c r="A480" s="10" t="n"/>
      <c r="B480" s="11" t="n"/>
      <c r="C480" s="11" t="n"/>
      <c r="D480" s="11" t="n"/>
      <c r="E480" s="11" t="n"/>
      <c r="F480" s="11" t="n"/>
      <c r="G480" s="11" t="n"/>
      <c r="H480" s="11" t="n"/>
      <c r="I480" s="12">
        <f>IF(F480="","",IFERROR(INDEX(DAFTAR_FIXTURE!$B$2:$B$51,MATCH(F480,DAFTAR_FIXTURE!$A$2:$A$51,0)),""))</f>
        <v/>
      </c>
      <c r="J480" s="12">
        <f>IF(A480="","","https://cdn.ruparupa.io/fit-in/850x850/ruparupa-com/image/upload/Products/"&amp;A480&amp;"_1.jpg")</f>
        <v/>
      </c>
      <c r="K480" s="12">
        <f>IF(OR(I480="",G480=""),"",IFERROR(INDEX(LAYOUT!$D$2:$D$34,MATCH(I480&amp;"|"&amp;G480,LAYOUT!$E$2:$E$34,0)),"zona tidak ada di layout"))</f>
        <v/>
      </c>
      <c r="L480" s="12">
        <f>IF(OR(F480="",A480=""),"",COUNTIFS($F$2:$F$500,F480,$G$2:$G$500,G480,$A$2:$A$500,"&lt;&gt;"))</f>
        <v/>
      </c>
      <c r="M480" s="12">
        <f>IF(AND(A480="",F480=""),"",IF(F480="","Belum ditempatkan",IF(I480="","CEK ID FIXTURE tidak ada di DAFTAR_FIXTURE",IF(G480="","CEK ZONA NO kosong",IF(K480="zona tidak ada di layout","CEK ZONA NO di luar layout",IF(H480&lt;&gt;K480,"CEK JENIS ZONA",IF(A480="","Zona kosong",IF(B480="","CEK SKU DESCRIPTION kosong","OK"))))))))</f>
        <v/>
      </c>
    </row>
    <row r="481">
      <c r="A481" s="10" t="n"/>
      <c r="B481" s="11" t="n"/>
      <c r="C481" s="11" t="n"/>
      <c r="D481" s="11" t="n"/>
      <c r="E481" s="11" t="n"/>
      <c r="F481" s="11" t="n"/>
      <c r="G481" s="11" t="n"/>
      <c r="H481" s="11" t="n"/>
      <c r="I481" s="12">
        <f>IF(F481="","",IFERROR(INDEX(DAFTAR_FIXTURE!$B$2:$B$51,MATCH(F481,DAFTAR_FIXTURE!$A$2:$A$51,0)),""))</f>
        <v/>
      </c>
      <c r="J481" s="12">
        <f>IF(A481="","","https://cdn.ruparupa.io/fit-in/850x850/ruparupa-com/image/upload/Products/"&amp;A481&amp;"_1.jpg")</f>
        <v/>
      </c>
      <c r="K481" s="12">
        <f>IF(OR(I481="",G481=""),"",IFERROR(INDEX(LAYOUT!$D$2:$D$34,MATCH(I481&amp;"|"&amp;G481,LAYOUT!$E$2:$E$34,0)),"zona tidak ada di layout"))</f>
        <v/>
      </c>
      <c r="L481" s="12">
        <f>IF(OR(F481="",A481=""),"",COUNTIFS($F$2:$F$500,F481,$G$2:$G$500,G481,$A$2:$A$500,"&lt;&gt;"))</f>
        <v/>
      </c>
      <c r="M481" s="12">
        <f>IF(AND(A481="",F481=""),"",IF(F481="","Belum ditempatkan",IF(I481="","CEK ID FIXTURE tidak ada di DAFTAR_FIXTURE",IF(G481="","CEK ZONA NO kosong",IF(K481="zona tidak ada di layout","CEK ZONA NO di luar layout",IF(H481&lt;&gt;K481,"CEK JENIS ZONA",IF(A481="","Zona kosong",IF(B481="","CEK SKU DESCRIPTION kosong","OK"))))))))</f>
        <v/>
      </c>
    </row>
    <row r="482">
      <c r="A482" s="10" t="n"/>
      <c r="B482" s="11" t="n"/>
      <c r="C482" s="11" t="n"/>
      <c r="D482" s="11" t="n"/>
      <c r="E482" s="11" t="n"/>
      <c r="F482" s="11" t="n"/>
      <c r="G482" s="11" t="n"/>
      <c r="H482" s="11" t="n"/>
      <c r="I482" s="12">
        <f>IF(F482="","",IFERROR(INDEX(DAFTAR_FIXTURE!$B$2:$B$51,MATCH(F482,DAFTAR_FIXTURE!$A$2:$A$51,0)),""))</f>
        <v/>
      </c>
      <c r="J482" s="12">
        <f>IF(A482="","","https://cdn.ruparupa.io/fit-in/850x850/ruparupa-com/image/upload/Products/"&amp;A482&amp;"_1.jpg")</f>
        <v/>
      </c>
      <c r="K482" s="12">
        <f>IF(OR(I482="",G482=""),"",IFERROR(INDEX(LAYOUT!$D$2:$D$34,MATCH(I482&amp;"|"&amp;G482,LAYOUT!$E$2:$E$34,0)),"zona tidak ada di layout"))</f>
        <v/>
      </c>
      <c r="L482" s="12">
        <f>IF(OR(F482="",A482=""),"",COUNTIFS($F$2:$F$500,F482,$G$2:$G$500,G482,$A$2:$A$500,"&lt;&gt;"))</f>
        <v/>
      </c>
      <c r="M482" s="12">
        <f>IF(AND(A482="",F482=""),"",IF(F482="","Belum ditempatkan",IF(I482="","CEK ID FIXTURE tidak ada di DAFTAR_FIXTURE",IF(G482="","CEK ZONA NO kosong",IF(K482="zona tidak ada di layout","CEK ZONA NO di luar layout",IF(H482&lt;&gt;K482,"CEK JENIS ZONA",IF(A482="","Zona kosong",IF(B482="","CEK SKU DESCRIPTION kosong","OK"))))))))</f>
        <v/>
      </c>
    </row>
    <row r="483">
      <c r="A483" s="10" t="n"/>
      <c r="B483" s="11" t="n"/>
      <c r="C483" s="11" t="n"/>
      <c r="D483" s="11" t="n"/>
      <c r="E483" s="11" t="n"/>
      <c r="F483" s="11" t="n"/>
      <c r="G483" s="11" t="n"/>
      <c r="H483" s="11" t="n"/>
      <c r="I483" s="12">
        <f>IF(F483="","",IFERROR(INDEX(DAFTAR_FIXTURE!$B$2:$B$51,MATCH(F483,DAFTAR_FIXTURE!$A$2:$A$51,0)),""))</f>
        <v/>
      </c>
      <c r="J483" s="12">
        <f>IF(A483="","","https://cdn.ruparupa.io/fit-in/850x850/ruparupa-com/image/upload/Products/"&amp;A483&amp;"_1.jpg")</f>
        <v/>
      </c>
      <c r="K483" s="12">
        <f>IF(OR(I483="",G483=""),"",IFERROR(INDEX(LAYOUT!$D$2:$D$34,MATCH(I483&amp;"|"&amp;G483,LAYOUT!$E$2:$E$34,0)),"zona tidak ada di layout"))</f>
        <v/>
      </c>
      <c r="L483" s="12">
        <f>IF(OR(F483="",A483=""),"",COUNTIFS($F$2:$F$500,F483,$G$2:$G$500,G483,$A$2:$A$500,"&lt;&gt;"))</f>
        <v/>
      </c>
      <c r="M483" s="12">
        <f>IF(AND(A483="",F483=""),"",IF(F483="","Belum ditempatkan",IF(I483="","CEK ID FIXTURE tidak ada di DAFTAR_FIXTURE",IF(G483="","CEK ZONA NO kosong",IF(K483="zona tidak ada di layout","CEK ZONA NO di luar layout",IF(H483&lt;&gt;K483,"CEK JENIS ZONA",IF(A483="","Zona kosong",IF(B483="","CEK SKU DESCRIPTION kosong","OK"))))))))</f>
        <v/>
      </c>
    </row>
    <row r="484">
      <c r="A484" s="10" t="n"/>
      <c r="B484" s="11" t="n"/>
      <c r="C484" s="11" t="n"/>
      <c r="D484" s="11" t="n"/>
      <c r="E484" s="11" t="n"/>
      <c r="F484" s="11" t="n"/>
      <c r="G484" s="11" t="n"/>
      <c r="H484" s="11" t="n"/>
      <c r="I484" s="12">
        <f>IF(F484="","",IFERROR(INDEX(DAFTAR_FIXTURE!$B$2:$B$51,MATCH(F484,DAFTAR_FIXTURE!$A$2:$A$51,0)),""))</f>
        <v/>
      </c>
      <c r="J484" s="12">
        <f>IF(A484="","","https://cdn.ruparupa.io/fit-in/850x850/ruparupa-com/image/upload/Products/"&amp;A484&amp;"_1.jpg")</f>
        <v/>
      </c>
      <c r="K484" s="12">
        <f>IF(OR(I484="",G484=""),"",IFERROR(INDEX(LAYOUT!$D$2:$D$34,MATCH(I484&amp;"|"&amp;G484,LAYOUT!$E$2:$E$34,0)),"zona tidak ada di layout"))</f>
        <v/>
      </c>
      <c r="L484" s="12">
        <f>IF(OR(F484="",A484=""),"",COUNTIFS($F$2:$F$500,F484,$G$2:$G$500,G484,$A$2:$A$500,"&lt;&gt;"))</f>
        <v/>
      </c>
      <c r="M484" s="12">
        <f>IF(AND(A484="",F484=""),"",IF(F484="","Belum ditempatkan",IF(I484="","CEK ID FIXTURE tidak ada di DAFTAR_FIXTURE",IF(G484="","CEK ZONA NO kosong",IF(K484="zona tidak ada di layout","CEK ZONA NO di luar layout",IF(H484&lt;&gt;K484,"CEK JENIS ZONA",IF(A484="","Zona kosong",IF(B484="","CEK SKU DESCRIPTION kosong","OK"))))))))</f>
        <v/>
      </c>
    </row>
    <row r="485">
      <c r="A485" s="10" t="n"/>
      <c r="B485" s="11" t="n"/>
      <c r="C485" s="11" t="n"/>
      <c r="D485" s="11" t="n"/>
      <c r="E485" s="11" t="n"/>
      <c r="F485" s="11" t="n"/>
      <c r="G485" s="11" t="n"/>
      <c r="H485" s="11" t="n"/>
      <c r="I485" s="12">
        <f>IF(F485="","",IFERROR(INDEX(DAFTAR_FIXTURE!$B$2:$B$51,MATCH(F485,DAFTAR_FIXTURE!$A$2:$A$51,0)),""))</f>
        <v/>
      </c>
      <c r="J485" s="12">
        <f>IF(A485="","","https://cdn.ruparupa.io/fit-in/850x850/ruparupa-com/image/upload/Products/"&amp;A485&amp;"_1.jpg")</f>
        <v/>
      </c>
      <c r="K485" s="12">
        <f>IF(OR(I485="",G485=""),"",IFERROR(INDEX(LAYOUT!$D$2:$D$34,MATCH(I485&amp;"|"&amp;G485,LAYOUT!$E$2:$E$34,0)),"zona tidak ada di layout"))</f>
        <v/>
      </c>
      <c r="L485" s="12">
        <f>IF(OR(F485="",A485=""),"",COUNTIFS($F$2:$F$500,F485,$G$2:$G$500,G485,$A$2:$A$500,"&lt;&gt;"))</f>
        <v/>
      </c>
      <c r="M485" s="12">
        <f>IF(AND(A485="",F485=""),"",IF(F485="","Belum ditempatkan",IF(I485="","CEK ID FIXTURE tidak ada di DAFTAR_FIXTURE",IF(G485="","CEK ZONA NO kosong",IF(K485="zona tidak ada di layout","CEK ZONA NO di luar layout",IF(H485&lt;&gt;K485,"CEK JENIS ZONA",IF(A485="","Zona kosong",IF(B485="","CEK SKU DESCRIPTION kosong","OK"))))))))</f>
        <v/>
      </c>
    </row>
    <row r="486">
      <c r="A486" s="10" t="n"/>
      <c r="B486" s="11" t="n"/>
      <c r="C486" s="11" t="n"/>
      <c r="D486" s="11" t="n"/>
      <c r="E486" s="11" t="n"/>
      <c r="F486" s="11" t="n"/>
      <c r="G486" s="11" t="n"/>
      <c r="H486" s="11" t="n"/>
      <c r="I486" s="12">
        <f>IF(F486="","",IFERROR(INDEX(DAFTAR_FIXTURE!$B$2:$B$51,MATCH(F486,DAFTAR_FIXTURE!$A$2:$A$51,0)),""))</f>
        <v/>
      </c>
      <c r="J486" s="12">
        <f>IF(A486="","","https://cdn.ruparupa.io/fit-in/850x850/ruparupa-com/image/upload/Products/"&amp;A486&amp;"_1.jpg")</f>
        <v/>
      </c>
      <c r="K486" s="12">
        <f>IF(OR(I486="",G486=""),"",IFERROR(INDEX(LAYOUT!$D$2:$D$34,MATCH(I486&amp;"|"&amp;G486,LAYOUT!$E$2:$E$34,0)),"zona tidak ada di layout"))</f>
        <v/>
      </c>
      <c r="L486" s="12">
        <f>IF(OR(F486="",A486=""),"",COUNTIFS($F$2:$F$500,F486,$G$2:$G$500,G486,$A$2:$A$500,"&lt;&gt;"))</f>
        <v/>
      </c>
      <c r="M486" s="12">
        <f>IF(AND(A486="",F486=""),"",IF(F486="","Belum ditempatkan",IF(I486="","CEK ID FIXTURE tidak ada di DAFTAR_FIXTURE",IF(G486="","CEK ZONA NO kosong",IF(K486="zona tidak ada di layout","CEK ZONA NO di luar layout",IF(H486&lt;&gt;K486,"CEK JENIS ZONA",IF(A486="","Zona kosong",IF(B486="","CEK SKU DESCRIPTION kosong","OK"))))))))</f>
        <v/>
      </c>
    </row>
    <row r="487">
      <c r="A487" s="10" t="n"/>
      <c r="B487" s="11" t="n"/>
      <c r="C487" s="11" t="n"/>
      <c r="D487" s="11" t="n"/>
      <c r="E487" s="11" t="n"/>
      <c r="F487" s="11" t="n"/>
      <c r="G487" s="11" t="n"/>
      <c r="H487" s="11" t="n"/>
      <c r="I487" s="12">
        <f>IF(F487="","",IFERROR(INDEX(DAFTAR_FIXTURE!$B$2:$B$51,MATCH(F487,DAFTAR_FIXTURE!$A$2:$A$51,0)),""))</f>
        <v/>
      </c>
      <c r="J487" s="12">
        <f>IF(A487="","","https://cdn.ruparupa.io/fit-in/850x850/ruparupa-com/image/upload/Products/"&amp;A487&amp;"_1.jpg")</f>
        <v/>
      </c>
      <c r="K487" s="12">
        <f>IF(OR(I487="",G487=""),"",IFERROR(INDEX(LAYOUT!$D$2:$D$34,MATCH(I487&amp;"|"&amp;G487,LAYOUT!$E$2:$E$34,0)),"zona tidak ada di layout"))</f>
        <v/>
      </c>
      <c r="L487" s="12">
        <f>IF(OR(F487="",A487=""),"",COUNTIFS($F$2:$F$500,F487,$G$2:$G$500,G487,$A$2:$A$500,"&lt;&gt;"))</f>
        <v/>
      </c>
      <c r="M487" s="12">
        <f>IF(AND(A487="",F487=""),"",IF(F487="","Belum ditempatkan",IF(I487="","CEK ID FIXTURE tidak ada di DAFTAR_FIXTURE",IF(G487="","CEK ZONA NO kosong",IF(K487="zona tidak ada di layout","CEK ZONA NO di luar layout",IF(H487&lt;&gt;K487,"CEK JENIS ZONA",IF(A487="","Zona kosong",IF(B487="","CEK SKU DESCRIPTION kosong","OK"))))))))</f>
        <v/>
      </c>
    </row>
    <row r="488">
      <c r="A488" s="10" t="n"/>
      <c r="B488" s="11" t="n"/>
      <c r="C488" s="11" t="n"/>
      <c r="D488" s="11" t="n"/>
      <c r="E488" s="11" t="n"/>
      <c r="F488" s="11" t="n"/>
      <c r="G488" s="11" t="n"/>
      <c r="H488" s="11" t="n"/>
      <c r="I488" s="12">
        <f>IF(F488="","",IFERROR(INDEX(DAFTAR_FIXTURE!$B$2:$B$51,MATCH(F488,DAFTAR_FIXTURE!$A$2:$A$51,0)),""))</f>
        <v/>
      </c>
      <c r="J488" s="12">
        <f>IF(A488="","","https://cdn.ruparupa.io/fit-in/850x850/ruparupa-com/image/upload/Products/"&amp;A488&amp;"_1.jpg")</f>
        <v/>
      </c>
      <c r="K488" s="12">
        <f>IF(OR(I488="",G488=""),"",IFERROR(INDEX(LAYOUT!$D$2:$D$34,MATCH(I488&amp;"|"&amp;G488,LAYOUT!$E$2:$E$34,0)),"zona tidak ada di layout"))</f>
        <v/>
      </c>
      <c r="L488" s="12">
        <f>IF(OR(F488="",A488=""),"",COUNTIFS($F$2:$F$500,F488,$G$2:$G$500,G488,$A$2:$A$500,"&lt;&gt;"))</f>
        <v/>
      </c>
      <c r="M488" s="12">
        <f>IF(AND(A488="",F488=""),"",IF(F488="","Belum ditempatkan",IF(I488="","CEK ID FIXTURE tidak ada di DAFTAR_FIXTURE",IF(G488="","CEK ZONA NO kosong",IF(K488="zona tidak ada di layout","CEK ZONA NO di luar layout",IF(H488&lt;&gt;K488,"CEK JENIS ZONA",IF(A488="","Zona kosong",IF(B488="","CEK SKU DESCRIPTION kosong","OK"))))))))</f>
        <v/>
      </c>
    </row>
    <row r="489">
      <c r="A489" s="10" t="n"/>
      <c r="B489" s="11" t="n"/>
      <c r="C489" s="11" t="n"/>
      <c r="D489" s="11" t="n"/>
      <c r="E489" s="11" t="n"/>
      <c r="F489" s="11" t="n"/>
      <c r="G489" s="11" t="n"/>
      <c r="H489" s="11" t="n"/>
      <c r="I489" s="12">
        <f>IF(F489="","",IFERROR(INDEX(DAFTAR_FIXTURE!$B$2:$B$51,MATCH(F489,DAFTAR_FIXTURE!$A$2:$A$51,0)),""))</f>
        <v/>
      </c>
      <c r="J489" s="12">
        <f>IF(A489="","","https://cdn.ruparupa.io/fit-in/850x850/ruparupa-com/image/upload/Products/"&amp;A489&amp;"_1.jpg")</f>
        <v/>
      </c>
      <c r="K489" s="12">
        <f>IF(OR(I489="",G489=""),"",IFERROR(INDEX(LAYOUT!$D$2:$D$34,MATCH(I489&amp;"|"&amp;G489,LAYOUT!$E$2:$E$34,0)),"zona tidak ada di layout"))</f>
        <v/>
      </c>
      <c r="L489" s="12">
        <f>IF(OR(F489="",A489=""),"",COUNTIFS($F$2:$F$500,F489,$G$2:$G$500,G489,$A$2:$A$500,"&lt;&gt;"))</f>
        <v/>
      </c>
      <c r="M489" s="12">
        <f>IF(AND(A489="",F489=""),"",IF(F489="","Belum ditempatkan",IF(I489="","CEK ID FIXTURE tidak ada di DAFTAR_FIXTURE",IF(G489="","CEK ZONA NO kosong",IF(K489="zona tidak ada di layout","CEK ZONA NO di luar layout",IF(H489&lt;&gt;K489,"CEK JENIS ZONA",IF(A489="","Zona kosong",IF(B489="","CEK SKU DESCRIPTION kosong","OK"))))))))</f>
        <v/>
      </c>
    </row>
    <row r="490">
      <c r="A490" s="10" t="n"/>
      <c r="B490" s="11" t="n"/>
      <c r="C490" s="11" t="n"/>
      <c r="D490" s="11" t="n"/>
      <c r="E490" s="11" t="n"/>
      <c r="F490" s="11" t="n"/>
      <c r="G490" s="11" t="n"/>
      <c r="H490" s="11" t="n"/>
      <c r="I490" s="12">
        <f>IF(F490="","",IFERROR(INDEX(DAFTAR_FIXTURE!$B$2:$B$51,MATCH(F490,DAFTAR_FIXTURE!$A$2:$A$51,0)),""))</f>
        <v/>
      </c>
      <c r="J490" s="12">
        <f>IF(A490="","","https://cdn.ruparupa.io/fit-in/850x850/ruparupa-com/image/upload/Products/"&amp;A490&amp;"_1.jpg")</f>
        <v/>
      </c>
      <c r="K490" s="12">
        <f>IF(OR(I490="",G490=""),"",IFERROR(INDEX(LAYOUT!$D$2:$D$34,MATCH(I490&amp;"|"&amp;G490,LAYOUT!$E$2:$E$34,0)),"zona tidak ada di layout"))</f>
        <v/>
      </c>
      <c r="L490" s="12">
        <f>IF(OR(F490="",A490=""),"",COUNTIFS($F$2:$F$500,F490,$G$2:$G$500,G490,$A$2:$A$500,"&lt;&gt;"))</f>
        <v/>
      </c>
      <c r="M490" s="12">
        <f>IF(AND(A490="",F490=""),"",IF(F490="","Belum ditempatkan",IF(I490="","CEK ID FIXTURE tidak ada di DAFTAR_FIXTURE",IF(G490="","CEK ZONA NO kosong",IF(K490="zona tidak ada di layout","CEK ZONA NO di luar layout",IF(H490&lt;&gt;K490,"CEK JENIS ZONA",IF(A490="","Zona kosong",IF(B490="","CEK SKU DESCRIPTION kosong","OK"))))))))</f>
        <v/>
      </c>
    </row>
    <row r="491">
      <c r="A491" s="10" t="n"/>
      <c r="B491" s="11" t="n"/>
      <c r="C491" s="11" t="n"/>
      <c r="D491" s="11" t="n"/>
      <c r="E491" s="11" t="n"/>
      <c r="F491" s="11" t="n"/>
      <c r="G491" s="11" t="n"/>
      <c r="H491" s="11" t="n"/>
      <c r="I491" s="12">
        <f>IF(F491="","",IFERROR(INDEX(DAFTAR_FIXTURE!$B$2:$B$51,MATCH(F491,DAFTAR_FIXTURE!$A$2:$A$51,0)),""))</f>
        <v/>
      </c>
      <c r="J491" s="12">
        <f>IF(A491="","","https://cdn.ruparupa.io/fit-in/850x850/ruparupa-com/image/upload/Products/"&amp;A491&amp;"_1.jpg")</f>
        <v/>
      </c>
      <c r="K491" s="12">
        <f>IF(OR(I491="",G491=""),"",IFERROR(INDEX(LAYOUT!$D$2:$D$34,MATCH(I491&amp;"|"&amp;G491,LAYOUT!$E$2:$E$34,0)),"zona tidak ada di layout"))</f>
        <v/>
      </c>
      <c r="L491" s="12">
        <f>IF(OR(F491="",A491=""),"",COUNTIFS($F$2:$F$500,F491,$G$2:$G$500,G491,$A$2:$A$500,"&lt;&gt;"))</f>
        <v/>
      </c>
      <c r="M491" s="12">
        <f>IF(AND(A491="",F491=""),"",IF(F491="","Belum ditempatkan",IF(I491="","CEK ID FIXTURE tidak ada di DAFTAR_FIXTURE",IF(G491="","CEK ZONA NO kosong",IF(K491="zona tidak ada di layout","CEK ZONA NO di luar layout",IF(H491&lt;&gt;K491,"CEK JENIS ZONA",IF(A491="","Zona kosong",IF(B491="","CEK SKU DESCRIPTION kosong","OK"))))))))</f>
        <v/>
      </c>
    </row>
    <row r="492">
      <c r="A492" s="10" t="n"/>
      <c r="B492" s="11" t="n"/>
      <c r="C492" s="11" t="n"/>
      <c r="D492" s="11" t="n"/>
      <c r="E492" s="11" t="n"/>
      <c r="F492" s="11" t="n"/>
      <c r="G492" s="11" t="n"/>
      <c r="H492" s="11" t="n"/>
      <c r="I492" s="12">
        <f>IF(F492="","",IFERROR(INDEX(DAFTAR_FIXTURE!$B$2:$B$51,MATCH(F492,DAFTAR_FIXTURE!$A$2:$A$51,0)),""))</f>
        <v/>
      </c>
      <c r="J492" s="12">
        <f>IF(A492="","","https://cdn.ruparupa.io/fit-in/850x850/ruparupa-com/image/upload/Products/"&amp;A492&amp;"_1.jpg")</f>
        <v/>
      </c>
      <c r="K492" s="12">
        <f>IF(OR(I492="",G492=""),"",IFERROR(INDEX(LAYOUT!$D$2:$D$34,MATCH(I492&amp;"|"&amp;G492,LAYOUT!$E$2:$E$34,0)),"zona tidak ada di layout"))</f>
        <v/>
      </c>
      <c r="L492" s="12">
        <f>IF(OR(F492="",A492=""),"",COUNTIFS($F$2:$F$500,F492,$G$2:$G$500,G492,$A$2:$A$500,"&lt;&gt;"))</f>
        <v/>
      </c>
      <c r="M492" s="12">
        <f>IF(AND(A492="",F492=""),"",IF(F492="","Belum ditempatkan",IF(I492="","CEK ID FIXTURE tidak ada di DAFTAR_FIXTURE",IF(G492="","CEK ZONA NO kosong",IF(K492="zona tidak ada di layout","CEK ZONA NO di luar layout",IF(H492&lt;&gt;K492,"CEK JENIS ZONA",IF(A492="","Zona kosong",IF(B492="","CEK SKU DESCRIPTION kosong","OK"))))))))</f>
        <v/>
      </c>
    </row>
    <row r="493">
      <c r="A493" s="10" t="n"/>
      <c r="B493" s="11" t="n"/>
      <c r="C493" s="11" t="n"/>
      <c r="D493" s="11" t="n"/>
      <c r="E493" s="11" t="n"/>
      <c r="F493" s="11" t="n"/>
      <c r="G493" s="11" t="n"/>
      <c r="H493" s="11" t="n"/>
      <c r="I493" s="12">
        <f>IF(F493="","",IFERROR(INDEX(DAFTAR_FIXTURE!$B$2:$B$51,MATCH(F493,DAFTAR_FIXTURE!$A$2:$A$51,0)),""))</f>
        <v/>
      </c>
      <c r="J493" s="12">
        <f>IF(A493="","","https://cdn.ruparupa.io/fit-in/850x850/ruparupa-com/image/upload/Products/"&amp;A493&amp;"_1.jpg")</f>
        <v/>
      </c>
      <c r="K493" s="12">
        <f>IF(OR(I493="",G493=""),"",IFERROR(INDEX(LAYOUT!$D$2:$D$34,MATCH(I493&amp;"|"&amp;G493,LAYOUT!$E$2:$E$34,0)),"zona tidak ada di layout"))</f>
        <v/>
      </c>
      <c r="L493" s="12">
        <f>IF(OR(F493="",A493=""),"",COUNTIFS($F$2:$F$500,F493,$G$2:$G$500,G493,$A$2:$A$500,"&lt;&gt;"))</f>
        <v/>
      </c>
      <c r="M493" s="12">
        <f>IF(AND(A493="",F493=""),"",IF(F493="","Belum ditempatkan",IF(I493="","CEK ID FIXTURE tidak ada di DAFTAR_FIXTURE",IF(G493="","CEK ZONA NO kosong",IF(K493="zona tidak ada di layout","CEK ZONA NO di luar layout",IF(H493&lt;&gt;K493,"CEK JENIS ZONA",IF(A493="","Zona kosong",IF(B493="","CEK SKU DESCRIPTION kosong","OK"))))))))</f>
        <v/>
      </c>
    </row>
    <row r="494">
      <c r="A494" s="10" t="n"/>
      <c r="B494" s="11" t="n"/>
      <c r="C494" s="11" t="n"/>
      <c r="D494" s="11" t="n"/>
      <c r="E494" s="11" t="n"/>
      <c r="F494" s="11" t="n"/>
      <c r="G494" s="11" t="n"/>
      <c r="H494" s="11" t="n"/>
      <c r="I494" s="12">
        <f>IF(F494="","",IFERROR(INDEX(DAFTAR_FIXTURE!$B$2:$B$51,MATCH(F494,DAFTAR_FIXTURE!$A$2:$A$51,0)),""))</f>
        <v/>
      </c>
      <c r="J494" s="12">
        <f>IF(A494="","","https://cdn.ruparupa.io/fit-in/850x850/ruparupa-com/image/upload/Products/"&amp;A494&amp;"_1.jpg")</f>
        <v/>
      </c>
      <c r="K494" s="12">
        <f>IF(OR(I494="",G494=""),"",IFERROR(INDEX(LAYOUT!$D$2:$D$34,MATCH(I494&amp;"|"&amp;G494,LAYOUT!$E$2:$E$34,0)),"zona tidak ada di layout"))</f>
        <v/>
      </c>
      <c r="L494" s="12">
        <f>IF(OR(F494="",A494=""),"",COUNTIFS($F$2:$F$500,F494,$G$2:$G$500,G494,$A$2:$A$500,"&lt;&gt;"))</f>
        <v/>
      </c>
      <c r="M494" s="12">
        <f>IF(AND(A494="",F494=""),"",IF(F494="","Belum ditempatkan",IF(I494="","CEK ID FIXTURE tidak ada di DAFTAR_FIXTURE",IF(G494="","CEK ZONA NO kosong",IF(K494="zona tidak ada di layout","CEK ZONA NO di luar layout",IF(H494&lt;&gt;K494,"CEK JENIS ZONA",IF(A494="","Zona kosong",IF(B494="","CEK SKU DESCRIPTION kosong","OK"))))))))</f>
        <v/>
      </c>
    </row>
    <row r="495">
      <c r="A495" s="10" t="n"/>
      <c r="B495" s="11" t="n"/>
      <c r="C495" s="11" t="n"/>
      <c r="D495" s="11" t="n"/>
      <c r="E495" s="11" t="n"/>
      <c r="F495" s="11" t="n"/>
      <c r="G495" s="11" t="n"/>
      <c r="H495" s="11" t="n"/>
      <c r="I495" s="12">
        <f>IF(F495="","",IFERROR(INDEX(DAFTAR_FIXTURE!$B$2:$B$51,MATCH(F495,DAFTAR_FIXTURE!$A$2:$A$51,0)),""))</f>
        <v/>
      </c>
      <c r="J495" s="12">
        <f>IF(A495="","","https://cdn.ruparupa.io/fit-in/850x850/ruparupa-com/image/upload/Products/"&amp;A495&amp;"_1.jpg")</f>
        <v/>
      </c>
      <c r="K495" s="12">
        <f>IF(OR(I495="",G495=""),"",IFERROR(INDEX(LAYOUT!$D$2:$D$34,MATCH(I495&amp;"|"&amp;G495,LAYOUT!$E$2:$E$34,0)),"zona tidak ada di layout"))</f>
        <v/>
      </c>
      <c r="L495" s="12">
        <f>IF(OR(F495="",A495=""),"",COUNTIFS($F$2:$F$500,F495,$G$2:$G$500,G495,$A$2:$A$500,"&lt;&gt;"))</f>
        <v/>
      </c>
      <c r="M495" s="12">
        <f>IF(AND(A495="",F495=""),"",IF(F495="","Belum ditempatkan",IF(I495="","CEK ID FIXTURE tidak ada di DAFTAR_FIXTURE",IF(G495="","CEK ZONA NO kosong",IF(K495="zona tidak ada di layout","CEK ZONA NO di luar layout",IF(H495&lt;&gt;K495,"CEK JENIS ZONA",IF(A495="","Zona kosong",IF(B495="","CEK SKU DESCRIPTION kosong","OK"))))))))</f>
        <v/>
      </c>
    </row>
    <row r="496">
      <c r="A496" s="10" t="n"/>
      <c r="B496" s="11" t="n"/>
      <c r="C496" s="11" t="n"/>
      <c r="D496" s="11" t="n"/>
      <c r="E496" s="11" t="n"/>
      <c r="F496" s="11" t="n"/>
      <c r="G496" s="11" t="n"/>
      <c r="H496" s="11" t="n"/>
      <c r="I496" s="12">
        <f>IF(F496="","",IFERROR(INDEX(DAFTAR_FIXTURE!$B$2:$B$51,MATCH(F496,DAFTAR_FIXTURE!$A$2:$A$51,0)),""))</f>
        <v/>
      </c>
      <c r="J496" s="12">
        <f>IF(A496="","","https://cdn.ruparupa.io/fit-in/850x850/ruparupa-com/image/upload/Products/"&amp;A496&amp;"_1.jpg")</f>
        <v/>
      </c>
      <c r="K496" s="12">
        <f>IF(OR(I496="",G496=""),"",IFERROR(INDEX(LAYOUT!$D$2:$D$34,MATCH(I496&amp;"|"&amp;G496,LAYOUT!$E$2:$E$34,0)),"zona tidak ada di layout"))</f>
        <v/>
      </c>
      <c r="L496" s="12">
        <f>IF(OR(F496="",A496=""),"",COUNTIFS($F$2:$F$500,F496,$G$2:$G$500,G496,$A$2:$A$500,"&lt;&gt;"))</f>
        <v/>
      </c>
      <c r="M496" s="12">
        <f>IF(AND(A496="",F496=""),"",IF(F496="","Belum ditempatkan",IF(I496="","CEK ID FIXTURE tidak ada di DAFTAR_FIXTURE",IF(G496="","CEK ZONA NO kosong",IF(K496="zona tidak ada di layout","CEK ZONA NO di luar layout",IF(H496&lt;&gt;K496,"CEK JENIS ZONA",IF(A496="","Zona kosong",IF(B496="","CEK SKU DESCRIPTION kosong","OK"))))))))</f>
        <v/>
      </c>
    </row>
    <row r="497">
      <c r="A497" s="10" t="n"/>
      <c r="B497" s="11" t="n"/>
      <c r="C497" s="11" t="n"/>
      <c r="D497" s="11" t="n"/>
      <c r="E497" s="11" t="n"/>
      <c r="F497" s="11" t="n"/>
      <c r="G497" s="11" t="n"/>
      <c r="H497" s="11" t="n"/>
      <c r="I497" s="12">
        <f>IF(F497="","",IFERROR(INDEX(DAFTAR_FIXTURE!$B$2:$B$51,MATCH(F497,DAFTAR_FIXTURE!$A$2:$A$51,0)),""))</f>
        <v/>
      </c>
      <c r="J497" s="12">
        <f>IF(A497="","","https://cdn.ruparupa.io/fit-in/850x850/ruparupa-com/image/upload/Products/"&amp;A497&amp;"_1.jpg")</f>
        <v/>
      </c>
      <c r="K497" s="12">
        <f>IF(OR(I497="",G497=""),"",IFERROR(INDEX(LAYOUT!$D$2:$D$34,MATCH(I497&amp;"|"&amp;G497,LAYOUT!$E$2:$E$34,0)),"zona tidak ada di layout"))</f>
        <v/>
      </c>
      <c r="L497" s="12">
        <f>IF(OR(F497="",A497=""),"",COUNTIFS($F$2:$F$500,F497,$G$2:$G$500,G497,$A$2:$A$500,"&lt;&gt;"))</f>
        <v/>
      </c>
      <c r="M497" s="12">
        <f>IF(AND(A497="",F497=""),"",IF(F497="","Belum ditempatkan",IF(I497="","CEK ID FIXTURE tidak ada di DAFTAR_FIXTURE",IF(G497="","CEK ZONA NO kosong",IF(K497="zona tidak ada di layout","CEK ZONA NO di luar layout",IF(H497&lt;&gt;K497,"CEK JENIS ZONA",IF(A497="","Zona kosong",IF(B497="","CEK SKU DESCRIPTION kosong","OK"))))))))</f>
        <v/>
      </c>
    </row>
    <row r="498">
      <c r="A498" s="10" t="n"/>
      <c r="B498" s="11" t="n"/>
      <c r="C498" s="11" t="n"/>
      <c r="D498" s="11" t="n"/>
      <c r="E498" s="11" t="n"/>
      <c r="F498" s="11" t="n"/>
      <c r="G498" s="11" t="n"/>
      <c r="H498" s="11" t="n"/>
      <c r="I498" s="12">
        <f>IF(F498="","",IFERROR(INDEX(DAFTAR_FIXTURE!$B$2:$B$51,MATCH(F498,DAFTAR_FIXTURE!$A$2:$A$51,0)),""))</f>
        <v/>
      </c>
      <c r="J498" s="12">
        <f>IF(A498="","","https://cdn.ruparupa.io/fit-in/850x850/ruparupa-com/image/upload/Products/"&amp;A498&amp;"_1.jpg")</f>
        <v/>
      </c>
      <c r="K498" s="12">
        <f>IF(OR(I498="",G498=""),"",IFERROR(INDEX(LAYOUT!$D$2:$D$34,MATCH(I498&amp;"|"&amp;G498,LAYOUT!$E$2:$E$34,0)),"zona tidak ada di layout"))</f>
        <v/>
      </c>
      <c r="L498" s="12">
        <f>IF(OR(F498="",A498=""),"",COUNTIFS($F$2:$F$500,F498,$G$2:$G$500,G498,$A$2:$A$500,"&lt;&gt;"))</f>
        <v/>
      </c>
      <c r="M498" s="12">
        <f>IF(AND(A498="",F498=""),"",IF(F498="","Belum ditempatkan",IF(I498="","CEK ID FIXTURE tidak ada di DAFTAR_FIXTURE",IF(G498="","CEK ZONA NO kosong",IF(K498="zona tidak ada di layout","CEK ZONA NO di luar layout",IF(H498&lt;&gt;K498,"CEK JENIS ZONA",IF(A498="","Zona kosong",IF(B498="","CEK SKU DESCRIPTION kosong","OK"))))))))</f>
        <v/>
      </c>
    </row>
    <row r="499">
      <c r="A499" s="10" t="n"/>
      <c r="B499" s="11" t="n"/>
      <c r="C499" s="11" t="n"/>
      <c r="D499" s="11" t="n"/>
      <c r="E499" s="11" t="n"/>
      <c r="F499" s="11" t="n"/>
      <c r="G499" s="11" t="n"/>
      <c r="H499" s="11" t="n"/>
      <c r="I499" s="12">
        <f>IF(F499="","",IFERROR(INDEX(DAFTAR_FIXTURE!$B$2:$B$51,MATCH(F499,DAFTAR_FIXTURE!$A$2:$A$51,0)),""))</f>
        <v/>
      </c>
      <c r="J499" s="12">
        <f>IF(A499="","","https://cdn.ruparupa.io/fit-in/850x850/ruparupa-com/image/upload/Products/"&amp;A499&amp;"_1.jpg")</f>
        <v/>
      </c>
      <c r="K499" s="12">
        <f>IF(OR(I499="",G499=""),"",IFERROR(INDEX(LAYOUT!$D$2:$D$34,MATCH(I499&amp;"|"&amp;G499,LAYOUT!$E$2:$E$34,0)),"zona tidak ada di layout"))</f>
        <v/>
      </c>
      <c r="L499" s="12">
        <f>IF(OR(F499="",A499=""),"",COUNTIFS($F$2:$F$500,F499,$G$2:$G$500,G499,$A$2:$A$500,"&lt;&gt;"))</f>
        <v/>
      </c>
      <c r="M499" s="12">
        <f>IF(AND(A499="",F499=""),"",IF(F499="","Belum ditempatkan",IF(I499="","CEK ID FIXTURE tidak ada di DAFTAR_FIXTURE",IF(G499="","CEK ZONA NO kosong",IF(K499="zona tidak ada di layout","CEK ZONA NO di luar layout",IF(H499&lt;&gt;K499,"CEK JENIS ZONA",IF(A499="","Zona kosong",IF(B499="","CEK SKU DESCRIPTION kosong","OK"))))))))</f>
        <v/>
      </c>
    </row>
    <row r="500">
      <c r="A500" s="10" t="n"/>
      <c r="B500" s="11" t="n"/>
      <c r="C500" s="11" t="n"/>
      <c r="D500" s="11" t="n"/>
      <c r="E500" s="11" t="n"/>
      <c r="F500" s="11" t="n"/>
      <c r="G500" s="11" t="n"/>
      <c r="H500" s="11" t="n"/>
      <c r="I500" s="12">
        <f>IF(F500="","",IFERROR(INDEX(DAFTAR_FIXTURE!$B$2:$B$51,MATCH(F500,DAFTAR_FIXTURE!$A$2:$A$51,0)),""))</f>
        <v/>
      </c>
      <c r="J500" s="12">
        <f>IF(A500="","","https://cdn.ruparupa.io/fit-in/850x850/ruparupa-com/image/upload/Products/"&amp;A500&amp;"_1.jpg")</f>
        <v/>
      </c>
      <c r="K500" s="12">
        <f>IF(OR(I500="",G500=""),"",IFERROR(INDEX(LAYOUT!$D$2:$D$34,MATCH(I500&amp;"|"&amp;G500,LAYOUT!$E$2:$E$34,0)),"zona tidak ada di layout"))</f>
        <v/>
      </c>
      <c r="L500" s="12">
        <f>IF(OR(F500="",A500=""),"",COUNTIFS($F$2:$F$500,F500,$G$2:$G$500,G500,$A$2:$A$500,"&lt;&gt;"))</f>
        <v/>
      </c>
      <c r="M500" s="12">
        <f>IF(AND(A500="",F500=""),"",IF(F500="","Belum ditempatkan",IF(I500="","CEK ID FIXTURE tidak ada di DAFTAR_FIXTURE",IF(G500="","CEK ZONA NO kosong",IF(K500="zona tidak ada di layout","CEK ZONA NO di luar layout",IF(H500&lt;&gt;K500,"CEK JENIS ZONA",IF(A500="","Zona kosong",IF(B500="","CEK SKU DESCRIPTION kosong","OK"))))))))</f>
        <v/>
      </c>
    </row>
  </sheetData>
  <autoFilter ref="A1:M500"/>
  <conditionalFormatting sqref="M2:M500">
    <cfRule type="expression" priority="1" dxfId="0">
      <formula>LEFT($M2,3)="CEK"</formula>
    </cfRule>
    <cfRule type="expression" priority="2" dxfId="1">
      <formula>$M2="OK"</formula>
    </cfRule>
    <cfRule type="expression" priority="3" dxfId="2">
      <formula>OR($M2="Zona kosong",$M2="Belum ditempatkan")</formula>
    </cfRule>
  </conditionalFormatting>
  <dataValidations count="3">
    <dataValidation sqref="F2:F500" showDropDown="0" showInputMessage="0" showErrorMessage="1" allowBlank="1" errorTitle="ID FIXTURE" error="Pilih ID dari dropdown. Tambah ID baru di sheet DAFTAR_FIXTURE." type="list">
      <formula1>FIXTURE_IDS</formula1>
    </dataValidation>
    <dataValidation sqref="H2:H500" showDropDown="0" showInputMessage="0" showErrorMessage="0" allowBlank="1" type="list">
      <formula1>"Rak,Gantungan"</formula1>
    </dataValidation>
    <dataValidation sqref="G2:G500" showDropDown="0" showInputMessage="0" showErrorMessage="1" allowBlank="1" errorTitle="Angka bulat" error="Isi bilangan bulat mulai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Full Gantungan</t>
        </is>
      </c>
      <c r="C6" s="15" t="n"/>
    </row>
    <row r="7">
      <c r="A7" s="15" t="inlineStr">
        <is>
          <t>GND-03</t>
        </is>
      </c>
      <c r="B7" s="15" t="inlineStr">
        <is>
          <t>Gondola 1 Rack + 3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7" t="n">
        <v>1</v>
      </c>
      <c r="D22" s="15" t="inlineStr">
        <is>
          <t>Gantungan</t>
        </is>
      </c>
      <c r="E22" s="18">
        <f>A22&amp;"|"&amp;C22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7" t="n">
        <v>2</v>
      </c>
      <c r="D23" s="15" t="inlineStr">
        <is>
          <t>Gantungan</t>
        </is>
      </c>
      <c r="E23" s="18">
        <f>A23&amp;"|"&amp;C23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7" t="n">
        <v>3</v>
      </c>
      <c r="D24" s="15" t="inlineStr">
        <is>
          <t>Gantungan</t>
        </is>
      </c>
      <c r="E24" s="18">
        <f>A24&amp;"|"&amp;C24</f>
        <v/>
      </c>
    </row>
    <row r="25">
      <c r="A25" s="15" t="inlineStr">
        <is>
          <t>Gondola Full Gantungan</t>
        </is>
      </c>
      <c r="B25" s="15" t="inlineStr">
        <is>
          <t>120x50x150</t>
        </is>
      </c>
      <c r="C25" s="17" t="n">
        <v>4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7" t="n">
        <v>1</v>
      </c>
      <c r="D26" s="15" t="inlineStr">
        <is>
          <t>Rak</t>
        </is>
      </c>
      <c r="E26" s="18">
        <f>A26&amp;"|"&amp;C26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7" t="n">
        <v>2</v>
      </c>
      <c r="D27" s="15" t="inlineStr">
        <is>
          <t>Gantungan</t>
        </is>
      </c>
      <c r="E27" s="18">
        <f>A27&amp;"|"&amp;C27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7" t="n">
        <v>3</v>
      </c>
      <c r="D28" s="15" t="inlineStr">
        <is>
          <t>Gantungan</t>
        </is>
      </c>
      <c r="E28" s="18">
        <f>A28&amp;"|"&amp;C28</f>
        <v/>
      </c>
    </row>
    <row r="29">
      <c r="A29" s="15" t="inlineStr">
        <is>
          <t>Gondola 1 Rack + 3 Gantungan</t>
        </is>
      </c>
      <c r="B29" s="15" t="inlineStr">
        <is>
          <t>120x50x150</t>
        </is>
      </c>
      <c r="C29" s="17" t="n">
        <v>4</v>
      </c>
      <c r="D29" s="15" t="inlineStr">
        <is>
          <t>Gantungan</t>
        </is>
      </c>
      <c r="E29" s="18">
        <f>A29&amp;"|"&amp;C29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7" t="n">
        <v>1</v>
      </c>
      <c r="D30" s="15" t="inlineStr">
        <is>
          <t>Rak</t>
        </is>
      </c>
      <c r="E30" s="18">
        <f>A30&amp;"|"&amp;C30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7" t="n">
        <v>2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7" t="n">
        <v>3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Endcap 4 Rack</t>
        </is>
      </c>
      <c r="B33" s="15" t="inlineStr">
        <is>
          <t>100x50x150</t>
        </is>
      </c>
      <c r="C33" s="17" t="n">
        <v>4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Pallet 90x90</t>
        </is>
      </c>
      <c r="B34" s="15" t="inlineStr">
        <is>
          <t>90x90x100</t>
        </is>
      </c>
      <c r="C34" s="17" t="n">
        <v>1</v>
      </c>
      <c r="D34" s="15" t="inlineStr">
        <is>
          <t>Rak</t>
        </is>
      </c>
      <c r="E34" s="18">
        <f>A34&amp;"|"&amp;C34</f>
        <v/>
      </c>
    </row>
    <row r="36">
      <c r="A36" s="14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2026-10-02T06:51:39Z</dcterms:created>
  <dcterms:modified xsi:type="dcterms:W3CDTF">2026-10-02T06:51:40Z</dcterms:modified>
</cp:coreProperties>
</file>